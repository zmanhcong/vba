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Users\zmanh\Downloads\"/>
    </mc:Choice>
  </mc:AlternateContent>
  <xr:revisionPtr revIDLastSave="0" documentId="13_ncr:1_{07F53859-6D94-4588-ABFD-9FE7D03326E6}" xr6:coauthVersionLast="47" xr6:coauthVersionMax="47" xr10:uidLastSave="{00000000-0000-0000-0000-000000000000}"/>
  <bookViews>
    <workbookView xWindow="2170" yWindow="3670" windowWidth="28800" windowHeight="15370" activeTab="5" xr2:uid="{00000000-000D-0000-FFFF-FFFF00000000}"/>
  </bookViews>
  <sheets>
    <sheet name="DR1" sheetId="5" r:id="rId1"/>
    <sheet name="DR2" sheetId="6" r:id="rId2"/>
    <sheet name="DR3" sheetId="7" r:id="rId3"/>
    <sheet name="DR4(additional test)" sheetId="8" r:id="rId4"/>
    <sheet name="DR4(Line test)" sheetId="9" r:id="rId5"/>
    <sheet name="QA" sheetId="4"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s>
  <definedNames>
    <definedName name="_">#REF!</definedName>
    <definedName name="__123Graph_A" hidden="1">[1]ﾌﾟﾚｾﾞﾝ資!$BK$256:$BV$256</definedName>
    <definedName name="__123Graph_Aウィンスロップ" hidden="1">[1]ﾌﾟﾚｾﾞﾝ資!$AD$215:$AG$215</definedName>
    <definedName name="__123Graph_Aオーラルケア" hidden="1">[1]ﾌﾟﾚｾﾞﾝ資!$AD$115:$AG$115</definedName>
    <definedName name="__123Graph_Aスキンケア" hidden="1">[1]ﾌﾟﾚｾﾞﾝ資!$AD$105:$AG$105</definedName>
    <definedName name="__123Graph_Aその他" hidden="1">[1]ﾌﾟﾚｾﾞﾝ資!$AD$205:$AG$205</definedName>
    <definedName name="__123Graph_Aフットケア" hidden="1">[1]ﾌﾟﾚｾﾞﾝ資!$AD$125:$AG$125</definedName>
    <definedName name="__123Graph_Aﾛｰｽﾞ入荷" hidden="1">#REF!</definedName>
    <definedName name="__123Graph_A医薬品" hidden="1">[1]ﾌﾟﾚｾﾞﾝ資!$AD$95:$AG$95</definedName>
    <definedName name="__123Graph_A衛生関連" hidden="1">[1]ﾌﾟﾚｾﾞﾝ資!$AD$140:$AG$140</definedName>
    <definedName name="__123Graph_A月別カテゴリー" hidden="1">[1]ﾌﾟﾚｾﾞﾝ資!$AD$57:$AO$57</definedName>
    <definedName name="__123Graph_A月別実績" hidden="1">[1]ﾌﾟﾚｾﾞﾝ資!$BK$250:$BV$250</definedName>
    <definedName name="__123Graph_A構成比1" hidden="1">[1]ﾌﾟﾚｾﾞﾝ資!$AW$226:$AW$234</definedName>
    <definedName name="__123Graph_A構成比2" hidden="1">[1]ﾌﾟﾚｾﾞﾝ資!$BA$226:$BA$234</definedName>
    <definedName name="__123Graph_A収納箱" hidden="1">[1]ﾌﾟﾚｾﾞﾝ資!$AD$170:$AG$170</definedName>
    <definedName name="__123Graph_A住居洗剤" hidden="1">[1]ﾌﾟﾚｾﾞﾝ資!$AD$185:$AG$185</definedName>
    <definedName name="__123Graph_A除湿剤" hidden="1">[1]ﾌﾟﾚｾﾞﾝ資!$AD$195:$AL$195</definedName>
    <definedName name="__123Graph_A全品目" hidden="1">[1]ﾌﾟﾚｾﾞﾝ資!$BK$256:$BN$256</definedName>
    <definedName name="__123Graph_A売上推移" hidden="1">[1]ﾌﾟﾚｾﾞﾝ資!$O$47:$O$51</definedName>
    <definedName name="__123Graph_A芳香剤関連" hidden="1">[1]ﾌﾟﾚｾﾞﾝ資!$AD$150:$AG$150</definedName>
    <definedName name="__123Graph_A防虫剤" hidden="1">[1]ﾌﾟﾚｾﾞﾝ資!$AD$160:$AG$160</definedName>
    <definedName name="__123Graph_A累計実績" hidden="1">[1]ﾌﾟﾚｾﾞﾝ資!$M$63:$X$63</definedName>
    <definedName name="__123Graph_B" hidden="1">[1]ﾌﾟﾚｾﾞﾝ資!$BK$257:$BV$257</definedName>
    <definedName name="__123Graph_Bウィンスロップ" hidden="1">[1]ﾌﾟﾚｾﾞﾝ資!$AD$216:$AO$216</definedName>
    <definedName name="__123Graph_Bオーラルケア" hidden="1">[1]ﾌﾟﾚｾﾞﾝ資!$AD$116:$AO$116</definedName>
    <definedName name="__123Graph_Bスキンケア" hidden="1">[1]ﾌﾟﾚｾﾞﾝ資!$AD$106:$AO$106</definedName>
    <definedName name="__123Graph_Bその他" hidden="1">[1]ﾌﾟﾚｾﾞﾝ資!$AD$206:$AO$206</definedName>
    <definedName name="__123Graph_Bフットケア" hidden="1">[1]ﾌﾟﾚｾﾞﾝ資!$AD$126:$AO$126</definedName>
    <definedName name="__123Graph_Bﾛｰｽﾞ入荷" hidden="1">#REF!</definedName>
    <definedName name="__123Graph_B医薬品" hidden="1">[1]ﾌﾟﾚｾﾞﾝ資!$AD$96:$AO$96</definedName>
    <definedName name="__123Graph_B衛生関連" hidden="1">[1]ﾌﾟﾚｾﾞﾝ資!$AD$141:$AO$141</definedName>
    <definedName name="__123Graph_B月別カテゴリー" hidden="1">[1]ﾌﾟﾚｾﾞﾝ資!$AD$58:$AO$58</definedName>
    <definedName name="__123Graph_B月別実績" hidden="1">[1]ﾌﾟﾚｾﾞﾝ資!$BK$251:$BV$251</definedName>
    <definedName name="__123Graph_B構成比1" hidden="1">[1]ﾌﾟﾚｾﾞﾝ資!$AU$226:$AU$234</definedName>
    <definedName name="__123Graph_B構成比2" hidden="1">[1]ﾌﾟﾚｾﾞﾝ資!$AU$226:$AU$234</definedName>
    <definedName name="__123Graph_B収納箱" hidden="1">[1]ﾌﾟﾚｾﾞﾝ資!$AD$171:$AO$171</definedName>
    <definedName name="__123Graph_B住居洗剤" hidden="1">[1]ﾌﾟﾚｾﾞﾝ資!$AD$186:$AO$186</definedName>
    <definedName name="__123Graph_B除湿剤" hidden="1">[1]ﾌﾟﾚｾﾞﾝ資!$AD$196:$AO$196</definedName>
    <definedName name="__123Graph_B全品目" hidden="1">[1]ﾌﾟﾚｾﾞﾝ資!$BK$257:$BV$257</definedName>
    <definedName name="__123Graph_B芳香剤関連" hidden="1">[1]ﾌﾟﾚｾﾞﾝ資!$AD$151:$AO$151</definedName>
    <definedName name="__123Graph_B防虫剤" hidden="1">[1]ﾌﾟﾚｾﾞﾝ資!$AD$161:$AO$161</definedName>
    <definedName name="__123Graph_B累計実績" hidden="1">[1]ﾌﾟﾚｾﾞﾝ資!$M$64:$X$64</definedName>
    <definedName name="__123Graph_C" hidden="1">[1]ﾌﾟﾚｾﾞﾝ資!$BK$258:$BV$258</definedName>
    <definedName name="__123Graph_Cウィンスロップ" hidden="1">[1]ﾌﾟﾚｾﾞﾝ資!$AD$217:$AO$217</definedName>
    <definedName name="__123Graph_Cオーラルケア" hidden="1">[1]ﾌﾟﾚｾﾞﾝ資!$AD$117:$AO$117</definedName>
    <definedName name="__123Graph_Cスキンケア" hidden="1">[1]ﾌﾟﾚｾﾞﾝ資!$AD$107:$AO$107</definedName>
    <definedName name="__123Graph_Cその他" hidden="1">[1]ﾌﾟﾚｾﾞﾝ資!$AD$207:$AO$207</definedName>
    <definedName name="__123Graph_Cフットケア" hidden="1">[1]ﾌﾟﾚｾﾞﾝ資!$AD$127:$AO$127</definedName>
    <definedName name="__123Graph_Cﾛｰｽﾞ入荷" hidden="1">#REF!</definedName>
    <definedName name="__123Graph_C医薬品" hidden="1">[1]ﾌﾟﾚｾﾞﾝ資!$AD$97:$AO$97</definedName>
    <definedName name="__123Graph_C衛生関連" hidden="1">[1]ﾌﾟﾚｾﾞﾝ資!$AD$142:$AO$142</definedName>
    <definedName name="__123Graph_C月別カテゴリー" hidden="1">[1]ﾌﾟﾚｾﾞﾝ資!$AD$59:$AO$59</definedName>
    <definedName name="__123Graph_C月別実績" hidden="1">[1]ﾌﾟﾚｾﾞﾝ資!$BK$252:$BV$252</definedName>
    <definedName name="__123Graph_C収納箱" hidden="1">[1]ﾌﾟﾚｾﾞﾝ資!$AD$172:$AO$172</definedName>
    <definedName name="__123Graph_C住居洗剤" hidden="1">[1]ﾌﾟﾚｾﾞﾝ資!$AD$187:$AO$187</definedName>
    <definedName name="__123Graph_C除湿剤" hidden="1">[1]ﾌﾟﾚｾﾞﾝ資!$AD$197:$AO$197</definedName>
    <definedName name="__123Graph_C全品目" hidden="1">[1]ﾌﾟﾚｾﾞﾝ資!$BK$258:$BV$258</definedName>
    <definedName name="__123Graph_C芳香剤関連" hidden="1">[1]ﾌﾟﾚｾﾞﾝ資!$AD$152:$AO$152</definedName>
    <definedName name="__123Graph_C防虫剤" hidden="1">[1]ﾌﾟﾚｾﾞﾝ資!$AD$162:$AO$162</definedName>
    <definedName name="__123Graph_C累計実績" hidden="1">[1]ﾌﾟﾚｾﾞﾝ資!$M$65:$X$65</definedName>
    <definedName name="__123Graph_Dﾛｰｽﾞ入荷" hidden="1">#REF!</definedName>
    <definedName name="__123Graph_D月別カテゴリー" hidden="1">[1]ﾌﾟﾚｾﾞﾝ資!$AD$60:$AO$60</definedName>
    <definedName name="__123Graph_Eﾛｰｽﾞ入荷" hidden="1">#REF!</definedName>
    <definedName name="__123Graph_E月別カテゴリー" hidden="1">[1]ﾌﾟﾚｾﾞﾝ資!$AD$61:$AO$61</definedName>
    <definedName name="__123Graph_Fﾛｰｽﾞ入荷" hidden="1">#REF!</definedName>
    <definedName name="__123Graph_F月別カテゴリー" hidden="1">[1]ﾌﾟﾚｾﾞﾝ資!$AD$69:$AO$69</definedName>
    <definedName name="__123Graph_LBL_Aﾛｰｽﾞ入荷" hidden="1">#REF!</definedName>
    <definedName name="__123Graph_LBL_A売上推移" hidden="1">[1]ﾌﾟﾚｾﾞﾝ資!$P$47:$P$51</definedName>
    <definedName name="__123Graph_LBL_Bﾛｰｽﾞ入荷" hidden="1">#REF!</definedName>
    <definedName name="__123Graph_LBL_Cﾛｰｽﾞ入荷" hidden="1">#REF!</definedName>
    <definedName name="__123Graph_LBL_Dﾛｰｽﾞ入荷" hidden="1">#REF!</definedName>
    <definedName name="__123Graph_LBL_Eﾛｰｽﾞ入荷" hidden="1">#REF!</definedName>
    <definedName name="__123Graph_LBL_Fﾛｰｽﾞ入荷" hidden="1">#REF!</definedName>
    <definedName name="__123Graph_X" hidden="1">[1]ﾌﾟﾚｾﾞﾝ資!$BK$249:$BV$249</definedName>
    <definedName name="__123Graph_Xウィンスロップ" hidden="1">[1]ﾌﾟﾚｾﾞﾝ資!$AD$89:$AO$89</definedName>
    <definedName name="__123Graph_Xオーラルケア" hidden="1">[1]ﾌﾟﾚｾﾞﾝ資!$AD$89:$AO$89</definedName>
    <definedName name="__123Graph_Xスキンケア" hidden="1">[1]ﾌﾟﾚｾﾞﾝ資!$AD$89:$AO$89</definedName>
    <definedName name="__123Graph_Xその他" hidden="1">[1]ﾌﾟﾚｾﾞﾝ資!$AD$89:$AO$89</definedName>
    <definedName name="__123Graph_Xフットケア" hidden="1">[1]ﾌﾟﾚｾﾞﾝ資!$AD$89:$AO$89</definedName>
    <definedName name="__123Graph_Xﾛｰｽﾞ入荷" hidden="1">#REF!</definedName>
    <definedName name="__123Graph_X医薬品" hidden="1">[1]ﾌﾟﾚｾﾞﾝ資!$AD$89:$AO$89</definedName>
    <definedName name="__123Graph_X衛生関連" hidden="1">[1]ﾌﾟﾚｾﾞﾝ資!$AD$89:$AO$89</definedName>
    <definedName name="__123Graph_X月別カテゴリー" hidden="1">[1]ﾌﾟﾚｾﾞﾝ資!$AD$55:$AO$55</definedName>
    <definedName name="__123Graph_X月別実績" hidden="1">[1]ﾌﾟﾚｾﾞﾝ資!$M$56:$X$56</definedName>
    <definedName name="__123Graph_X構成比1" hidden="1">[1]ﾌﾟﾚｾﾞﾝ資!$AV$226:$AV$234</definedName>
    <definedName name="__123Graph_X構成比2" hidden="1">[1]ﾌﾟﾚｾﾞﾝ資!$AV$226:$AV$234</definedName>
    <definedName name="__123Graph_X収納箱" hidden="1">[1]ﾌﾟﾚｾﾞﾝ資!$AD$89:$AO$89</definedName>
    <definedName name="__123Graph_X住居洗剤" hidden="1">[1]ﾌﾟﾚｾﾞﾝ資!$AD$89:$AO$89</definedName>
    <definedName name="__123Graph_X除湿剤" hidden="1">[1]ﾌﾟﾚｾﾞﾝ資!$AD$89:$AO$89</definedName>
    <definedName name="__123Graph_X全品目" hidden="1">[1]ﾌﾟﾚｾﾞﾝ資!$BK$249:$BV$249</definedName>
    <definedName name="__123Graph_X売上推移" hidden="1">[1]ﾌﾟﾚｾﾞﾝ資!$M$47:$M$51</definedName>
    <definedName name="__123Graph_X芳香剤関連" hidden="1">[1]ﾌﾟﾚｾﾞﾝ資!$AD$89:$AO$89</definedName>
    <definedName name="__123Graph_X防虫剤" hidden="1">[1]ﾌﾟﾚｾﾞﾝ資!$AD$89:$AO$89</definedName>
    <definedName name="__123Graph_X累計実績" hidden="1">[1]ﾌﾟﾚｾﾞﾝ資!$M$56:$X$56</definedName>
    <definedName name="_0.PD??">#REF!</definedName>
    <definedName name="_1.PD??">#REF!</definedName>
    <definedName name="_1__123Graph_Aグラフ_1" hidden="1">#REF!</definedName>
    <definedName name="_1_0Da" localSheetId="2">#REF!</definedName>
    <definedName name="_1_0Da" localSheetId="4">#REF!</definedName>
    <definedName name="_1_0Da">#REF!</definedName>
    <definedName name="_10_0Da" hidden="1">'[2]8以上社員'!#REF!</definedName>
    <definedName name="_10Da" localSheetId="2">#REF!</definedName>
    <definedName name="_10Da" localSheetId="4">#REF!</definedName>
    <definedName name="_10Da">#REF!</definedName>
    <definedName name="_11_0Da" hidden="1">'[2]8以上社員'!#REF!</definedName>
    <definedName name="_11Da" localSheetId="2">#REF!</definedName>
    <definedName name="_11Da" localSheetId="4">#REF!</definedName>
    <definedName name="_11Da">#REF!</definedName>
    <definedName name="_12_0Da" hidden="1">'[2]8以上社員'!#REF!</definedName>
    <definedName name="_12Da" localSheetId="2">#REF!</definedName>
    <definedName name="_12Da" localSheetId="4">#REF!</definedName>
    <definedName name="_12Da">#REF!</definedName>
    <definedName name="_13_0Da" hidden="1">'[2]8以上社員'!#REF!</definedName>
    <definedName name="_13Da" localSheetId="2">#REF!</definedName>
    <definedName name="_13Da" localSheetId="4">#REF!</definedName>
    <definedName name="_13Da">#REF!</definedName>
    <definedName name="_14_0Da" hidden="1">'[2]8以上社員'!#REF!</definedName>
    <definedName name="_14Da" localSheetId="2">#REF!</definedName>
    <definedName name="_14Da" localSheetId="4">#REF!</definedName>
    <definedName name="_14Da">#REF!</definedName>
    <definedName name="_15_0Da" hidden="1">'[2]8以上社員'!#REF!</definedName>
    <definedName name="_15Da" localSheetId="2">#REF!</definedName>
    <definedName name="_15Da" localSheetId="4">#REF!</definedName>
    <definedName name="_15Da">#REF!</definedName>
    <definedName name="_16_0Da" hidden="1">'[2]8以上社員'!#REF!</definedName>
    <definedName name="_16_0Print_Area">[3]HA実販!#REF!</definedName>
    <definedName name="_18_0Da" hidden="1">'[2]8以上社員'!#REF!</definedName>
    <definedName name="_18_３ヵ年月数">#REF!</definedName>
    <definedName name="_19_0Da" hidden="1">'[2]8以上社員'!#REF!</definedName>
    <definedName name="_19Da" hidden="1">'[4]8以上社員'!#REF!</definedName>
    <definedName name="_1p5_">[0]!_1p5_</definedName>
    <definedName name="_2.CR??">#REF!</definedName>
    <definedName name="_2.CR明細">[5]MARCH!#REF!</definedName>
    <definedName name="_2__123Graph_Aグラフ_1" hidden="1">#REF!</definedName>
    <definedName name="_2__123Graph_Aグラフ_2" hidden="1">#REF!</definedName>
    <definedName name="_2_0Da" localSheetId="2">#REF!</definedName>
    <definedName name="_2_0Da" localSheetId="4">#REF!</definedName>
    <definedName name="_2_0Da">#REF!</definedName>
    <definedName name="_20_0Print_Area">[3]HA実販!#REF!</definedName>
    <definedName name="_20Da" hidden="1">'[4]8以上社員'!#REF!</definedName>
    <definedName name="_21_３ヵ年月数">#REF!</definedName>
    <definedName name="_21Da" hidden="1">'[4]8以上社員'!#REF!</definedName>
    <definedName name="_22_0Da" hidden="1">'[2]8以上社員'!#REF!</definedName>
    <definedName name="_22Da" hidden="1">'[4]8以上社員'!#REF!</definedName>
    <definedName name="_23Da" hidden="1">'[4]8以上社員'!#REF!</definedName>
    <definedName name="_24Da" hidden="1">'[4]8以上社員'!#REF!</definedName>
    <definedName name="_25_0Da" hidden="1">'[2]8以上社員'!#REF!</definedName>
    <definedName name="_25Da" hidden="1">'[4]8以上社員'!#REF!</definedName>
    <definedName name="_26Print_Area">[3]HA実販!#REF!</definedName>
    <definedName name="_27Da" hidden="1">'[4]8以上社員'!#REF!</definedName>
    <definedName name="_28_0Print_Area">[3]HA実販!#REF!</definedName>
    <definedName name="_28製品クレーム_健康被害">#REF!</definedName>
    <definedName name="_29_３ヵ年月数">#REF!</definedName>
    <definedName name="_29Da" hidden="1">'[4]8以上社員'!#REF!</definedName>
    <definedName name="_2p9_">[0]!_2p9_</definedName>
    <definedName name="_3.TG??">#REF!</definedName>
    <definedName name="_3.TG明細">[5]MARCH!#REF!</definedName>
    <definedName name="_3__123Graph_Xグラフ_1" hidden="1">#REF!</definedName>
    <definedName name="_3_0Da" localSheetId="2">#REF!</definedName>
    <definedName name="_3_0Da" localSheetId="4">#REF!</definedName>
    <definedName name="_3_0Da">#REF!</definedName>
    <definedName name="_31Da" hidden="1">'[4]8以上社員'!#REF!</definedName>
    <definedName name="_32Da" hidden="1">'[4]8以上社員'!#REF!</definedName>
    <definedName name="_33Da" hidden="1">'[4]8以上社員'!#REF!</definedName>
    <definedName name="_35Da" hidden="1">'[4]8以上社員'!#REF!</definedName>
    <definedName name="_37Print_Area">[3]HA実販!#REF!</definedName>
    <definedName name="_38Da" hidden="1">'[4]8以上社員'!#REF!</definedName>
    <definedName name="_39製品クレーム_健康被害">#REF!</definedName>
    <definedName name="_3p91_">[0]!_3p91_</definedName>
    <definedName name="_4.?????">#REF!</definedName>
    <definedName name="_4.半製品明細">[5]MARCH!#REF!</definedName>
    <definedName name="_4__123Graph_Aグラフ_2" hidden="1">#REF!</definedName>
    <definedName name="_4__123Graph_Xグラフ_2" hidden="1">#REF!</definedName>
    <definedName name="_4_0Da" localSheetId="2">#REF!</definedName>
    <definedName name="_4_0Da" localSheetId="4">#REF!</definedName>
    <definedName name="_4_0Da">#REF!</definedName>
    <definedName name="_41Da" hidden="1">'[4]8以上社員'!#REF!</definedName>
    <definedName name="_44Da" hidden="1">'[4]8以上社員'!#REF!</definedName>
    <definedName name="_47Da" hidden="1">'[4]8以上社員'!#REF!</definedName>
    <definedName name="_5.??_1_">#REF!</definedName>
    <definedName name="_5_0Da" localSheetId="2">#REF!</definedName>
    <definedName name="_5_0Da" localSheetId="4">#REF!</definedName>
    <definedName name="_5_0Da">#REF!</definedName>
    <definedName name="_50Da" hidden="1">'[4]8以上社員'!#REF!</definedName>
    <definedName name="_53Print_Area">[3]HA実販!#REF!</definedName>
    <definedName name="_56製品クレーム_健康被害">#REF!</definedName>
    <definedName name="_6.??_2_">#REF!</definedName>
    <definedName name="_6.配賦_2_">[5]MARCH!#REF!</definedName>
    <definedName name="_6__123Graph_Xグラフ_1" hidden="1">#REF!</definedName>
    <definedName name="_6_0Da" localSheetId="2">#REF!</definedName>
    <definedName name="_6_0Da" localSheetId="4">#REF!</definedName>
    <definedName name="_6_0Da">#REF!</definedName>
    <definedName name="_7_0Da" localSheetId="2">#REF!</definedName>
    <definedName name="_7_0Da" localSheetId="4">#REF!</definedName>
    <definedName name="_7_0Da">#REF!</definedName>
    <definedName name="_8__123Graph_Xグラフ_2" hidden="1">#REF!</definedName>
    <definedName name="_8_0Da" hidden="1">'[2]8以上社員'!#REF!</definedName>
    <definedName name="_9_0Da" hidden="1">'[2]8以上社員'!#REF!</definedName>
    <definedName name="_9Da" localSheetId="2">#REF!</definedName>
    <definedName name="_9Da" localSheetId="4">#REF!</definedName>
    <definedName name="_9Da">#REF!</definedName>
    <definedName name="_c" localSheetId="2">#REF!</definedName>
    <definedName name="_c" localSheetId="4">#REF!</definedName>
    <definedName name="_c">#REF!</definedName>
    <definedName name="_xlnm._FilterDatabase" localSheetId="1" hidden="1">'DR2'!$C$8:$H$8</definedName>
    <definedName name="_Key1" hidden="1">[6]賞与･年収!$D$2</definedName>
    <definedName name="_Order1" hidden="1">0</definedName>
    <definedName name="_p9">[0]!_p9</definedName>
    <definedName name="_p91">[0]!_p91</definedName>
    <definedName name="_PL2006" hidden="1">#REF!</definedName>
    <definedName name="_Regression_Int" hidden="1">1</definedName>
    <definedName name="_Sort" hidden="1">[6]賞与･年収!$A$2:$H$1603</definedName>
    <definedName name="_TWP1">[0]!_TWP1</definedName>
    <definedName name="\a">#REF!</definedName>
    <definedName name="\b">#REF!</definedName>
    <definedName name="\c">#REF!</definedName>
    <definedName name="\d">[1]ﾌﾟﾚｾﾞﾝ資!$E$16</definedName>
    <definedName name="\e">[1]ﾌﾟﾚｾﾞﾝ資!$E$19</definedName>
    <definedName name="\f">[1]ﾌﾟﾚｾﾞﾝ資!$E$21</definedName>
    <definedName name="①">#REF!</definedName>
    <definedName name="②">#REF!</definedName>
    <definedName name="A" localSheetId="2">#REF!</definedName>
    <definedName name="A" localSheetId="4">#REF!</definedName>
    <definedName name="A">#REF!</definedName>
    <definedName name="aa" localSheetId="2">#REF!</definedName>
    <definedName name="aa" localSheetId="4">#REF!</definedName>
    <definedName name="aa">#REF!</definedName>
    <definedName name="aaa">[0]!aaa</definedName>
    <definedName name="aaaa">[0]!aaaa</definedName>
    <definedName name="aaaaaaaaaaaaaaa">[0]!aaaaaaaaaaaaaaa</definedName>
    <definedName name="Access_Button" hidden="1">"H9審査ﾘｽ_審査出席_List"</definedName>
    <definedName name="AccessDatabase" hidden="1">"C:\DATA\H9審査ﾘｽ.mdb"</definedName>
    <definedName name="ad">[0]!ad</definedName>
    <definedName name="ALL">#REF!</definedName>
    <definedName name="ASSETS">'[7]Balance Sheet'!$B$7:$E$55</definedName>
    <definedName name="asss">[0]!asss</definedName>
    <definedName name="B" localSheetId="2">#REF!</definedName>
    <definedName name="B" localSheetId="4">#REF!</definedName>
    <definedName name="B">#REF!</definedName>
    <definedName name="BAL">#REF!</definedName>
    <definedName name="BBB">[0]!BBB</definedName>
    <definedName name="BBBBBB">[0]!BBBBBB</definedName>
    <definedName name="BS">'[8]99年度月別PL予測'!#REF!</definedName>
    <definedName name="BUDGET" localSheetId="4">#REF!</definedName>
    <definedName name="C_MINASIH_みなし払出区分E">[9]C2!#REF!</definedName>
    <definedName name="C_MINASIH_みなし払出区分F">[9]C2!#REF!</definedName>
    <definedName name="Calender">[10]Calender!$A$1:$B$109</definedName>
    <definedName name="CEYTD">'[11]SGA&amp;F'!#REF!</definedName>
    <definedName name="CFMO">#REF!</definedName>
    <definedName name="CFYTD">#REF!</definedName>
    <definedName name="Check">[12]Sheet2!$A$1:$A$65536</definedName>
    <definedName name="CLEAR_SUB">[13]!CLEAR_SUB</definedName>
    <definedName name="COGYTD">'[14]Cost of Goods Manu'!#REF!</definedName>
    <definedName name="Cp">#REF!</definedName>
    <definedName name="D" localSheetId="2">#REF!</definedName>
    <definedName name="D" localSheetId="4">#REF!</definedName>
    <definedName name="D">#REF!</definedName>
    <definedName name="D1_HANI_SET">[15]!D1_HANI_SET</definedName>
    <definedName name="D1_KEY1_SET">[15]!D1_KEY1_SET</definedName>
    <definedName name="D1_KEY2_SET">[15]!D1_KEY2_SET</definedName>
    <definedName name="D1_KEY3_SET">[15]!D1_KEY3_SET</definedName>
    <definedName name="Data1" localSheetId="2">#REF!</definedName>
    <definedName name="Data1" localSheetId="4">#REF!</definedName>
    <definedName name="Data1">#REF!</definedName>
    <definedName name="Data10" localSheetId="2">#REF!</definedName>
    <definedName name="Data10" localSheetId="4">#REF!</definedName>
    <definedName name="Data10">#REF!</definedName>
    <definedName name="Data2" localSheetId="2">#REF!</definedName>
    <definedName name="Data2" localSheetId="4">#REF!</definedName>
    <definedName name="Data2">#REF!</definedName>
    <definedName name="Data3" localSheetId="2">#REF!</definedName>
    <definedName name="Data3" localSheetId="4">#REF!</definedName>
    <definedName name="Data3">#REF!</definedName>
    <definedName name="Data4" localSheetId="2">#REF!</definedName>
    <definedName name="Data4" localSheetId="4">#REF!</definedName>
    <definedName name="Data4">#REF!</definedName>
    <definedName name="Data5" localSheetId="2">#REF!</definedName>
    <definedName name="Data5" localSheetId="4">#REF!</definedName>
    <definedName name="Data5">#REF!</definedName>
    <definedName name="Data6" localSheetId="2">#REF!</definedName>
    <definedName name="Data6" localSheetId="4">#REF!</definedName>
    <definedName name="Data6">#REF!</definedName>
    <definedName name="Data7" localSheetId="2">#REF!</definedName>
    <definedName name="Data7" localSheetId="4">#REF!</definedName>
    <definedName name="Data7">#REF!</definedName>
    <definedName name="Data8" localSheetId="2">#REF!</definedName>
    <definedName name="Data8" localSheetId="4">#REF!</definedName>
    <definedName name="Data8">#REF!</definedName>
    <definedName name="Data9" localSheetId="2">#REF!</definedName>
    <definedName name="Data9" localSheetId="4">#REF!</definedName>
    <definedName name="Data9">#REF!</definedName>
    <definedName name="_xlnm.Database">#REF!</definedName>
    <definedName name="ddd">[0]!ddd</definedName>
    <definedName name="difjaiofhoawhfo">[0]!difjaiofhoawhfo</definedName>
    <definedName name="DIR_TENKAI">[16]!DIR_TENKAI</definedName>
    <definedName name="ｄｌｄｌｆｌ">#REF!</definedName>
    <definedName name="drive">#REF!</definedName>
    <definedName name="dvasf">#REF!</definedName>
    <definedName name="E" localSheetId="2">#REF!</definedName>
    <definedName name="E" localSheetId="4">#REF!</definedName>
    <definedName name="E">#REF!</definedName>
    <definedName name="eee">[0]!eee</definedName>
    <definedName name="EIPL" localSheetId="2">#REF!</definedName>
    <definedName name="EIPL" localSheetId="4">#REF!</definedName>
    <definedName name="EIPL">#REF!</definedName>
    <definedName name="F" localSheetId="2">#REF!</definedName>
    <definedName name="F" localSheetId="4">#REF!</definedName>
    <definedName name="F">#REF!</definedName>
    <definedName name="FAMO">#REF!</definedName>
    <definedName name="fan">'[17]Income Statement'!$B$40:$C$42</definedName>
    <definedName name="FAYTD">#REF!</definedName>
    <definedName name="ｆｄ">#REF!</definedName>
    <definedName name="ｆｄｃ">#REF!</definedName>
    <definedName name="fgfg">[0]!fgfg</definedName>
    <definedName name="FILE_SELECT">[16]!FILE_SELECT</definedName>
    <definedName name="fr">#REF!</definedName>
    <definedName name="FS">#REF!</definedName>
    <definedName name="fvd">[18]!営業部別配荷</definedName>
    <definedName name="fvofejvaor">#REF!</definedName>
    <definedName name="G" localSheetId="2">#REF!</definedName>
    <definedName name="G" localSheetId="4">#REF!</definedName>
    <definedName name="G">#REF!</definedName>
    <definedName name="gb">#REF!</definedName>
    <definedName name="gbgf">'[19]Balance Sheet'!$B$7:$E$55</definedName>
    <definedName name="ｇｇｇ" hidden="1">{"'Sheet1'!$A$3:$I$11"}</definedName>
    <definedName name="H" localSheetId="2">#REF!</definedName>
    <definedName name="H" localSheetId="4">#REF!</definedName>
    <definedName name="H">#REF!</definedName>
    <definedName name="hazuki" localSheetId="2">#REF!</definedName>
    <definedName name="hazuki" localSheetId="4">#REF!</definedName>
    <definedName name="hazuki">#REF!</definedName>
    <definedName name="HELP_HELP">[15]!HELP_HELP</definedName>
    <definedName name="HENKAN">[0]!HENKAN</definedName>
    <definedName name="hi">[0]!hi</definedName>
    <definedName name="HTML_CodePage" hidden="1">932</definedName>
    <definedName name="HTML_Control" hidden="1">{"'写真'!$A$1:$C$3"}</definedName>
    <definedName name="HTML_Control2" hidden="1">{"'Sheet1'!$A$3:$I$11"}</definedName>
    <definedName name="HTML_Description" hidden="1">""</definedName>
    <definedName name="HTML_Email" hidden="1">""</definedName>
    <definedName name="HTML_Header" hidden="1">"写真"</definedName>
    <definedName name="HTML_LastUpdate" hidden="1">"99/09/16"</definedName>
    <definedName name="HTML_LineAfter" hidden="1">FALSE</definedName>
    <definedName name="HTML_LineBefore" hidden="1">FALSE</definedName>
    <definedName name="HTML_Name" hidden="1">"株式会社エンゼル"</definedName>
    <definedName name="HTML_OBDlg2" hidden="1">TRUE</definedName>
    <definedName name="HTML_OBDlg4" hidden="1">TRUE</definedName>
    <definedName name="HTML_OS" hidden="1">0</definedName>
    <definedName name="HTML_PathFile" hidden="1">"E:\台風16号被害990916\MyHTML.htm"</definedName>
    <definedName name="HTML_Title" hidden="1">"写真"</definedName>
    <definedName name="ＩＩ">[0]!ＩＩ</definedName>
    <definedName name="ima" localSheetId="2">#REF!</definedName>
    <definedName name="ima" localSheetId="4">#REF!</definedName>
    <definedName name="ima">#REF!</definedName>
    <definedName name="item">[20]W070403!$L$1:$L$65536</definedName>
    <definedName name="J" localSheetId="2">#REF!</definedName>
    <definedName name="J" localSheetId="4">#REF!</definedName>
    <definedName name="J">#REF!</definedName>
    <definedName name="K" localSheetId="2">#REF!</definedName>
    <definedName name="K" localSheetId="4">#REF!</definedName>
    <definedName name="K">#REF!</definedName>
    <definedName name="L" localSheetId="2">#REF!</definedName>
    <definedName name="L" localSheetId="4">#REF!</definedName>
    <definedName name="L">#REF!</definedName>
    <definedName name="LIAB">'[7]Balance Sheet'!$B$57:$E$96</definedName>
    <definedName name="LTTC" localSheetId="2">#REF!</definedName>
    <definedName name="LTTC" localSheetId="4">#REF!</definedName>
    <definedName name="LTTC">#REF!</definedName>
    <definedName name="M" hidden="1">[21]賞与･年収!$A$2:$H$1603</definedName>
    <definedName name="M_COSTCENTER_コストセンタマスタE">[9]M2!#REF!</definedName>
    <definedName name="M_COSTCENTER_コストセンタマスタF">[9]M2!#REF!</definedName>
    <definedName name="M_HINMO_主工程コードA">[22]M1!#REF!</definedName>
    <definedName name="M_HINMO_主工程コードB">[22]M1!#REF!</definedName>
    <definedName name="M_HINMO_主工程コードD">[22]M1!#REF!</definedName>
    <definedName name="M_HINMO_主工程コードE">[22]M1!#REF!</definedName>
    <definedName name="M_HINMO_主工程コードF">[22]M1!#REF!</definedName>
    <definedName name="M_HINMO_主工程コードG">[22]M1!#REF!</definedName>
    <definedName name="M_HINMO_主工程コードH">[22]M1!#REF!</definedName>
    <definedName name="M_HINMO_主工程コードJ">[22]M1!#REF!</definedName>
    <definedName name="M_HINMO_品名略称A">[22]M1!#REF!</definedName>
    <definedName name="M_HINMO_品名略称B">[22]M1!#REF!</definedName>
    <definedName name="M_HINMO_品名略称D">[22]M1!#REF!</definedName>
    <definedName name="M_HINMO_品名略称E">[22]M1!#REF!</definedName>
    <definedName name="M_HINMO_品名略称F">[22]M1!#REF!</definedName>
    <definedName name="M_HINMO_品名略称G">[22]M1!#REF!</definedName>
    <definedName name="M_HINMO_品名略称H">[22]M1!#REF!</definedName>
    <definedName name="M_HINMO_品名略称J">[22]M1!#REF!</definedName>
    <definedName name="M_HINMOG_代表品目コードE">[22]M2!#REF!</definedName>
    <definedName name="M_HINMOG_代表品目コードF">[22]M2!#REF!</definedName>
    <definedName name="M_HINMOG_代表品目コードG">[22]M2!#REF!</definedName>
    <definedName name="M_LINE_ラインコードB">[9]M2!#REF!</definedName>
    <definedName name="M_LINE_ラインコードE">[9]M2!#REF!</definedName>
    <definedName name="M_LINE_ラインコードF">[9]M2!#REF!</definedName>
    <definedName name="M_PLANT_工場区分E">[22]M2!#REF!</definedName>
    <definedName name="M_PLANT_工場区分F">[22]M2!#REF!</definedName>
    <definedName name="M_S" localSheetId="2">#REF!</definedName>
    <definedName name="M_S" localSheetId="4">#REF!</definedName>
    <definedName name="M_S">#REF!</definedName>
    <definedName name="M_SAGYOU_作業コードE">[22]MG!#REF!</definedName>
    <definedName name="M_SAGYOU_作業コードF">[22]MG!#REF!</definedName>
    <definedName name="M_TANTO_担当者課別コードE">[22]M2!#REF!</definedName>
    <definedName name="M_TANTO_担当者課別コードF">[22]M2!#REF!</definedName>
    <definedName name="mmm" localSheetId="2">#REF!</definedName>
    <definedName name="mmm" localSheetId="4">#REF!</definedName>
    <definedName name="mmm">#REF!</definedName>
    <definedName name="MVMH">[0]!MVMH</definedName>
    <definedName name="ｎ">[21]賞与･年収!$D$2</definedName>
    <definedName name="name">[23]Sheet1!$A$1:$A$65536</definedName>
    <definedName name="NOTESDATA">#REF!</definedName>
    <definedName name="o">#REF!</definedName>
    <definedName name="oc">[3]HA実販!#REF!</definedName>
    <definedName name="PAL" localSheetId="2">#REF!</definedName>
    <definedName name="PAL" localSheetId="4">#REF!</definedName>
    <definedName name="PAL">#REF!</definedName>
    <definedName name="PL">#REF!</definedName>
    <definedName name="PLMO">'[7]Income Statement'!$B$7:$C$38</definedName>
    <definedName name="PLYTD">'[7]Income Statement'!$B$40:$C$42</definedName>
    <definedName name="_xlnm.Print_Area">#REF!</definedName>
    <definedName name="Print_Area_MI" localSheetId="2">#REF!</definedName>
    <definedName name="Print_Area_MI" localSheetId="4">#REF!</definedName>
    <definedName name="Print_Area_MI">#REF!</definedName>
    <definedName name="_xlnm.Print_Titles">#REF!</definedName>
    <definedName name="PRINT_TITLES_MI">#REF!</definedName>
    <definedName name="purpose" localSheetId="4">#REF!</definedName>
    <definedName name="Q" localSheetId="2">#REF!</definedName>
    <definedName name="Q" localSheetId="4">#REF!</definedName>
    <definedName name="Q">#REF!</definedName>
    <definedName name="qcg">[0]!qcg</definedName>
    <definedName name="ｑｑｑ">[0]!ｑｑｑ</definedName>
    <definedName name="qqqq">[0]!qqqq</definedName>
    <definedName name="qqww">[0]!qqww</definedName>
    <definedName name="ｑｗ">[0]!ｑｗ</definedName>
    <definedName name="reason" localSheetId="4">#REF!</definedName>
    <definedName name="Record">#REF!</definedName>
    <definedName name="Record1">#REF!</definedName>
    <definedName name="Record10">#REF!</definedName>
    <definedName name="Record2">#REF!</definedName>
    <definedName name="Record20">#REF!</definedName>
    <definedName name="Record3">#REF!</definedName>
    <definedName name="Record4">#REF!</definedName>
    <definedName name="Record5">#REF!</definedName>
    <definedName name="record9">#REF!</definedName>
    <definedName name="_xlnm.Recorder">#REF!</definedName>
    <definedName name="Recorder1">#REF!</definedName>
    <definedName name="Recorder10">#REF!</definedName>
    <definedName name="Recorder3">#REF!</definedName>
    <definedName name="Recorder4">#REF!</definedName>
    <definedName name="rr">[0]!rr</definedName>
    <definedName name="SFM" localSheetId="2">#REF!</definedName>
    <definedName name="SFM" localSheetId="4">#REF!</definedName>
    <definedName name="SFM">#REF!</definedName>
    <definedName name="SPSS">#REF!</definedName>
    <definedName name="syou2">'[24]Income Statement'!$B$7:$C$38</definedName>
    <definedName name="syou4">#REF!</definedName>
    <definedName name="syoudan">#REF!</definedName>
    <definedName name="t">[0]!t</definedName>
    <definedName name="T_JHIKIATE_引当ＮＯE">[22]T3!#REF!</definedName>
    <definedName name="T_JHIKIATE_引当ＮＯF">[22]T3!#REF!</definedName>
    <definedName name="T_NYUKO_シーケンスＮＯE">[22]T2!#REF!</definedName>
    <definedName name="T_NYUKO_シーケンスＮＯF">[22]T2!#REF!</definedName>
    <definedName name="T_NYUKO_伝票ＮＯE">[22]T2!#REF!</definedName>
    <definedName name="T_NYUKO_伝票ＮＯF">[22]T2!#REF!</definedName>
    <definedName name="T_SHUKKAJ_更新連番E">[22]T3!#REF!</definedName>
    <definedName name="T_SHUKKAJ_更新連番F">[22]T3!#REF!</definedName>
    <definedName name="TB">#REF!</definedName>
    <definedName name="TEMP">[0]!TEMP</definedName>
    <definedName name="TEMP1">[0]!TEMP1</definedName>
    <definedName name="TEMP２">[0]!TEMP２</definedName>
    <definedName name="toire">'[25]SGA&amp;F'!#REF!</definedName>
    <definedName name="toire2">#REF!</definedName>
    <definedName name="toire3">'[25]Cost of Goods Manu'!#REF!</definedName>
    <definedName name="toire4">#REF!</definedName>
    <definedName name="toire5">#REF!</definedName>
    <definedName name="toire6">'[17]Balance Sheet'!$B$57:$E$96</definedName>
    <definedName name="toire7">'[17]Income Statement'!$B$7:$C$38</definedName>
    <definedName name="TREATMENT" localSheetId="4">#REF!</definedName>
    <definedName name="ttttt">[0]!ttttt</definedName>
    <definedName name="tttttt">[0]!tttttt</definedName>
    <definedName name="tttttttttttt">[0]!tttttttttttt</definedName>
    <definedName name="type" localSheetId="2">#REF!</definedName>
    <definedName name="type">#REF!</definedName>
    <definedName name="usernameTF">"usernameTF"</definedName>
    <definedName name="V" localSheetId="2">#REF!</definedName>
    <definedName name="V" localSheetId="4">#REF!</definedName>
    <definedName name="V">#REF!</definedName>
    <definedName name="V_BASHO_内外区分A">[22]M1!#REF!</definedName>
    <definedName name="V_BASHO_内外区分E">[22]M1!#REF!</definedName>
    <definedName name="V_BASHO_内外区分F">[22]M1!#REF!</definedName>
    <definedName name="V_BASHO_内外区分G">[22]M1!#REF!</definedName>
    <definedName name="V_BASHO_内外区分H">[22]M1!#REF!</definedName>
    <definedName name="V_ORDERZ_FOREIGN格納先場所コードO">#REF!</definedName>
    <definedName name="V_ORDERZ_FOREIGN格納品目コードO">#REF!</definedName>
    <definedName name="V_ORDERZ_FOREIGN製造場所コードO">#REF!</definedName>
    <definedName name="V_ORDERZ_FOREIGN品目コードO">#REF!</definedName>
    <definedName name="V_ORDERZ_t_mrpshoyo_arrayO">#REF!</definedName>
    <definedName name="V_ORDERZ_オーダＮＯO">#REF!</definedName>
    <definedName name="V_ORDERZ_オーダ区分O">#REF!</definedName>
    <definedName name="V_ORDERZ_オーダ残O">#REF!</definedName>
    <definedName name="V_ORDERZ_オーダ状況区分O">#REF!</definedName>
    <definedName name="V_ORDERZ_ひもつきオーダＮＯO">#REF!</definedName>
    <definedName name="V_ORDERZ_格納完了予定日O">#REF!</definedName>
    <definedName name="V_ORDERZ_格納先場所コードO">#REF!</definedName>
    <definedName name="V_ORDERZ_格納品目コードO">#REF!</definedName>
    <definedName name="V_ORDERZ_構成パターンO">#REF!</definedName>
    <definedName name="V_ORDERZ_最上位オーダＮＯO">#REF!</definedName>
    <definedName name="V_ORDERZ_使用可能予定日O">#REF!</definedName>
    <definedName name="V_ORDERZ_枝番O">#REF!</definedName>
    <definedName name="V_ORDERZ_所要ＮＯO">#REF!</definedName>
    <definedName name="V_ORDERZ_製造終了予定日O">#REF!</definedName>
    <definedName name="V_ORDERZ_製造場所コードO">#REF!</definedName>
    <definedName name="V_ORDERZ_製造着手予定日O">#REF!</definedName>
    <definedName name="V_ORDERZ_品目コードO">#REF!</definedName>
    <definedName name="V_ORDERZ_未指図数O">#REF!</definedName>
    <definedName name="V_SASHIZU_FOREIGN格納先場所コードO">#REF!</definedName>
    <definedName name="V_SASHIZU_FOREIGN格納品目コードO">#REF!</definedName>
    <definedName name="V_SASHIZU_FOREIGN製造場所コードO">#REF!</definedName>
    <definedName name="V_SASHIZU_オーダＮＯO">#REF!</definedName>
    <definedName name="V_SASHIZU_ひもつきオーダＮＯO">#REF!</definedName>
    <definedName name="V_SASHIZU_指図残O">#REF!</definedName>
    <definedName name="V_SASHIZU_枝番O">#REF!</definedName>
    <definedName name="V_SASHIZU_製造場所コードO">#REF!</definedName>
    <definedName name="V_SASHIZU_変更後品目コードO">#REF!</definedName>
    <definedName name="V_SHOYO_所要NOO">#REF!</definedName>
    <definedName name="V_SHOYO_所要量O">#REF!</definedName>
    <definedName name="V_SHOYO_場所コードO">#REF!</definedName>
    <definedName name="V_SHOYO_納期O">#REF!</definedName>
    <definedName name="V_SHOYO_品目コードO">#REF!</definedName>
    <definedName name="V_TOUNYU_オーダＮＯO">#REF!</definedName>
    <definedName name="V_TOUNYU_在庫引当区分O">#REF!</definedName>
    <definedName name="V_TOUNYU_指図ＮＯO">#REF!</definedName>
    <definedName name="V_TOUNYU_枝番O">#REF!</definedName>
    <definedName name="V_TOUNYU_投入予定残数O">#REF!</definedName>
    <definedName name="V_ZAIKO_ロットＮＯO">#REF!</definedName>
    <definedName name="V_ZAIKO_変更後在庫区分O">#REF!</definedName>
    <definedName name="valtype" localSheetId="4">#REF!</definedName>
    <definedName name="vtype" localSheetId="4">#REF!</definedName>
    <definedName name="w">[0]!w</definedName>
    <definedName name="ＷＩＬＬ進捗">[0]!ＷＩＬＬ進捗</definedName>
    <definedName name="ｗｗｗ">[0]!ｗｗｗ</definedName>
    <definedName name="X" localSheetId="2">#REF!</definedName>
    <definedName name="X" localSheetId="4">#REF!</definedName>
    <definedName name="X">#REF!</definedName>
    <definedName name="xxx">[26]MARCH!#REF!</definedName>
    <definedName name="xxxxxxxx">[27]FS0903!$A$119:$D$373</definedName>
    <definedName name="ｙｙｙｙｙ">[0]!ｙｙｙｙｙ</definedName>
    <definedName name="Z" localSheetId="2">#REF!</definedName>
    <definedName name="Z" localSheetId="4">#REF!</definedName>
    <definedName name="Z">#REF!</definedName>
    <definedName name="あ">[0]!あ</definedName>
    <definedName name="あｑ" hidden="1">{"'Sheet1'!$A$3:$I$11"}</definedName>
    <definedName name="あｑｗ">[0]!あｑｗ</definedName>
    <definedName name="ああ">[0]!ああ</definedName>
    <definedName name="あああ">[0]!あああ</definedName>
    <definedName name="あああｑ">[0]!あああｑ</definedName>
    <definedName name="あああああ">[0]!あああああ</definedName>
    <definedName name="アイテム" localSheetId="2">#REF!</definedName>
    <definedName name="アイテム" localSheetId="4">#REF!</definedName>
    <definedName name="アイテム">#REF!</definedName>
    <definedName name="アイテム1" localSheetId="2">#REF!</definedName>
    <definedName name="アイテム1" localSheetId="4">#REF!</definedName>
    <definedName name="アイテム1">#REF!</definedName>
    <definedName name="あら">#REF!</definedName>
    <definedName name="いいかげん">'[7]Income Statement'!$B$7:$C$38</definedName>
    <definedName name="いま" localSheetId="2">#REF!</definedName>
    <definedName name="いま" localSheetId="4">#REF!</definedName>
    <definedName name="いま">#REF!</definedName>
    <definedName name="エリア人数">#REF!</definedName>
    <definedName name="エリア地域ｺｰﾄﾞ">#REF!</definedName>
    <definedName name="エリア統合番号">#REF!</definedName>
    <definedName name="おい">[0]!おい</definedName>
    <definedName name="おいい">[0]!おいい</definedName>
    <definedName name="おお">[0]!おお</definedName>
    <definedName name="オーラル">#REF!</definedName>
    <definedName name="オブジェクトの定義">#REF!</definedName>
    <definedName name="カテゴリー">#REF!</definedName>
    <definedName name="くぇ">[0]!くぇ</definedName>
    <definedName name="さあさ">[0]!さあさ</definedName>
    <definedName name="ささ" hidden="1">{"'Sheet1'!$A$3:$I$11"}</definedName>
    <definedName name="スキンケア">#REF!</definedName>
    <definedName name="スケジュール">[0]!スケジュール</definedName>
    <definedName name="スズラン商品加工甲数">[28]ス商品!$D$1:$D$65536</definedName>
    <definedName name="スズラン商品加工数">[28]ス商品!$E$1:$E$65536</definedName>
    <definedName name="テーマ名">[29]コストダウン資料!$K$5</definedName>
    <definedName name="にしろ">'[7]Income Statement'!$B$40:$C$42</definedName>
    <definedName name="ハーブ商品加工甲数">[28]ハ商品!$D$1:$D$65536</definedName>
    <definedName name="ブルーレット収納">#REF!</definedName>
    <definedName name="へん１">[0]!へん１</definedName>
    <definedName name="ホワイトホール">#REF!</definedName>
    <definedName name="マクロ実行">#REF!</definedName>
    <definedName name="まとめ">[30]コストダウン資料!$C$46</definedName>
    <definedName name="ﾒﾃﾞｨｱ">#REF!</definedName>
    <definedName name="ﾒﾃﾞｨｱ10">#REF!</definedName>
    <definedName name="ﾒﾃﾞｨｱ12">'[25]Cost of Goods Manu'!#REF!</definedName>
    <definedName name="ﾒﾃﾞｨｱ15">#REF!</definedName>
    <definedName name="ﾒﾃﾞｨｱ16">'[17]Balance Sheet'!$B$57:$E$96</definedName>
    <definedName name="ﾒﾃﾞｨｱ20">'[17]Income Statement'!$B$7:$C$38</definedName>
    <definedName name="ﾒﾃﾞｨｱ4">#REF!</definedName>
    <definedName name="ﾒﾃﾞｨｱ6">#REF!</definedName>
    <definedName name="ﾒﾃﾞｨｱ8">#REF!</definedName>
    <definedName name="ﾒﾃﾞｨｱ9">'[25]SGA&amp;F'!#REF!</definedName>
    <definedName name="メンバー名">[29]コストダウン資料!$K$10</definedName>
    <definedName name="ﾚﾋﾞｭｰ">'[19]Income Statement'!$B$7:$C$38</definedName>
    <definedName name="ﾚﾋﾞｭｰ2">'[19]Income Statement'!$B$40:$C$42</definedName>
    <definedName name="ﾚﾋﾞｭｰ3">#REF!</definedName>
    <definedName name="ﾚﾋﾞｭｰ4">#REF!</definedName>
    <definedName name="ﾚﾋﾞｭｰ6">'[24]Balance Sheet'!$B$57:$E$96</definedName>
    <definedName name="ﾚﾋﾞｭｰ7">'[24]Income Statement'!$B$7:$C$38</definedName>
    <definedName name="ロング">[31]コストダウン資料!$K$10</definedName>
    <definedName name="医薬品">#REF!</definedName>
    <definedName name="印刷">#REF!</definedName>
    <definedName name="営業">#REF!</definedName>
    <definedName name="営業10">#REF!</definedName>
    <definedName name="営業12">'[24]Balance Sheet'!$B$57:$E$96</definedName>
    <definedName name="営業13">'[24]Income Statement'!$B$7:$C$38</definedName>
    <definedName name="営業14">'[24]Income Statement'!$B$40:$C$42</definedName>
    <definedName name="営業17">#REF!</definedName>
    <definedName name="営業18">'[19]Income Statement'!$B$7:$C$38</definedName>
    <definedName name="営業19">'[19]Income Statement'!$B$40:$C$42</definedName>
    <definedName name="営業２">'[24]Balance Sheet'!$B$7:$E$55</definedName>
    <definedName name="営業３">'[32]SGA&amp;F'!#REF!</definedName>
    <definedName name="営業４">#REF!</definedName>
    <definedName name="営業５">#REF!</definedName>
    <definedName name="営業６">'[32]Cost of Goods Manu'!#REF!</definedName>
    <definedName name="営業８">#REF!</definedName>
    <definedName name="営業９">#REF!</definedName>
    <definedName name="営業部別配荷">[33]!営業部別配荷</definedName>
    <definedName name="衛生雑貨">#REF!</definedName>
    <definedName name="価格表" localSheetId="2">#REF!</definedName>
    <definedName name="価格表" localSheetId="4">#REF!</definedName>
    <definedName name="価格表">#REF!</definedName>
    <definedName name="稼動データ範囲">OFFSET([34]稼動データ!$A$1,0,0,COUNTA([34]稼動データ!$A$1:$A$65536),20)</definedName>
    <definedName name="回収状況">#REF!</definedName>
    <definedName name="回収状況1">#REF!</definedName>
    <definedName name="各営業部">[33]!各営業部</definedName>
    <definedName name="拡張_EDIT">[16]!拡張_EDIT</definedName>
    <definedName name="拡張_INPUT">[16]!拡張_INPUT</definedName>
    <definedName name="拡張_SELECT">[16]!拡張_SELECT</definedName>
    <definedName name="監査">[0]!監査</definedName>
    <definedName name="期間開始日">[35]マクロ実行!$B$2</definedName>
    <definedName name="期間終了日">[35]マクロ実行!$B$3</definedName>
    <definedName name="休日">[36]休日設定!$C$3:$F$460</definedName>
    <definedName name="許可品原料">#REF!</definedName>
    <definedName name="許可品資材">#REF!</definedName>
    <definedName name="許認可" localSheetId="2">#REF!</definedName>
    <definedName name="許認可" localSheetId="4">#REF!</definedName>
    <definedName name="許認可">#REF!</definedName>
    <definedName name="許認可1" localSheetId="2">#REF!</definedName>
    <definedName name="許認可1" localSheetId="4">#REF!</definedName>
    <definedName name="許認可1">#REF!</definedName>
    <definedName name="業態別配荷">[33]!業態別配荷</definedName>
    <definedName name="金額">[29]コストダウン資料!$I$31</definedName>
    <definedName name="契約社員">[37]契約社員!$A$3:$A$32</definedName>
    <definedName name="計画表">'[38]#REF'!$A$1:$L$108</definedName>
    <definedName name="月次レポート">[39]MARCH!#REF!</definedName>
    <definedName name="月次ﾚﾎﾟｰﾄイグリン">[39]MARCH!#REF!</definedName>
    <definedName name="月数" localSheetId="2">#REF!</definedName>
    <definedName name="月数" localSheetId="4">#REF!</definedName>
    <definedName name="月数">#REF!</definedName>
    <definedName name="健康食品群">#REF!</definedName>
    <definedName name="健食ﾃﾞｰﾀ">[40]原価詳細!$AD$17:$BC$101</definedName>
    <definedName name="健食訂正まえ">[0]!健食訂正まえ</definedName>
    <definedName name="健食訂正前">[0]!健食訂正前</definedName>
    <definedName name="原料">[41]原料!$B$3:$E$700</definedName>
    <definedName name="原料費">[0]!原料費</definedName>
    <definedName name="個数">'[42]３ヶ月計画書(前半)'!$C$15:$C$29,'[42]３ヶ月計画書(前半)'!$E$15:$E$29,'[42]３ヶ月計画書(前半)'!$G$15:$G$29,'[42]３ヶ月計画書(前半)'!$I$15:$I$29,'[42]３ヶ月計画書(前半)'!$K$15:$K$29,'[42]３ヶ月計画書(前半)'!$M$15:$M$29,'[42]３ヶ月計画書(前半)'!$K$32:$K$40,'[42]３ヶ月計画書(前半)'!$G$32:$G$40,'[42]３ヶ月計画書(前半)'!$C$39,'[42]３ヶ月計画書(前半)'!$C$32:$C$40</definedName>
    <definedName name="顧客属性_全本商品">#REF!</definedName>
    <definedName name="後期">[0]!後期</definedName>
    <definedName name="広告の１">#REF!</definedName>
    <definedName name="最終日">[35]マクロ実行!$B$4</definedName>
    <definedName name="作業内容">#REF!</definedName>
    <definedName name="三択">#REF!</definedName>
    <definedName name="仕入れ先名" localSheetId="2">#REF!</definedName>
    <definedName name="仕入れ先名" localSheetId="4">#REF!</definedName>
    <definedName name="仕入れ先名">#REF!</definedName>
    <definedName name="仕入実績">OFFSET([43]資材Ｍ!$C$1,2,0,COUNTA([43]資材Ｍ!$A$1:$A$65536)-2,1)</definedName>
    <definedName name="四択">#REF!</definedName>
    <definedName name="資料" localSheetId="2">#REF!</definedName>
    <definedName name="資料" localSheetId="4">#REF!</definedName>
    <definedName name="資料">#REF!</definedName>
    <definedName name="資料６">[31]コストダウン資料!$K$5</definedName>
    <definedName name="写真①">#REF!</definedName>
    <definedName name="写真②">#REF!</definedName>
    <definedName name="取込フォーム設定" localSheetId="2">#REF!</definedName>
    <definedName name="取込フォーム設定" localSheetId="4">#REF!</definedName>
    <definedName name="取込フォーム設定">#REF!</definedName>
    <definedName name="取込フォーム設定1" localSheetId="2">#REF!</definedName>
    <definedName name="取込フォーム設定1" localSheetId="4">#REF!</definedName>
    <definedName name="取込フォーム設定1">#REF!</definedName>
    <definedName name="手数料">#REF!</definedName>
    <definedName name="受入">[0]!受入</definedName>
    <definedName name="終了">[33]!終了</definedName>
    <definedName name="集計元データ範囲">OFFSET([44]集計元データ!$A$1,0,0,COUNTA([44]集計元データ!$A$1:$A$65536),COUNTA([44]集計元データ!$A$1:$IV$1))</definedName>
    <definedName name="住居用洗剤">#REF!</definedName>
    <definedName name="充填量" localSheetId="2">#REF!</definedName>
    <definedName name="充填量" localSheetId="4">#REF!</definedName>
    <definedName name="充填量">#REF!</definedName>
    <definedName name="祝日">[45]祝日!$A$1:$B$50</definedName>
    <definedName name="処理年月">[35]マクロ実行!$B$1</definedName>
    <definedName name="商談状況">#REF!</definedName>
    <definedName name="商品顧客別集計_エリア">#REF!</definedName>
    <definedName name="商品顧客別集計_性年代">#REF!</definedName>
    <definedName name="上海">'[24]Income Statement'!$B$40:$C$42</definedName>
    <definedName name="上海10">#REF!</definedName>
    <definedName name="上海11">'[32]Cost of Goods Manu'!#REF!</definedName>
    <definedName name="上海１５">#REF!</definedName>
    <definedName name="上海16">#REF!</definedName>
    <definedName name="上海4">#REF!</definedName>
    <definedName name="上海5">'[19]Income Statement'!$B$7:$C$38</definedName>
    <definedName name="上海6">'[19]Income Statement'!$B$40:$C$42</definedName>
    <definedName name="上海7">'[24]Balance Sheet'!$B$7:$E$55</definedName>
    <definedName name="上海8">'[32]SGA&amp;F'!#REF!</definedName>
    <definedName name="上海9">#REF!</definedName>
    <definedName name="上場分類" localSheetId="2">#REF!</definedName>
    <definedName name="上場分類" localSheetId="4">#REF!</definedName>
    <definedName name="上場分類">#REF!</definedName>
    <definedName name="食品">#REF!</definedName>
    <definedName name="新">#REF!</definedName>
    <definedName name="新数表">[18]!営業部別配荷</definedName>
    <definedName name="性年代人数">#REF!</definedName>
    <definedName name="性年代性別">#REF!</definedName>
    <definedName name="性年代統合番号">#REF!</definedName>
    <definedName name="性年代年代">#REF!</definedName>
    <definedName name="千円">'[42]３ヶ月計画書(前半)'!$C$30,'[42]３ヶ月計画書(前半)'!$E$30,'[42]３ヶ月計画書(前半)'!$G$30,'[42]３ヶ月計画書(前半)'!$I$30,'[42]３ヶ月計画書(前半)'!$K$30,'[42]３ヶ月計画書(前半)'!$M$30,'[42]３ヶ月計画書(前半)'!$K$41,'[42]３ヶ月計画書(前半)'!$G$41,'[42]３ヶ月計画書(前半)'!$C$41</definedName>
    <definedName name="洗浄剤">[0]!洗浄剤</definedName>
    <definedName name="全商品地域ｺｰﾄﾞ">#REF!</definedName>
    <definedName name="全本商品人数">#REF!</definedName>
    <definedName name="全本商品性別">#REF!</definedName>
    <definedName name="全本商品年代">#REF!</definedName>
    <definedName name="素材分類" localSheetId="2">#REF!</definedName>
    <definedName name="素材分類" localSheetId="4">#REF!</definedName>
    <definedName name="素材分類">#REF!</definedName>
    <definedName name="造orｺｰﾄ">[46]詳細!#REF!</definedName>
    <definedName name="測温99">[47]個々!$B$1:$I$1</definedName>
    <definedName name="大阪工場">[48]!CLEAR_SUB</definedName>
    <definedName name="単位コード" localSheetId="2">#REF!</definedName>
    <definedName name="単位コード" localSheetId="4">#REF!</definedName>
    <definedName name="単位コード">#REF!</definedName>
    <definedName name="担当者" localSheetId="2">#REF!</definedName>
    <definedName name="担当者" localSheetId="4">#REF!</definedName>
    <definedName name="担当者">#REF!</definedName>
    <definedName name="担当所属">#REF!</definedName>
    <definedName name="暖宝宝">#REF!</definedName>
    <definedName name="暖宝宝11">#REF!</definedName>
    <definedName name="暖宝宝14">'[24]Balance Sheet'!$B$57:$E$96</definedName>
    <definedName name="暖宝宝15">'[24]Income Statement'!$B$7:$C$38</definedName>
    <definedName name="暖宝宝16">'[24]Income Statement'!$B$40:$C$42</definedName>
    <definedName name="暖宝宝2">'[24]Balance Sheet'!$B$7:$E$55</definedName>
    <definedName name="暖宝宝3">'[32]Cost of Goods Manu'!#REF!</definedName>
    <definedName name="暖宝宝5">#REF!</definedName>
    <definedName name="暖宝宝6">#REF!</definedName>
    <definedName name="暖宝宝7">#REF!</definedName>
    <definedName name="暖宝宝8">#REF!</definedName>
    <definedName name="暖宝宝9">'[17]Income Statement'!$B$40:$C$42</definedName>
    <definedName name="暖宝宝配荷">'[19]Balance Sheet'!$B$7:$E$55</definedName>
    <definedName name="中国語">[0]!中国語</definedName>
    <definedName name="二択">#REF!</definedName>
    <definedName name="日用品１２">[0]!日用品１２</definedName>
    <definedName name="日用品原料">#REF!</definedName>
    <definedName name="日用品資材">#REF!</definedName>
    <definedName name="入力範囲">[49]表!$C$4:$N$4,[49]表!$C$6:$N$6,[49]表!$C$8:$N$8,[49]表!$C$10:$N$10,[49]表!$C$12:$N$12,[49]表!$C$14:$N$14,[49]表!$C$16:$N$16,[49]表!$C$18:$N$18,[49]表!$C$20:$N$20</definedName>
    <definedName name="熱サマ">[50]西濃!$B$1:$M$43</definedName>
    <definedName name="熱さま">[51]西濃!$B$1:$M$43</definedName>
    <definedName name="配車台帳">#REF!</definedName>
    <definedName name="売上区分">[52]設定!$B$14:$C$21</definedName>
    <definedName name="売上予算額計算用シート_８２期分">#REF!</definedName>
    <definedName name="発生場所">OFFSET([53]発生場所・報告者!$A$1,0,0,COUNTA([53]発生場所・報告者!$A$1:$A$65536),1)</definedName>
    <definedName name="反映期">[29]コストダウン資料!$C$46</definedName>
    <definedName name="反映月">[29]コストダウン資料!$H$46</definedName>
    <definedName name="販促計画">#REF!</definedName>
    <definedName name="販売×">#REF!</definedName>
    <definedName name="備考" localSheetId="2">#REF!</definedName>
    <definedName name="備考" localSheetId="4">#REF!</definedName>
    <definedName name="備考">#REF!</definedName>
    <definedName name="品質保証2">[0]!品質保証2</definedName>
    <definedName name="品名">[54]Sheet2!$B$3:$G$484</definedName>
    <definedName name="品目区分" localSheetId="2">#REF!</definedName>
    <definedName name="品目区分" localSheetId="4">#REF!</definedName>
    <definedName name="品目区分">#REF!</definedName>
    <definedName name="品目詳細区分" localSheetId="2">#REF!</definedName>
    <definedName name="品目詳細区分" localSheetId="4">#REF!</definedName>
    <definedName name="品目詳細区分">#REF!</definedName>
    <definedName name="部署別">[55]部署別確認用!$B$3:$F$389</definedName>
    <definedName name="別紙">[30]コストダウン資料!$I$31</definedName>
    <definedName name="変換データ範囲">OFFSET([56]変換データ!$A$1,0,0,COUNTA([56]変換データ!$A$1:$A$65536),COUNTA([56]変換データ!$A$1:$IV$1))</definedName>
    <definedName name="報告者">OFFSET([53]発生場所・報告者!$C$1,0,0,COUNTA([53]発生場所・報告者!$C$1:$C$65536),1)</definedName>
    <definedName name="方針１">#REF!</definedName>
    <definedName name="方針２">#REF!</definedName>
    <definedName name="方針３">#REF!</definedName>
    <definedName name="方針４">#REF!</definedName>
    <definedName name="方針５">#REF!</definedName>
    <definedName name="方針６">#REF!</definedName>
    <definedName name="方針７">#REF!</definedName>
    <definedName name="芳香剤">#REF!</definedName>
    <definedName name="明細範囲">OFFSET([57]明細!$A$1,0,0,COUNTA([57]明細!$A$1:$A$65536),COUNTA([57]明細!$A$1:$IV$1))</definedName>
    <definedName name="役職ｺｰﾄﾞ">#REF!</definedName>
    <definedName name="有無">OFFSET([53]発生場所・報告者!$E$1,0,0,COUNTA([53]発生場所・報告者!$E$1:$E$65536),1)</definedName>
    <definedName name="予算回復">#REF!</definedName>
    <definedName name="予測ﾜｰｽﾄ">[0]!予測ﾜｰｽﾄ</definedName>
    <definedName name="用途分類" localSheetId="2">#REF!</definedName>
    <definedName name="用途分類" localSheetId="4">#REF!</definedName>
    <definedName name="用途分類">#REF!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3" i="9" l="1"/>
  <c r="E162" i="9"/>
  <c r="E161" i="9"/>
  <c r="I159" i="9"/>
  <c r="H159" i="9"/>
  <c r="G159" i="9"/>
  <c r="E156" i="9"/>
  <c r="E151" i="9"/>
  <c r="E150" i="9"/>
  <c r="E149" i="9"/>
  <c r="I147" i="9"/>
  <c r="H147" i="9"/>
  <c r="G147" i="9"/>
  <c r="E144" i="9"/>
  <c r="F125" i="9"/>
  <c r="E122" i="9"/>
  <c r="E118" i="9"/>
  <c r="J117" i="9"/>
  <c r="F117" i="9"/>
  <c r="F116" i="9"/>
  <c r="E113" i="9"/>
  <c r="E109" i="9"/>
  <c r="J108" i="9"/>
  <c r="F108" i="9"/>
  <c r="F107" i="9"/>
  <c r="E103" i="9"/>
  <c r="E121" i="9" s="1"/>
  <c r="E102" i="9"/>
  <c r="E120" i="9" s="1"/>
  <c r="E101" i="9"/>
  <c r="E119" i="9" s="1"/>
  <c r="D100" i="9"/>
  <c r="D109" i="9" s="1"/>
  <c r="D118" i="9" s="1"/>
  <c r="I99" i="9"/>
  <c r="I117" i="9" s="1"/>
  <c r="H99" i="9"/>
  <c r="H117" i="9" s="1"/>
  <c r="G99" i="9"/>
  <c r="G117" i="9" s="1"/>
  <c r="F98" i="9"/>
  <c r="F78" i="9"/>
  <c r="E75" i="9"/>
  <c r="E71" i="9"/>
  <c r="J70" i="9"/>
  <c r="H70" i="9"/>
  <c r="G70" i="9"/>
  <c r="F70" i="9"/>
  <c r="F69" i="9"/>
  <c r="E66" i="9"/>
  <c r="E62" i="9"/>
  <c r="J61" i="9"/>
  <c r="H61" i="9"/>
  <c r="G61" i="9"/>
  <c r="F61" i="9"/>
  <c r="F60" i="9"/>
  <c r="E56" i="9"/>
  <c r="E74" i="9" s="1"/>
  <c r="E55" i="9"/>
  <c r="E73" i="9" s="1"/>
  <c r="E54" i="9"/>
  <c r="E72" i="9" s="1"/>
  <c r="D53" i="9"/>
  <c r="D71" i="9" s="1"/>
  <c r="I52" i="9"/>
  <c r="I70" i="9" s="1"/>
  <c r="H52" i="9"/>
  <c r="G52" i="9"/>
  <c r="F51" i="9"/>
  <c r="G43" i="9"/>
  <c r="F43" i="9"/>
  <c r="E43" i="9"/>
  <c r="G42" i="9"/>
  <c r="F42" i="9"/>
  <c r="E42" i="9"/>
  <c r="G41" i="9"/>
  <c r="F41" i="9"/>
  <c r="E41" i="9"/>
  <c r="F28" i="9"/>
  <c r="C7" i="9"/>
  <c r="H108" i="9" l="1"/>
  <c r="I108" i="9"/>
  <c r="I61" i="9"/>
  <c r="E63" i="9"/>
  <c r="E64" i="9"/>
  <c r="E110" i="9"/>
  <c r="D62" i="9"/>
  <c r="E111" i="9"/>
  <c r="E112" i="9"/>
  <c r="E65" i="9"/>
  <c r="G10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ユーザー</author>
  </authors>
  <commentList>
    <comment ref="C21" authorId="0" shapeId="0" xr:uid="{2C5E0C66-0AF0-44BC-9283-49FA76342C4F}">
      <text>
        <r>
          <rPr>
            <b/>
            <sz val="9"/>
            <color indexed="81"/>
            <rFont val="ＭＳ Ｐゴシック"/>
            <family val="3"/>
            <charset val="128"/>
          </rPr>
          <t>Windows ユーザー:</t>
        </r>
        <r>
          <rPr>
            <sz val="9"/>
            <color indexed="81"/>
            <rFont val="ＭＳ Ｐゴシック"/>
            <family val="3"/>
            <charset val="128"/>
          </rPr>
          <t xml:space="preserve">
ここはSkinもあり得るのでClothでも良いのでは？</t>
        </r>
      </text>
    </comment>
    <comment ref="F22" authorId="0" shapeId="0" xr:uid="{8A2D3F33-C777-48D5-8418-2AB2F87E3FA1}">
      <text>
        <r>
          <rPr>
            <b/>
            <sz val="9"/>
            <color indexed="81"/>
            <rFont val="ＭＳ Ｐゴシック"/>
            <family val="3"/>
            <charset val="128"/>
          </rPr>
          <t>Windows ユーザー:</t>
        </r>
        <r>
          <rPr>
            <sz val="9"/>
            <color indexed="81"/>
            <rFont val="ＭＳ Ｐゴシック"/>
            <family val="3"/>
            <charset val="128"/>
          </rPr>
          <t xml:space="preserve">
既存品しか使用できなくなるので、Irritaitonを起こさない生地を選択で良いのでは？
</t>
        </r>
      </text>
    </comment>
    <comment ref="G22" authorId="0" shapeId="0" xr:uid="{4416D6AE-C9B6-452E-8B57-8C2596A9CF02}">
      <text>
        <r>
          <rPr>
            <b/>
            <sz val="9"/>
            <color indexed="81"/>
            <rFont val="ＭＳ Ｐゴシック"/>
            <family val="3"/>
            <charset val="128"/>
          </rPr>
          <t>Windows ユーザー:</t>
        </r>
        <r>
          <rPr>
            <sz val="9"/>
            <color indexed="81"/>
            <rFont val="ＭＳ Ｐゴシック"/>
            <family val="3"/>
            <charset val="128"/>
          </rPr>
          <t xml:space="preserve">
生地や粘着剤でCell testは難しいはずなので、Cell testは削除で良いとおもいます。</t>
        </r>
      </text>
    </comment>
  </commentList>
</comments>
</file>

<file path=xl/sharedStrings.xml><?xml version="1.0" encoding="utf-8"?>
<sst xmlns="http://schemas.openxmlformats.org/spreadsheetml/2006/main" count="826" uniqueCount="425">
  <si>
    <t>○</t>
  </si>
  <si>
    <t>DR1 Format</t>
    <phoneticPr fontId="1"/>
  </si>
  <si>
    <t>Title : ○○○○</t>
    <phoneticPr fontId="1"/>
  </si>
  <si>
    <t>Item ID : ○○○○</t>
    <phoneticPr fontId="1"/>
  </si>
  <si>
    <t>Responsible by : ○○○○</t>
    <phoneticPr fontId="1"/>
  </si>
  <si>
    <t>Date : ○○○○</t>
    <phoneticPr fontId="1"/>
  </si>
  <si>
    <t>1) Background</t>
    <phoneticPr fontId="1"/>
  </si>
  <si>
    <t xml:space="preserve">2) Timeline </t>
    <phoneticPr fontId="1"/>
  </si>
  <si>
    <t>3) Cost</t>
    <phoneticPr fontId="1"/>
  </si>
  <si>
    <t>4) Specification of Product</t>
    <phoneticPr fontId="1"/>
  </si>
  <si>
    <t xml:space="preserve">      Check the changes from existing products</t>
    <phoneticPr fontId="1"/>
  </si>
  <si>
    <t>Theme Type</t>
    <phoneticPr fontId="1"/>
  </si>
  <si>
    <t>summary</t>
    <phoneticPr fontId="1"/>
  </si>
  <si>
    <t>Detail</t>
    <phoneticPr fontId="1"/>
  </si>
  <si>
    <t>Check</t>
    <phoneticPr fontId="1"/>
  </si>
  <si>
    <t>Formula</t>
    <phoneticPr fontId="1"/>
  </si>
  <si>
    <t>No change</t>
    <phoneticPr fontId="1"/>
  </si>
  <si>
    <t>-</t>
    <phoneticPr fontId="1"/>
  </si>
  <si>
    <t>←DR2：9～13行目を非表示、DR3：9～11行目を非表示、DR4(Line test)：26～47行目までを非表示</t>
    <rPh sb="9" eb="11">
      <t>ギョウメ</t>
    </rPh>
    <rPh sb="12" eb="15">
      <t>ヒヒョウジ</t>
    </rPh>
    <rPh sb="24" eb="26">
      <t>ギョウメ</t>
    </rPh>
    <rPh sb="27" eb="30">
      <t>ヒヒョウジ</t>
    </rPh>
    <rPh sb="51" eb="53">
      <t>ギョウメ</t>
    </rPh>
    <rPh sb="56" eb="59">
      <t>ヒヒョウジ</t>
    </rPh>
    <phoneticPr fontId="1"/>
  </si>
  <si>
    <t>New product or cost down</t>
    <phoneticPr fontId="1"/>
  </si>
  <si>
    <t>New formula</t>
    <phoneticPr fontId="1"/>
  </si>
  <si>
    <t>New ingredients added</t>
    <phoneticPr fontId="1"/>
  </si>
  <si>
    <t>←非表示設定無し</t>
    <rPh sb="1" eb="4">
      <t>ヒヒョウジ</t>
    </rPh>
    <rPh sb="4" eb="6">
      <t>セッテイ</t>
    </rPh>
    <rPh sb="6" eb="7">
      <t>ナ</t>
    </rPh>
    <phoneticPr fontId="1"/>
  </si>
  <si>
    <t>Reduced ingredients</t>
    <phoneticPr fontId="1"/>
  </si>
  <si>
    <t>Ingredients are the same, but the proportions have changed</t>
    <phoneticPr fontId="1"/>
  </si>
  <si>
    <t>Change the filling volume</t>
    <phoneticPr fontId="1"/>
  </si>
  <si>
    <t>Increased filling volume</t>
    <phoneticPr fontId="1"/>
  </si>
  <si>
    <t>←DR2：12～13行目を非表示、DR3：9～10行目を非表示、DR4(Line test)：45～48行目までを非表示</t>
    <rPh sb="10" eb="12">
      <t>ギョウメ</t>
    </rPh>
    <rPh sb="13" eb="16">
      <t>ヒヒョウジ</t>
    </rPh>
    <rPh sb="25" eb="27">
      <t>ギョウメ</t>
    </rPh>
    <rPh sb="28" eb="31">
      <t>ヒヒョウジ</t>
    </rPh>
    <rPh sb="52" eb="54">
      <t>ギョウメ</t>
    </rPh>
    <rPh sb="57" eb="60">
      <t>ヒヒョウジ</t>
    </rPh>
    <phoneticPr fontId="1"/>
  </si>
  <si>
    <t>Decreased Filling volume</t>
    <phoneticPr fontId="1"/>
  </si>
  <si>
    <t>←DR2：9、13行目を非表示、DR3：9～10行目を非表示、DR4(Line test)：45～48行目までを非表示</t>
    <rPh sb="9" eb="11">
      <t>ギョウメ</t>
    </rPh>
    <rPh sb="12" eb="15">
      <t>ヒヒョウジ</t>
    </rPh>
    <rPh sb="24" eb="26">
      <t>ギョウメ</t>
    </rPh>
    <rPh sb="27" eb="30">
      <t>ヒヒョウジ</t>
    </rPh>
    <rPh sb="51" eb="53">
      <t>ギョウメ</t>
    </rPh>
    <rPh sb="56" eb="59">
      <t>ヒヒョウジ</t>
    </rPh>
    <phoneticPr fontId="1"/>
  </si>
  <si>
    <t>Discontinued</t>
    <phoneticPr fontId="1"/>
  </si>
  <si>
    <t>Same　supllier</t>
    <phoneticPr fontId="1"/>
  </si>
  <si>
    <t>Same speck</t>
    <phoneticPr fontId="1"/>
  </si>
  <si>
    <t>←DR2：非表示設定無し、DR3：非表示設定無し、DR4(Line test)：非表示設定無し</t>
    <rPh sb="5" eb="8">
      <t>ヒヒョウジ</t>
    </rPh>
    <rPh sb="8" eb="10">
      <t>セッテイ</t>
    </rPh>
    <rPh sb="10" eb="11">
      <t>ナ</t>
    </rPh>
    <rPh sb="17" eb="20">
      <t>ヒヒョウジ</t>
    </rPh>
    <rPh sb="20" eb="22">
      <t>セッテイ</t>
    </rPh>
    <rPh sb="22" eb="23">
      <t>ナ</t>
    </rPh>
    <rPh sb="40" eb="43">
      <t>ヒヒョウジ</t>
    </rPh>
    <rPh sb="43" eb="45">
      <t>セッテイ</t>
    </rPh>
    <rPh sb="45" eb="46">
      <t>ナ</t>
    </rPh>
    <phoneticPr fontId="1"/>
  </si>
  <si>
    <t>Different speck</t>
    <phoneticPr fontId="1"/>
  </si>
  <si>
    <t>Different supllier</t>
    <phoneticPr fontId="1"/>
  </si>
  <si>
    <t>Inner film</t>
    <phoneticPr fontId="1"/>
  </si>
  <si>
    <t>←DR2：14～25行目を非表示、DR3：12～16行目を非表示、DR4(Line test)：48～94行目までを非表示</t>
    <rPh sb="10" eb="12">
      <t>ギョウメ</t>
    </rPh>
    <rPh sb="13" eb="16">
      <t>ヒヒョウジ</t>
    </rPh>
    <rPh sb="26" eb="28">
      <t>ギョウメ</t>
    </rPh>
    <rPh sb="29" eb="32">
      <t>ヒヒョウジ</t>
    </rPh>
    <rPh sb="53" eb="55">
      <t>ギョウメ</t>
    </rPh>
    <rPh sb="58" eb="61">
      <t>ヒヒョウジ</t>
    </rPh>
    <phoneticPr fontId="1"/>
  </si>
  <si>
    <t>New product or Cost down</t>
    <phoneticPr fontId="1"/>
  </si>
  <si>
    <t>Completely new</t>
    <phoneticPr fontId="1"/>
  </si>
  <si>
    <t>Part of the film's composition changes.</t>
    <phoneticPr fontId="1"/>
  </si>
  <si>
    <t>Only the air permeability of the ventilation membrane changes.</t>
    <phoneticPr fontId="1"/>
  </si>
  <si>
    <t>←18,20,21,22,23,24,25行目を非表示、DR3：15,16行目を非表示、DR4(Line test)：非表示設定無し</t>
    <rPh sb="21" eb="23">
      <t>ギョウメ</t>
    </rPh>
    <rPh sb="24" eb="27">
      <t>ヒヒョウジ</t>
    </rPh>
    <rPh sb="37" eb="39">
      <t>ギョウメ</t>
    </rPh>
    <rPh sb="40" eb="43">
      <t>ヒヒョウジ</t>
    </rPh>
    <rPh sb="59" eb="62">
      <t>ヒヒョウジ</t>
    </rPh>
    <rPh sb="62" eb="64">
      <t>セッテイ</t>
    </rPh>
    <rPh sb="64" eb="65">
      <t>ナ</t>
    </rPh>
    <phoneticPr fontId="1"/>
  </si>
  <si>
    <t>Only seal layer changes</t>
    <phoneticPr fontId="1"/>
  </si>
  <si>
    <t>←14,19,21,22,23,24,25行目を非表示、DR3:非表示設定無し、DR4(Line test)：非表示設定無し</t>
    <rPh sb="21" eb="23">
      <t>ギョウメ</t>
    </rPh>
    <rPh sb="24" eb="27">
      <t>ヒヒョウジ</t>
    </rPh>
    <rPh sb="32" eb="35">
      <t>ヒヒョウジ</t>
    </rPh>
    <rPh sb="35" eb="37">
      <t>セッテイ</t>
    </rPh>
    <rPh sb="37" eb="38">
      <t>ナ</t>
    </rPh>
    <phoneticPr fontId="1"/>
  </si>
  <si>
    <t>Only release paper changeｓ</t>
    <phoneticPr fontId="1"/>
  </si>
  <si>
    <t>←DR2：14,18,19,20,21,22,25行目を非表示、DR3：非表示設定無し、DR4(Line test)：非表示設定無し</t>
    <rPh sb="25" eb="27">
      <t>ギョウメ</t>
    </rPh>
    <rPh sb="28" eb="31">
      <t>ヒヒョウジ</t>
    </rPh>
    <rPh sb="36" eb="39">
      <t>ヒヒョウジ</t>
    </rPh>
    <rPh sb="39" eb="41">
      <t>セッテイ</t>
    </rPh>
    <rPh sb="41" eb="42">
      <t>ナ</t>
    </rPh>
    <phoneticPr fontId="1"/>
  </si>
  <si>
    <t>Only the adhesive changes</t>
    <phoneticPr fontId="1"/>
  </si>
  <si>
    <t>←DR2：19,20,23行目を非表示、DR3：非表示設定無し、DR4(Line test)：非表示設定無し</t>
    <rPh sb="13" eb="15">
      <t>ギョウメ</t>
    </rPh>
    <rPh sb="16" eb="19">
      <t>ヒヒョウジ</t>
    </rPh>
    <rPh sb="24" eb="27">
      <t>ヒヒョウジ</t>
    </rPh>
    <rPh sb="27" eb="29">
      <t>セッテイ</t>
    </rPh>
    <rPh sb="29" eb="30">
      <t>ナ</t>
    </rPh>
    <phoneticPr fontId="1"/>
  </si>
  <si>
    <t>Size of film changes</t>
    <phoneticPr fontId="1"/>
  </si>
  <si>
    <t>Increased size</t>
    <phoneticPr fontId="1"/>
  </si>
  <si>
    <t>←DR2：18,22,25行目を非表示、DR3：非表示設定無し、DR4(Line test)：非表示設定無し</t>
    <rPh sb="13" eb="15">
      <t>ギョウメ</t>
    </rPh>
    <rPh sb="16" eb="19">
      <t>ヒヒョウジ</t>
    </rPh>
    <rPh sb="24" eb="27">
      <t>ヒヒョウジ</t>
    </rPh>
    <rPh sb="27" eb="29">
      <t>セッテイ</t>
    </rPh>
    <rPh sb="29" eb="30">
      <t>ナ</t>
    </rPh>
    <phoneticPr fontId="1"/>
  </si>
  <si>
    <t>Decreased size</t>
    <phoneticPr fontId="1"/>
  </si>
  <si>
    <t>←DR2：14,18,22,23行目を非表示、DR3：非表示設定無し、DR4(Line test)：非表示設定無し</t>
    <rPh sb="16" eb="18">
      <t>ギョウメ</t>
    </rPh>
    <rPh sb="19" eb="22">
      <t>ヒヒョウジ</t>
    </rPh>
    <rPh sb="27" eb="30">
      <t>ヒヒョウジ</t>
    </rPh>
    <rPh sb="30" eb="32">
      <t>セッテイ</t>
    </rPh>
    <rPh sb="32" eb="33">
      <t>ナ</t>
    </rPh>
    <phoneticPr fontId="1"/>
  </si>
  <si>
    <t>Discontinued
(Changed at other Kobayashi Group plants)</t>
    <phoneticPr fontId="1"/>
  </si>
  <si>
    <t>←18,20,21,22,23,24,25行目を非表示、DR3：15,16行目を非表示、DR4(Line test)：59～75行目までを非表示</t>
    <rPh sb="21" eb="23">
      <t>ギョウメ</t>
    </rPh>
    <rPh sb="24" eb="27">
      <t>ヒヒョウジ</t>
    </rPh>
    <rPh sb="37" eb="39">
      <t>ギョウメ</t>
    </rPh>
    <rPh sb="40" eb="43">
      <t>ヒヒョウジ</t>
    </rPh>
    <phoneticPr fontId="1"/>
  </si>
  <si>
    <t>←DR2：14,18,19,20,21,22,25行目を非表示、DR3：非表示設定無し、DR4(Line test)：59～75行目までを非表示</t>
    <rPh sb="25" eb="27">
      <t>ギョウメ</t>
    </rPh>
    <rPh sb="28" eb="31">
      <t>ヒヒョウジ</t>
    </rPh>
    <rPh sb="36" eb="39">
      <t>ヒヒョウジ</t>
    </rPh>
    <rPh sb="39" eb="41">
      <t>セッテイ</t>
    </rPh>
    <rPh sb="41" eb="42">
      <t>ナ</t>
    </rPh>
    <phoneticPr fontId="1"/>
  </si>
  <si>
    <t>←DR2：19,20,23行目を非表示、DR3：非表示設定無し、DR4(Line test)：59～75行目までを非表示</t>
    <rPh sb="13" eb="15">
      <t>ギョウメ</t>
    </rPh>
    <rPh sb="16" eb="19">
      <t>ヒヒョウジ</t>
    </rPh>
    <rPh sb="24" eb="27">
      <t>ヒヒョウジ</t>
    </rPh>
    <rPh sb="27" eb="29">
      <t>セッテイ</t>
    </rPh>
    <rPh sb="29" eb="30">
      <t>ナ</t>
    </rPh>
    <phoneticPr fontId="1"/>
  </si>
  <si>
    <t>Discontinued
(No changes have been made at other Kobayashi Group plants)</t>
    <phoneticPr fontId="1"/>
  </si>
  <si>
    <t>Outer film</t>
    <phoneticPr fontId="1"/>
  </si>
  <si>
    <t>←DR2：26～36行目を非表示、DR3：17～26行目を非表示、DR4(Line test)：95～141行目までを非表示</t>
    <rPh sb="10" eb="12">
      <t>ギョウメ</t>
    </rPh>
    <rPh sb="13" eb="16">
      <t>ヒヒョウジ</t>
    </rPh>
    <rPh sb="26" eb="28">
      <t>ギョウメ</t>
    </rPh>
    <rPh sb="29" eb="32">
      <t>ヒヒョウジ</t>
    </rPh>
    <rPh sb="54" eb="56">
      <t>ギョウメ</t>
    </rPh>
    <rPh sb="59" eb="62">
      <t>ヒヒョウジ</t>
    </rPh>
    <phoneticPr fontId="1"/>
  </si>
  <si>
    <t>Only barrier layer changes</t>
    <phoneticPr fontId="1"/>
  </si>
  <si>
    <t>←DR2：35行目を非表示、DR3：22,25,26行目を非表示、DR4(Line test)：非表示設定無し</t>
    <rPh sb="7" eb="9">
      <t>ギョウメ</t>
    </rPh>
    <rPh sb="10" eb="13">
      <t>ヒヒョウジ</t>
    </rPh>
    <rPh sb="26" eb="28">
      <t>ギョウメ</t>
    </rPh>
    <rPh sb="29" eb="32">
      <t>ヒヒョウジ</t>
    </rPh>
    <rPh sb="48" eb="51">
      <t>ヒヒョウジ</t>
    </rPh>
    <rPh sb="51" eb="53">
      <t>セッテイ</t>
    </rPh>
    <rPh sb="53" eb="54">
      <t>ナ</t>
    </rPh>
    <phoneticPr fontId="1"/>
  </si>
  <si>
    <t>←DR2：26,29,31,34,35,36行目を非表示、DR3：22,25,26行目を非表示、DR4(Line test)：非表示設定無し</t>
    <rPh sb="22" eb="24">
      <t>ギョウメ</t>
    </rPh>
    <rPh sb="25" eb="28">
      <t>ヒヒョウジ</t>
    </rPh>
    <rPh sb="41" eb="43">
      <t>ギョウメ</t>
    </rPh>
    <rPh sb="44" eb="47">
      <t>ヒヒョウジ</t>
    </rPh>
    <rPh sb="63" eb="66">
      <t>ヒヒョウジ</t>
    </rPh>
    <rPh sb="66" eb="68">
      <t>セッテイ</t>
    </rPh>
    <rPh sb="68" eb="69">
      <t>ナ</t>
    </rPh>
    <phoneticPr fontId="1"/>
  </si>
  <si>
    <t>Only printing layers change</t>
    <phoneticPr fontId="1"/>
  </si>
  <si>
    <t>←DR2：26,34行目を非表示、DR3：25,26行目を非表示、DR4(Line test)：非表示設定無し</t>
    <rPh sb="10" eb="12">
      <t>ギョウメ</t>
    </rPh>
    <rPh sb="13" eb="16">
      <t>ヒヒョウジ</t>
    </rPh>
    <rPh sb="26" eb="28">
      <t>ギョウメ</t>
    </rPh>
    <rPh sb="29" eb="32">
      <t>ヒヒョウジ</t>
    </rPh>
    <rPh sb="48" eb="51">
      <t>ヒヒョウジ</t>
    </rPh>
    <rPh sb="51" eb="53">
      <t>セッテイ</t>
    </rPh>
    <rPh sb="53" eb="54">
      <t>ナ</t>
    </rPh>
    <phoneticPr fontId="1"/>
  </si>
  <si>
    <t>←DR2：29,30,34,35,36行目を非表示、DR3：非表示設定無し、DR4(Line test)：非表示設定無し</t>
    <rPh sb="19" eb="21">
      <t>ギョウメ</t>
    </rPh>
    <rPh sb="22" eb="25">
      <t>ヒヒョウジ</t>
    </rPh>
    <rPh sb="30" eb="33">
      <t>ヒヒョウジ</t>
    </rPh>
    <rPh sb="33" eb="35">
      <t>セッテイ</t>
    </rPh>
    <rPh sb="35" eb="36">
      <t>ナ</t>
    </rPh>
    <rPh sb="53" eb="56">
      <t>ヒヒョウジ</t>
    </rPh>
    <rPh sb="56" eb="58">
      <t>セッテイ</t>
    </rPh>
    <rPh sb="58" eb="59">
      <t>ナ</t>
    </rPh>
    <phoneticPr fontId="1"/>
  </si>
  <si>
    <t>←DR2：29,30,35,36行目を非表示、DR3：非表示設定無し、DR4(Line test)：非表示設定無し</t>
    <rPh sb="16" eb="18">
      <t>ギョウメ</t>
    </rPh>
    <rPh sb="19" eb="22">
      <t>ヒヒョウジ</t>
    </rPh>
    <rPh sb="27" eb="30">
      <t>ヒヒョウジ</t>
    </rPh>
    <rPh sb="30" eb="32">
      <t>セッテイ</t>
    </rPh>
    <rPh sb="32" eb="33">
      <t>ナ</t>
    </rPh>
    <rPh sb="50" eb="53">
      <t>ヒヒョウジ</t>
    </rPh>
    <rPh sb="53" eb="55">
      <t>セッテイ</t>
    </rPh>
    <rPh sb="55" eb="56">
      <t>ナ</t>
    </rPh>
    <phoneticPr fontId="1"/>
  </si>
  <si>
    <t>←DR2：35行目を非表示、DR3：22行目を非表示、DR4(Line test)：106～122行目を非表示</t>
    <rPh sb="7" eb="9">
      <t>ギョウメ</t>
    </rPh>
    <rPh sb="10" eb="13">
      <t>ヒヒョウジ</t>
    </rPh>
    <rPh sb="20" eb="22">
      <t>ギョウメ</t>
    </rPh>
    <rPh sb="23" eb="26">
      <t>ヒヒョウジ</t>
    </rPh>
    <rPh sb="49" eb="51">
      <t>ギョウメ</t>
    </rPh>
    <rPh sb="52" eb="55">
      <t>ヒヒョウジ</t>
    </rPh>
    <phoneticPr fontId="1"/>
  </si>
  <si>
    <t>←DR2：26,29,31,34,35,36行目を非表示、DR3：22行目を非表示、DR4(Line test)：106～122行目を非表示</t>
    <rPh sb="22" eb="24">
      <t>ギョウメ</t>
    </rPh>
    <rPh sb="25" eb="28">
      <t>ヒヒョウジ</t>
    </rPh>
    <rPh sb="35" eb="37">
      <t>ギョウメ</t>
    </rPh>
    <rPh sb="38" eb="41">
      <t>ヒヒョウジ</t>
    </rPh>
    <rPh sb="64" eb="66">
      <t>ギョウメ</t>
    </rPh>
    <rPh sb="67" eb="70">
      <t>ヒヒョウジ</t>
    </rPh>
    <phoneticPr fontId="1"/>
  </si>
  <si>
    <t>←DR2：26,34行目を非表示、DR3：非表示設定無し、DR4(Line test)：106～122行目を非表示</t>
    <rPh sb="10" eb="12">
      <t>ギョウメ</t>
    </rPh>
    <rPh sb="13" eb="16">
      <t>ヒヒョウジ</t>
    </rPh>
    <rPh sb="21" eb="24">
      <t>ヒヒョウジ</t>
    </rPh>
    <rPh sb="24" eb="26">
      <t>セッテイ</t>
    </rPh>
    <rPh sb="26" eb="27">
      <t>ナ</t>
    </rPh>
    <phoneticPr fontId="1"/>
  </si>
  <si>
    <t>←DR2：35行目を非表示、DR3：22行目を非表示、DR4(Line test)：非表示設定無し</t>
    <rPh sb="7" eb="9">
      <t>ギョウメ</t>
    </rPh>
    <rPh sb="10" eb="13">
      <t>ヒヒョウジ</t>
    </rPh>
    <rPh sb="20" eb="22">
      <t>ギョウメ</t>
    </rPh>
    <rPh sb="23" eb="26">
      <t>ヒヒョウジ</t>
    </rPh>
    <rPh sb="42" eb="45">
      <t>ヒヒョウジ</t>
    </rPh>
    <rPh sb="45" eb="47">
      <t>セッテイ</t>
    </rPh>
    <rPh sb="47" eb="48">
      <t>ナ</t>
    </rPh>
    <phoneticPr fontId="1"/>
  </si>
  <si>
    <t>←DR2：26,29,31,34,35,36行目を非表示、DR3：22行目を非表示、DR4(Line test)：非表示設定無し</t>
    <rPh sb="22" eb="24">
      <t>ギョウメ</t>
    </rPh>
    <rPh sb="25" eb="28">
      <t>ヒヒョウジ</t>
    </rPh>
    <rPh sb="35" eb="37">
      <t>ギョウメ</t>
    </rPh>
    <rPh sb="38" eb="41">
      <t>ヒヒョウジ</t>
    </rPh>
    <rPh sb="57" eb="60">
      <t>ヒヒョウジ</t>
    </rPh>
    <rPh sb="60" eb="62">
      <t>セッテイ</t>
    </rPh>
    <rPh sb="62" eb="63">
      <t>ナ</t>
    </rPh>
    <phoneticPr fontId="1"/>
  </si>
  <si>
    <t>←DR2：26,34行目を非表示、DR3：非表示設定無し、DR4(Line test)：非表示設定無し</t>
    <rPh sb="10" eb="12">
      <t>ギョウメ</t>
    </rPh>
    <rPh sb="13" eb="16">
      <t>ヒヒョウジ</t>
    </rPh>
    <rPh sb="21" eb="24">
      <t>ヒヒョウジ</t>
    </rPh>
    <rPh sb="24" eb="26">
      <t>セッテイ</t>
    </rPh>
    <rPh sb="26" eb="27">
      <t>ナ</t>
    </rPh>
    <rPh sb="44" eb="47">
      <t>ヒヒョウジ</t>
    </rPh>
    <rPh sb="47" eb="49">
      <t>セッテイ</t>
    </rPh>
    <rPh sb="49" eb="50">
      <t>ナ</t>
    </rPh>
    <phoneticPr fontId="1"/>
  </si>
  <si>
    <t>Wｒap</t>
    <phoneticPr fontId="1"/>
  </si>
  <si>
    <t>←DR2：37～41行目を非表示、DR3：27～32行目を非表示、DR4(Line test)：142～183行目を非表示</t>
    <rPh sb="10" eb="12">
      <t>ギョウメ</t>
    </rPh>
    <rPh sb="13" eb="16">
      <t>ヒヒョウジ</t>
    </rPh>
    <rPh sb="26" eb="28">
      <t>ギョウメ</t>
    </rPh>
    <rPh sb="29" eb="32">
      <t>ヒヒョウジ</t>
    </rPh>
    <rPh sb="55" eb="57">
      <t>ギョウメ</t>
    </rPh>
    <rPh sb="58" eb="61">
      <t>ヒヒョウジ</t>
    </rPh>
    <phoneticPr fontId="1"/>
  </si>
  <si>
    <t>←DR2：39,40行目を非表示、DR3：29,30,31行目を非表示、DR4(Line test)：非表示設定無し</t>
    <rPh sb="10" eb="12">
      <t>ギョウメ</t>
    </rPh>
    <rPh sb="13" eb="16">
      <t>ヒヒョウジ</t>
    </rPh>
    <rPh sb="29" eb="31">
      <t>ギョウメ</t>
    </rPh>
    <rPh sb="32" eb="35">
      <t>ヒヒョウジ</t>
    </rPh>
    <rPh sb="51" eb="54">
      <t>ヒヒョウジ</t>
    </rPh>
    <rPh sb="54" eb="56">
      <t>セッテイ</t>
    </rPh>
    <rPh sb="56" eb="57">
      <t>ナ</t>
    </rPh>
    <phoneticPr fontId="1"/>
  </si>
  <si>
    <t>←DR2：非表示設定無し、DR3：31行目を非表示、DR4(Line test)：非表示設定無し</t>
    <rPh sb="5" eb="8">
      <t>ヒヒョウジ</t>
    </rPh>
    <rPh sb="8" eb="10">
      <t>セッテイ</t>
    </rPh>
    <rPh sb="10" eb="11">
      <t>ナ</t>
    </rPh>
    <rPh sb="19" eb="21">
      <t>ギョウメ</t>
    </rPh>
    <rPh sb="22" eb="25">
      <t>ヒヒョウジ</t>
    </rPh>
    <rPh sb="41" eb="44">
      <t>ヒヒョウジ</t>
    </rPh>
    <rPh sb="44" eb="46">
      <t>セッテイ</t>
    </rPh>
    <rPh sb="46" eb="47">
      <t>ナ</t>
    </rPh>
    <phoneticPr fontId="1"/>
  </si>
  <si>
    <t>Size of film or number of film changes</t>
    <phoneticPr fontId="1"/>
  </si>
  <si>
    <t>Increase size or number of pieces</t>
    <phoneticPr fontId="1"/>
  </si>
  <si>
    <t>←DR2：39,40行目を非表示、DR3：29,30行目を非表示、DR4(Line test)：非表示設定無し</t>
    <rPh sb="10" eb="12">
      <t>ギョウメ</t>
    </rPh>
    <rPh sb="13" eb="16">
      <t>ヒヒョウジ</t>
    </rPh>
    <rPh sb="26" eb="28">
      <t>ギョウメ</t>
    </rPh>
    <rPh sb="29" eb="32">
      <t>ヒヒョウジ</t>
    </rPh>
    <rPh sb="48" eb="51">
      <t>ヒヒョウジ</t>
    </rPh>
    <rPh sb="51" eb="53">
      <t>セッテイ</t>
    </rPh>
    <rPh sb="53" eb="54">
      <t>ナ</t>
    </rPh>
    <phoneticPr fontId="1"/>
  </si>
  <si>
    <t>Decrease size or number of pieces</t>
    <phoneticPr fontId="1"/>
  </si>
  <si>
    <t>←DR2：38,39,40行目を非表示、DR3：29,30行目を非表示、DR4(Line test)：非表示設定無し</t>
    <rPh sb="13" eb="15">
      <t>ギョウメ</t>
    </rPh>
    <rPh sb="16" eb="19">
      <t>ヒヒョウジ</t>
    </rPh>
    <rPh sb="29" eb="31">
      <t>ギョウメ</t>
    </rPh>
    <rPh sb="32" eb="35">
      <t>ヒヒョウジ</t>
    </rPh>
    <rPh sb="51" eb="54">
      <t>ヒヒョウジ</t>
    </rPh>
    <rPh sb="54" eb="56">
      <t>セッテイ</t>
    </rPh>
    <rPh sb="56" eb="57">
      <t>ナ</t>
    </rPh>
    <phoneticPr fontId="1"/>
  </si>
  <si>
    <t>Retailer box</t>
    <phoneticPr fontId="1"/>
  </si>
  <si>
    <t>←DR2：42～46行目を非表示、DR3：33行目を非表示、DR4(Line test)：非表示設定無し</t>
    <phoneticPr fontId="1"/>
  </si>
  <si>
    <t>Multiple box configurations change</t>
    <phoneticPr fontId="1"/>
  </si>
  <si>
    <t>←DR2：44行目を非表示、DR3：33行目を非表示、DR4(Line test)：非表示設定無し</t>
    <phoneticPr fontId="1"/>
  </si>
  <si>
    <t>Part of the box composition changes.</t>
    <phoneticPr fontId="1"/>
  </si>
  <si>
    <t>Only change the thickness</t>
    <phoneticPr fontId="1"/>
  </si>
  <si>
    <t>←DR2：43,44,45,46行目を非表示、DR3：非表示設定無し、DR4(Line test)：非表示設定無し</t>
    <rPh sb="30" eb="32">
      <t>セッテイ</t>
    </rPh>
    <rPh sb="32" eb="33">
      <t>ナ</t>
    </rPh>
    <phoneticPr fontId="1"/>
  </si>
  <si>
    <t>Only change the coating</t>
    <phoneticPr fontId="1"/>
  </si>
  <si>
    <t>←DR2：42～44行目を非表示、DR3：非表示設定無し、DR4(Line test)：非表示設定無し</t>
    <rPh sb="21" eb="24">
      <t>ヒヒョウジ</t>
    </rPh>
    <rPh sb="24" eb="26">
      <t>セッテイ</t>
    </rPh>
    <rPh sb="26" eb="27">
      <t>ナ</t>
    </rPh>
    <phoneticPr fontId="1"/>
  </si>
  <si>
    <t>Only the material is changed.</t>
    <phoneticPr fontId="1"/>
  </si>
  <si>
    <t>←DR2：44行目を非表示、DR3：非表示設定無し、DR4(Line test)：非表示設定無し</t>
    <rPh sb="18" eb="21">
      <t>ヒヒョウジ</t>
    </rPh>
    <rPh sb="21" eb="23">
      <t>セッテイ</t>
    </rPh>
    <rPh sb="23" eb="24">
      <t>ナ</t>
    </rPh>
    <phoneticPr fontId="1"/>
  </si>
  <si>
    <t>Only hot melt changed</t>
    <phoneticPr fontId="1"/>
  </si>
  <si>
    <t>←DR2：42,44,45,46行目を非表示、DR3：33行目を非表示、DR4(Line test)：非表示設定無し</t>
    <rPh sb="29" eb="31">
      <t>ギョウメ</t>
    </rPh>
    <rPh sb="32" eb="35">
      <t>ヒヒョウジ</t>
    </rPh>
    <phoneticPr fontId="1"/>
  </si>
  <si>
    <t>design change</t>
    <phoneticPr fontId="1"/>
  </si>
  <si>
    <t>←DR2：45,46行目を非表示、DR3：非表示設定無し、DR4(Line test)：非表示設定無し</t>
    <rPh sb="21" eb="24">
      <t>ヒヒョウジ</t>
    </rPh>
    <rPh sb="24" eb="26">
      <t>セッテイ</t>
    </rPh>
    <rPh sb="26" eb="27">
      <t>ナ</t>
    </rPh>
    <phoneticPr fontId="1"/>
  </si>
  <si>
    <t>Shipper case</t>
    <phoneticPr fontId="1"/>
  </si>
  <si>
    <t>←DR2：47,48行目を非表示、DR3：34,35行目を非表示、DR4(Line test)：非表示設定無し</t>
    <phoneticPr fontId="1"/>
  </si>
  <si>
    <t>Configurations change</t>
    <phoneticPr fontId="1"/>
  </si>
  <si>
    <t>Configurations change</t>
  </si>
  <si>
    <t>Change the thickness</t>
    <phoneticPr fontId="1"/>
  </si>
  <si>
    <t>←DR2：48行目を非表示、DR3：35行目を非表示、DR4(Line test)：非表示設定無し</t>
    <phoneticPr fontId="1"/>
  </si>
  <si>
    <t>Change the material properties</t>
    <phoneticPr fontId="1"/>
  </si>
  <si>
    <t>←DR2：非表示設定無し、DR3：35行目を非表示、DR4(Line test)：非表示設定無し</t>
    <rPh sb="8" eb="10">
      <t>セッテイ</t>
    </rPh>
    <rPh sb="10" eb="11">
      <t>ナ</t>
    </rPh>
    <phoneticPr fontId="1"/>
  </si>
  <si>
    <t>Design change</t>
    <phoneticPr fontId="1"/>
  </si>
  <si>
    <t>←DR2：48行目を非表示、DR3：非表示設定無し、DR4(Line test)：非表示設定無し</t>
    <rPh sb="21" eb="23">
      <t>セッテイ</t>
    </rPh>
    <rPh sb="23" eb="24">
      <t>ナ</t>
    </rPh>
    <phoneticPr fontId="1"/>
  </si>
  <si>
    <t>DR2 format to Hand warmer</t>
    <phoneticPr fontId="1"/>
  </si>
  <si>
    <t xml:space="preserve">1) Product Risk Assesment </t>
    <phoneticPr fontId="1"/>
  </si>
  <si>
    <t>Product Risk Assessment</t>
    <phoneticPr fontId="1"/>
  </si>
  <si>
    <t>Material</t>
    <phoneticPr fontId="1"/>
  </si>
  <si>
    <t>Cause</t>
    <phoneticPr fontId="1"/>
  </si>
  <si>
    <t>Action</t>
    <phoneticPr fontId="1"/>
  </si>
  <si>
    <t>Evaluation Method</t>
    <phoneticPr fontId="1"/>
  </si>
  <si>
    <t>Responsibility</t>
  </si>
  <si>
    <t>Burned</t>
    <phoneticPr fontId="1"/>
  </si>
  <si>
    <t>Heating temperature is too high</t>
    <phoneticPr fontId="1"/>
  </si>
  <si>
    <t>Changed formulation proportions</t>
    <phoneticPr fontId="1"/>
  </si>
  <si>
    <t>JIS Test or Monitor Test</t>
    <phoneticPr fontId="1"/>
  </si>
  <si>
    <t>R&amp;D</t>
    <phoneticPr fontId="1"/>
  </si>
  <si>
    <t>Not warm enough</t>
    <phoneticPr fontId="1"/>
  </si>
  <si>
    <t>Heating temperature is too ｌow</t>
    <phoneticPr fontId="1"/>
  </si>
  <si>
    <t xml:space="preserve">Aging has altered the formulation ingredients. </t>
    <phoneticPr fontId="1"/>
  </si>
  <si>
    <t>Prescriptive design to generate necessary heat even after Aging</t>
    <phoneticPr fontId="1"/>
  </si>
  <si>
    <t>Stability Test
JIS Test</t>
    <phoneticPr fontId="1"/>
  </si>
  <si>
    <t>Duration Insufficient</t>
    <phoneticPr fontId="1"/>
  </si>
  <si>
    <t>Low water content (or high water loss) in the warmer prevents sustained fever performance</t>
    <phoneticPr fontId="1"/>
  </si>
  <si>
    <t>JIS Test
Stability Test
Weight Loss Test</t>
    <phoneticPr fontId="1"/>
  </si>
  <si>
    <t>Puffing</t>
    <phoneticPr fontId="1"/>
  </si>
  <si>
    <t>High gas emissions</t>
    <phoneticPr fontId="1"/>
  </si>
  <si>
    <t>Puffing test</t>
    <phoneticPr fontId="1"/>
  </si>
  <si>
    <t>TD</t>
    <phoneticPr fontId="1"/>
  </si>
  <si>
    <t>Inner film had high moisture permeability</t>
    <phoneticPr fontId="1"/>
  </si>
  <si>
    <t>Confirmation of no burns at the upper limit of the moisture permeability standard</t>
    <phoneticPr fontId="1"/>
  </si>
  <si>
    <t>The contents leaked out</t>
    <phoneticPr fontId="1"/>
  </si>
  <si>
    <t>Weak seal strength</t>
    <phoneticPr fontId="1"/>
  </si>
  <si>
    <t>Adjusting seal conditions</t>
    <phoneticPr fontId="1"/>
  </si>
  <si>
    <t>Seal strength measurement</t>
    <phoneticPr fontId="1"/>
  </si>
  <si>
    <t>Edge breakage is occurring.</t>
    <phoneticPr fontId="1"/>
  </si>
  <si>
    <t>Confirmation of edge breakage at the upper limit of the seal condition</t>
    <phoneticPr fontId="1"/>
  </si>
  <si>
    <t>Insufficient seal strength</t>
    <phoneticPr fontId="1"/>
  </si>
  <si>
    <t>Selection of inner film to meet seal strength</t>
    <phoneticPr fontId="1"/>
  </si>
  <si>
    <t>Strength check of multiple lots</t>
    <phoneticPr fontId="1"/>
  </si>
  <si>
    <t>Weak laminate strength</t>
    <phoneticPr fontId="1"/>
  </si>
  <si>
    <t>Designed to meet laminate strength requirements even after aging</t>
    <phoneticPr fontId="1"/>
  </si>
  <si>
    <t>Initial value, laminate strength measurement after accelerated aging</t>
    <phoneticPr fontId="1"/>
  </si>
  <si>
    <t>Inner film had low moisture permeability.</t>
    <phoneticPr fontId="1"/>
  </si>
  <si>
    <t>Guarantee the indicated heating temperature and duration even in the worst case of ventilation degree standards.</t>
    <phoneticPr fontId="1"/>
  </si>
  <si>
    <t>Weak adhesion to cloth</t>
    <phoneticPr fontId="1"/>
  </si>
  <si>
    <t>Insufficient adhesive strength</t>
    <phoneticPr fontId="1"/>
  </si>
  <si>
    <t>Selection of materials with sufficient adhesive strength</t>
    <phoneticPr fontId="1"/>
  </si>
  <si>
    <t>Adhesion strength measurement
Monitor test</t>
    <phoneticPr fontId="1"/>
  </si>
  <si>
    <t>Reddened skin</t>
    <phoneticPr fontId="1"/>
  </si>
  <si>
    <t>Nonwoven fabrics and adhesives with skin irritation</t>
    <phoneticPr fontId="1"/>
  </si>
  <si>
    <t>Select materials that do not cause Irritation.</t>
    <phoneticPr fontId="1"/>
  </si>
  <si>
    <t>Confirmation of MSDS</t>
    <phoneticPr fontId="1"/>
  </si>
  <si>
    <t>The release paper does not peel off.</t>
    <phoneticPr fontId="1"/>
  </si>
  <si>
    <t>Biting during production</t>
    <phoneticPr fontId="1"/>
  </si>
  <si>
    <t>Line Test</t>
    <phoneticPr fontId="1"/>
  </si>
  <si>
    <t>Difficult to peel off</t>
    <phoneticPr fontId="1"/>
  </si>
  <si>
    <t>Adhesion settings are too strong.</t>
    <phoneticPr fontId="1"/>
  </si>
  <si>
    <t>Design for proper adhesion (redesign of glue type and amount applied)</t>
    <phoneticPr fontId="1"/>
  </si>
  <si>
    <t>Monitor Test</t>
    <phoneticPr fontId="1"/>
  </si>
  <si>
    <t>Glue residue occurs</t>
    <phoneticPr fontId="1"/>
  </si>
  <si>
    <t>It was an adhesive that left adhesive residue.</t>
    <phoneticPr fontId="1"/>
  </si>
  <si>
    <t>Selection of adhesive that does not leave adhesive residue</t>
    <phoneticPr fontId="1"/>
  </si>
  <si>
    <t>Check for adhesive residue</t>
    <phoneticPr fontId="1"/>
  </si>
  <si>
    <t>Re-selection of barrier outer film</t>
    <phoneticPr fontId="1"/>
  </si>
  <si>
    <t>Weight Loss Test
JIS Test</t>
    <phoneticPr fontId="1"/>
  </si>
  <si>
    <t>Outer film broken due to transport or dropping</t>
    <phoneticPr fontId="1"/>
  </si>
  <si>
    <t>Transport test,
Drop test
Crash test</t>
    <phoneticPr fontId="1"/>
  </si>
  <si>
    <t>Outer film has pinholes.</t>
    <phoneticPr fontId="1"/>
  </si>
  <si>
    <t>Select an outer bag from a manufacturer of sufficient quality.</t>
    <phoneticPr fontId="1"/>
  </si>
  <si>
    <t>Confirmation of appearance by multiple lots</t>
    <phoneticPr fontId="1"/>
  </si>
  <si>
    <t>Solidification</t>
    <phoneticPr fontId="1"/>
  </si>
  <si>
    <t>Transport test
Drop test
Crash test</t>
    <phoneticPr fontId="1"/>
  </si>
  <si>
    <t>Hydrogen barrier of outer bag is too high.</t>
    <phoneticPr fontId="1"/>
  </si>
  <si>
    <t>Selection of non-puffing barrier materials</t>
    <phoneticPr fontId="1"/>
  </si>
  <si>
    <t>Poor opening</t>
    <phoneticPr fontId="1"/>
  </si>
  <si>
    <t>Poor design of notch shape and size</t>
    <phoneticPr fontId="1"/>
  </si>
  <si>
    <t>Redesign of notch shape and size</t>
    <phoneticPr fontId="1"/>
  </si>
  <si>
    <t>Confirmation of openability</t>
    <phoneticPr fontId="1"/>
  </si>
  <si>
    <t>Lot printing is unreadable</t>
    <phoneticPr fontId="1"/>
  </si>
  <si>
    <t>Printing lost due to rubbing in transit.</t>
    <phoneticPr fontId="1"/>
  </si>
  <si>
    <t>Change to ink with high abrasion resistance</t>
    <phoneticPr fontId="1"/>
  </si>
  <si>
    <t>Transport test
Friction Fastness Test</t>
    <phoneticPr fontId="1"/>
  </si>
  <si>
    <t>Wrap tear</t>
    <phoneticPr fontId="1"/>
  </si>
  <si>
    <t>Wrap</t>
    <phoneticPr fontId="1"/>
  </si>
  <si>
    <t>The seal was weak and the wrap broke.</t>
    <phoneticPr fontId="1"/>
  </si>
  <si>
    <t>Wrap seal strength design to withstand transport and drops</t>
    <phoneticPr fontId="1"/>
  </si>
  <si>
    <t>Insufficient strength of hanging hooks</t>
    <phoneticPr fontId="1"/>
  </si>
  <si>
    <t>The design should be strong enough to withstand its own weight when suspended.</t>
    <phoneticPr fontId="1"/>
  </si>
  <si>
    <t>Hanging hook test</t>
    <phoneticPr fontId="1"/>
  </si>
  <si>
    <t>Discoloration</t>
    <phoneticPr fontId="1"/>
  </si>
  <si>
    <t>Faded in materials with low lightfastness (subject to outermost layer)</t>
    <phoneticPr fontId="1"/>
  </si>
  <si>
    <t>Selection of materials with high lightfastness</t>
    <phoneticPr fontId="1"/>
  </si>
  <si>
    <t>UV test
Sunlight exposure test</t>
    <phoneticPr fontId="1"/>
  </si>
  <si>
    <t>Suplier</t>
    <phoneticPr fontId="1"/>
  </si>
  <si>
    <t>Reteiler box deformed</t>
    <phoneticPr fontId="1"/>
  </si>
  <si>
    <t>Insufficient strength of the box</t>
    <phoneticPr fontId="1"/>
  </si>
  <si>
    <t>Strength settings to prevent damage during transport, storage, and dropping</t>
    <phoneticPr fontId="1"/>
  </si>
  <si>
    <t>Reteiler box opened</t>
    <phoneticPr fontId="1"/>
  </si>
  <si>
    <t>Insufficient strength of hot melt</t>
    <phoneticPr fontId="1"/>
  </si>
  <si>
    <t>Check compatibility of hot melt and retailer boxes</t>
    <phoneticPr fontId="1"/>
  </si>
  <si>
    <t>Material fracture test</t>
    <phoneticPr fontId="1"/>
  </si>
  <si>
    <t>Retailer box is inflating</t>
    <phoneticPr fontId="1"/>
  </si>
  <si>
    <t>Insufficient space</t>
    <phoneticPr fontId="1"/>
  </si>
  <si>
    <t>Design dimensions with a 10% allowance.</t>
    <phoneticPr fontId="1"/>
  </si>
  <si>
    <t>Report dimensions in DR</t>
    <phoneticPr fontId="1"/>
  </si>
  <si>
    <t>Outer box deformed</t>
    <phoneticPr fontId="1"/>
  </si>
  <si>
    <t>2) Other Potential Risks</t>
    <phoneticPr fontId="1"/>
  </si>
  <si>
    <t>DR3 format to Hand warmer</t>
    <phoneticPr fontId="1"/>
  </si>
  <si>
    <t xml:space="preserve">1) Process Risk Assesment </t>
    <phoneticPr fontId="1"/>
  </si>
  <si>
    <t>Process Risk Assessment</t>
    <phoneticPr fontId="1"/>
  </si>
  <si>
    <t>Process</t>
    <phoneticPr fontId="1"/>
  </si>
  <si>
    <t>Test Method</t>
    <phoneticPr fontId="1"/>
  </si>
  <si>
    <t>Responsibility</t>
    <phoneticPr fontId="1"/>
  </si>
  <si>
    <t>Different temperature performance</t>
    <phoneticPr fontId="5"/>
  </si>
  <si>
    <t>Mixture</t>
    <phoneticPr fontId="22"/>
  </si>
  <si>
    <t>Poor productivity</t>
    <phoneticPr fontId="5"/>
  </si>
  <si>
    <t>Check productivity</t>
    <phoneticPr fontId="22"/>
  </si>
  <si>
    <t>Mixture test</t>
    <phoneticPr fontId="5"/>
  </si>
  <si>
    <t>Formulas do not mix well</t>
    <phoneticPr fontId="1"/>
  </si>
  <si>
    <t>Check blend ration</t>
    <phoneticPr fontId="1"/>
  </si>
  <si>
    <t>Blend ration test</t>
    <phoneticPr fontId="22"/>
  </si>
  <si>
    <t>Filling</t>
    <phoneticPr fontId="22"/>
  </si>
  <si>
    <t>Over or under filling</t>
    <phoneticPr fontId="5"/>
  </si>
  <si>
    <t>Filling accuracy adjustment</t>
    <phoneticPr fontId="22"/>
  </si>
  <si>
    <t>Filling test</t>
    <phoneticPr fontId="22"/>
  </si>
  <si>
    <t>Inner film seal</t>
    <phoneticPr fontId="22"/>
  </si>
  <si>
    <t>edge cutting</t>
    <phoneticPr fontId="1"/>
  </si>
  <si>
    <t>Adjusting seal condition</t>
    <phoneticPr fontId="22"/>
  </si>
  <si>
    <t>Seal test, Leak test
Seal strength test</t>
    <phoneticPr fontId="22"/>
  </si>
  <si>
    <t>Breaking bag at time of use</t>
    <phoneticPr fontId="1"/>
  </si>
  <si>
    <t>Insufficient seal strength</t>
    <phoneticPr fontId="22"/>
  </si>
  <si>
    <t>Short seal width</t>
    <phoneticPr fontId="22"/>
  </si>
  <si>
    <t>Poor appearance (stains),
Breaking bags</t>
    <phoneticPr fontId="22"/>
  </si>
  <si>
    <t>Bitting</t>
    <phoneticPr fontId="22"/>
  </si>
  <si>
    <t>Check condition of sealing equipment</t>
    <phoneticPr fontId="1"/>
  </si>
  <si>
    <t>Poor appearance</t>
    <phoneticPr fontId="22"/>
  </si>
  <si>
    <t>Wrinkles and warping</t>
    <phoneticPr fontId="22"/>
  </si>
  <si>
    <t>Solidification</t>
    <phoneticPr fontId="22"/>
  </si>
  <si>
    <t>Outer film seal</t>
    <phoneticPr fontId="1"/>
  </si>
  <si>
    <t>Outer film has pinholes</t>
    <phoneticPr fontId="22"/>
  </si>
  <si>
    <t>Set appropriate sealing conditions and line speeds</t>
    <phoneticPr fontId="22"/>
  </si>
  <si>
    <t>Bitting inner film</t>
    <phoneticPr fontId="22"/>
  </si>
  <si>
    <t>Poor apperance
Solidification</t>
    <phoneticPr fontId="22"/>
  </si>
  <si>
    <t>Seal width failure</t>
    <phoneticPr fontId="22"/>
  </si>
  <si>
    <t>Misalignment of cut position</t>
    <phoneticPr fontId="22"/>
  </si>
  <si>
    <t>Seal position adjustment</t>
    <phoneticPr fontId="22"/>
  </si>
  <si>
    <t>Seal failure</t>
    <phoneticPr fontId="22"/>
  </si>
  <si>
    <t>Outer film cut is not possible.</t>
    <phoneticPr fontId="22"/>
  </si>
  <si>
    <t>Outer film cut</t>
    <phoneticPr fontId="1"/>
  </si>
  <si>
    <t>design pattern deviation</t>
    <phoneticPr fontId="22"/>
  </si>
  <si>
    <t>Confirm the artwork</t>
    <phoneticPr fontId="22"/>
  </si>
  <si>
    <t>Line test</t>
    <phoneticPr fontId="22"/>
  </si>
  <si>
    <t>Poor appearance (cut dregs adhered)</t>
    <phoneticPr fontId="22"/>
  </si>
  <si>
    <t>Cutter wear and dirt adhesion</t>
    <phoneticPr fontId="22"/>
  </si>
  <si>
    <t>Blade changing</t>
    <phoneticPr fontId="22"/>
  </si>
  <si>
    <t>Transport failure</t>
    <phoneticPr fontId="22"/>
  </si>
  <si>
    <t>Accumulation process</t>
    <phoneticPr fontId="1"/>
  </si>
  <si>
    <t>Product bulge</t>
    <phoneticPr fontId="22"/>
  </si>
  <si>
    <t>Lot printing is unreadable</t>
    <phoneticPr fontId="22"/>
  </si>
  <si>
    <t>Outer filim lot printing</t>
    <phoneticPr fontId="1"/>
  </si>
  <si>
    <t>Printing lost due to rubbing in transit.</t>
    <phoneticPr fontId="22"/>
  </si>
  <si>
    <t>Change to ink with high abrasion resistance</t>
    <phoneticPr fontId="22"/>
  </si>
  <si>
    <t>Transport test</t>
    <phoneticPr fontId="22"/>
  </si>
  <si>
    <t>Lot printing failure</t>
    <phoneticPr fontId="22"/>
  </si>
  <si>
    <t>Set on-site operation rules</t>
    <phoneticPr fontId="22"/>
  </si>
  <si>
    <t>Wrap seal</t>
    <phoneticPr fontId="22"/>
  </si>
  <si>
    <t>Seal test
Seal strength test</t>
    <phoneticPr fontId="22"/>
  </si>
  <si>
    <t>design error</t>
    <phoneticPr fontId="22"/>
  </si>
  <si>
    <t>Confirm the artwork
Adjustment of seal position</t>
    <phoneticPr fontId="22"/>
  </si>
  <si>
    <t>Wrap lot printing</t>
    <phoneticPr fontId="22"/>
  </si>
  <si>
    <t>Shortage</t>
    <phoneticPr fontId="22"/>
  </si>
  <si>
    <t>WC setpoint error</t>
    <phoneticPr fontId="22"/>
  </si>
  <si>
    <t>Checking set values</t>
    <phoneticPr fontId="22"/>
  </si>
  <si>
    <t>Adjusting seal condition
( Validation )</t>
    <phoneticPr fontId="22"/>
  </si>
  <si>
    <t>Poor workability</t>
    <phoneticPr fontId="1"/>
  </si>
  <si>
    <t>Retailer box assemble</t>
    <phoneticPr fontId="1"/>
  </si>
  <si>
    <t>Designed to be difficult to work with</t>
    <phoneticPr fontId="1"/>
  </si>
  <si>
    <t>Confirmation of workability</t>
    <phoneticPr fontId="1"/>
  </si>
  <si>
    <t>Poor assembly</t>
    <phoneticPr fontId="22"/>
  </si>
  <si>
    <t>Shipper case assemble</t>
    <phoneticPr fontId="22"/>
  </si>
  <si>
    <t>design fault</t>
    <phoneticPr fontId="22"/>
  </si>
  <si>
    <t>Confirmation of Shipper case design</t>
    <phoneticPr fontId="22"/>
  </si>
  <si>
    <t>Evaluation method</t>
  </si>
  <si>
    <t>subject</t>
    <phoneticPr fontId="1"/>
  </si>
  <si>
    <t>Additional Test Form</t>
    <phoneticPr fontId="1"/>
  </si>
  <si>
    <t xml:space="preserve">Responsible by : </t>
    <phoneticPr fontId="1"/>
  </si>
  <si>
    <t xml:space="preserve">Date : </t>
    <phoneticPr fontId="1"/>
  </si>
  <si>
    <t>Question</t>
    <phoneticPr fontId="1"/>
  </si>
  <si>
    <t>Is the Retailer box designed with at least 10% margins?</t>
    <phoneticPr fontId="1"/>
  </si>
  <si>
    <t>←　Fill in by yourself</t>
    <phoneticPr fontId="1"/>
  </si>
  <si>
    <t>Have you checked the workability of the Retailer box?</t>
    <phoneticPr fontId="1"/>
  </si>
  <si>
    <t>Is a Transport test necessary?</t>
    <phoneticPr fontId="1"/>
  </si>
  <si>
    <t>←　Auto-fill. If yes, list results below.</t>
    <phoneticPr fontId="1"/>
  </si>
  <si>
    <t>カイロはやらない</t>
    <phoneticPr fontId="1"/>
  </si>
  <si>
    <t>Is a Drop test necessary?</t>
    <phoneticPr fontId="1"/>
  </si>
  <si>
    <t>AmazonのDropテストに統一する</t>
    <rPh sb="15" eb="17">
      <t>トウイツ</t>
    </rPh>
    <phoneticPr fontId="1"/>
  </si>
  <si>
    <t>Is a Crush test necessary?</t>
    <phoneticPr fontId="1"/>
  </si>
  <si>
    <t>やる</t>
    <phoneticPr fontId="1"/>
  </si>
  <si>
    <t>Do you plan to sell to Amazon?</t>
    <phoneticPr fontId="1"/>
  </si>
  <si>
    <t>Do you plan to sell to Walmart?</t>
    <phoneticPr fontId="1"/>
  </si>
  <si>
    <t>ISTA TEST</t>
    <phoneticPr fontId="1"/>
  </si>
  <si>
    <t>Transportation test</t>
    <phoneticPr fontId="1"/>
  </si>
  <si>
    <t xml:space="preserve">Method : </t>
    <phoneticPr fontId="1"/>
  </si>
  <si>
    <t xml:space="preserve">Target : </t>
    <phoneticPr fontId="1"/>
  </si>
  <si>
    <t>Result :</t>
    <phoneticPr fontId="1"/>
  </si>
  <si>
    <t>Drop test</t>
    <phoneticPr fontId="1"/>
  </si>
  <si>
    <t>Crush test</t>
    <phoneticPr fontId="1"/>
  </si>
  <si>
    <t>Test Validation Request Form</t>
  </si>
  <si>
    <t>Date Issued</t>
  </si>
  <si>
    <t>INDEX NUMBER:</t>
  </si>
  <si>
    <t>Description</t>
  </si>
  <si>
    <t xml:space="preserve">Operation </t>
  </si>
  <si>
    <t>Line of MFG</t>
  </si>
  <si>
    <t>Line1</t>
  </si>
  <si>
    <t>Product</t>
    <phoneticPr fontId="1"/>
  </si>
  <si>
    <t>CuraHeat</t>
  </si>
  <si>
    <t>Line speed</t>
    <phoneticPr fontId="1"/>
  </si>
  <si>
    <t>Process</t>
  </si>
  <si>
    <t>Production Line test</t>
    <phoneticPr fontId="1"/>
  </si>
  <si>
    <t>Purpose of Validation</t>
  </si>
  <si>
    <t>Material specification change</t>
  </si>
  <si>
    <t>Validation Type</t>
  </si>
  <si>
    <t>Other</t>
  </si>
  <si>
    <t>Classification</t>
  </si>
  <si>
    <t>Review</t>
  </si>
  <si>
    <t>Reason for Change</t>
  </si>
  <si>
    <t>Group in Charge</t>
  </si>
  <si>
    <t>Person in charge</t>
  </si>
  <si>
    <t>1. Preparation of Materials</t>
    <phoneticPr fontId="1"/>
  </si>
  <si>
    <t>Name</t>
    <phoneticPr fontId="1"/>
  </si>
  <si>
    <t>Quantity</t>
    <phoneticPr fontId="1"/>
  </si>
  <si>
    <t>remarks</t>
    <phoneticPr fontId="1"/>
  </si>
  <si>
    <t>2. Test protocol</t>
    <phoneticPr fontId="1"/>
  </si>
  <si>
    <t>Filling volume</t>
    <phoneticPr fontId="1"/>
  </si>
  <si>
    <t>Filling Standard</t>
    <phoneticPr fontId="1"/>
  </si>
  <si>
    <t>1 batch</t>
    <phoneticPr fontId="1"/>
  </si>
  <si>
    <t>2 batch</t>
    <phoneticPr fontId="1"/>
  </si>
  <si>
    <t>3 batch</t>
    <phoneticPr fontId="1"/>
  </si>
  <si>
    <t>ave</t>
    <phoneticPr fontId="1"/>
  </si>
  <si>
    <t>max</t>
    <phoneticPr fontId="1"/>
  </si>
  <si>
    <t>min</t>
    <phoneticPr fontId="1"/>
  </si>
  <si>
    <t>Mixture Productivity</t>
    <phoneticPr fontId="1"/>
  </si>
  <si>
    <t>Ensure that productivity is equivalent to the current formulation.</t>
    <phoneticPr fontId="1"/>
  </si>
  <si>
    <t>Seal test with inner film</t>
    <phoneticPr fontId="1"/>
  </si>
  <si>
    <t>Seal strength with inner film</t>
    <phoneticPr fontId="1"/>
  </si>
  <si>
    <t>Seal strength standard</t>
    <phoneticPr fontId="1"/>
  </si>
  <si>
    <t xml:space="preserve">*Leak tests are conducted for those that have concerns because the seal strength is so weak that  it falls below the standard, </t>
    <phoneticPr fontId="1"/>
  </si>
  <si>
    <t xml:space="preserve"> or for those that do not see the seal strength.</t>
    <phoneticPr fontId="1"/>
  </si>
  <si>
    <t>Seal test with outer film</t>
    <phoneticPr fontId="1"/>
  </si>
  <si>
    <t>Seal strength with outer film</t>
    <phoneticPr fontId="1"/>
  </si>
  <si>
    <t>Wrup film</t>
    <phoneticPr fontId="1"/>
  </si>
  <si>
    <t>Seal test with Wrup film</t>
    <phoneticPr fontId="1"/>
  </si>
  <si>
    <t>Fastest speed item</t>
    <phoneticPr fontId="1"/>
  </si>
  <si>
    <t>Center Seal</t>
    <phoneticPr fontId="1"/>
  </si>
  <si>
    <r>
      <t>E</t>
    </r>
    <r>
      <rPr>
        <sz val="11"/>
        <color theme="1"/>
        <rFont val="ＭＳ Ｐゴシック"/>
        <family val="2"/>
        <scheme val="minor"/>
      </rPr>
      <t>nd Seal Front</t>
    </r>
    <phoneticPr fontId="1"/>
  </si>
  <si>
    <t>Hook-hole tests will also be performed on the samples prepared (the number of samples will be discussed on a case-by-case basis).</t>
    <phoneticPr fontId="1"/>
  </si>
  <si>
    <t>Slowest speed item</t>
    <phoneticPr fontId="1"/>
  </si>
  <si>
    <t>Hook-hole tests</t>
    <phoneticPr fontId="1"/>
  </si>
  <si>
    <t>Fastest speed</t>
    <phoneticPr fontId="1"/>
  </si>
  <si>
    <t>Lowest speed</t>
    <phoneticPr fontId="1"/>
  </si>
  <si>
    <t xml:space="preserve">Min </t>
    <phoneticPr fontId="1"/>
  </si>
  <si>
    <t>Center</t>
    <phoneticPr fontId="1"/>
  </si>
  <si>
    <t>Max</t>
    <phoneticPr fontId="1"/>
  </si>
  <si>
    <t>3. Make Samples</t>
    <phoneticPr fontId="1"/>
  </si>
  <si>
    <t>Sample Type</t>
    <phoneticPr fontId="1"/>
  </si>
  <si>
    <t>Sample Purpose</t>
    <phoneticPr fontId="1"/>
  </si>
  <si>
    <t>Department</t>
    <phoneticPr fontId="1"/>
  </si>
  <si>
    <t>Validation Items and Evaluation Criteria</t>
  </si>
  <si>
    <t>Validation Items</t>
  </si>
  <si>
    <t>Evaluation Criteria</t>
  </si>
  <si>
    <t>Pass/Fail</t>
  </si>
  <si>
    <t>1. Temperature Matrix</t>
  </si>
  <si>
    <t>Based on spec</t>
  </si>
  <si>
    <t>2. Confirm the seal strength</t>
  </si>
  <si>
    <t>more than 0.8 kgf (average 1.2 kgf)</t>
  </si>
  <si>
    <t>3. Size</t>
  </si>
  <si>
    <t>a,b: 6.5±2mm      c,d: 5.5±1.5mm</t>
  </si>
  <si>
    <t>4. Leak test</t>
  </si>
  <si>
    <t>Check by leakage liquid (n=6/each condition)</t>
  </si>
  <si>
    <t>5. JIS test (QC)</t>
  </si>
  <si>
    <t>6. Stability test</t>
  </si>
  <si>
    <t>Cost</t>
  </si>
  <si>
    <t xml:space="preserve">Budget Allocated </t>
  </si>
  <si>
    <t>YES</t>
  </si>
  <si>
    <t>(Details)</t>
  </si>
  <si>
    <t>Group Responsible for Cost</t>
  </si>
  <si>
    <t>Technical Department</t>
  </si>
  <si>
    <t xml:space="preserve">Date Conducted </t>
  </si>
  <si>
    <t>Treatment</t>
  </si>
  <si>
    <t>Approval
(as applicable)</t>
  </si>
  <si>
    <t>KAM Pres.</t>
  </si>
  <si>
    <t>QC Mgr</t>
  </si>
  <si>
    <t>TD Mgr</t>
  </si>
  <si>
    <t>PC Mgr</t>
  </si>
  <si>
    <t>PE Mgr</t>
  </si>
  <si>
    <t>PD Mgr</t>
  </si>
  <si>
    <t xml:space="preserve">QC </t>
  </si>
  <si>
    <t>Draft</t>
  </si>
  <si>
    <t xml:space="preserve">※For External </t>
  </si>
  <si>
    <t>TVRF.rev003</t>
  </si>
  <si>
    <t>Rev</t>
  </si>
  <si>
    <t>Date</t>
  </si>
  <si>
    <t>Details</t>
  </si>
  <si>
    <t>Initial Adoption</t>
  </si>
  <si>
    <t>Added KAM President approval block for external validations</t>
  </si>
  <si>
    <t>Changed format to adjust layout on Japanese computers, added drop down lists: no content changed</t>
  </si>
  <si>
    <t>18,220,21,22,23,24,25</t>
    <phoneticPr fontId="1"/>
  </si>
  <si>
    <t>18. 2. 21</t>
    <phoneticPr fontId="1"/>
  </si>
  <si>
    <t>Khoong the lay dc lisst hidden</t>
    <phoneticPr fontId="1"/>
  </si>
  <si>
    <t>L1 = L10, 11 =&gt; so sanh bi sai</t>
    <phoneticPr fontId="1"/>
  </si>
  <si>
    <t>add array thi phai add a(1). A(2) ..vv</t>
    <phoneticPr fontId="1"/>
  </si>
  <si>
    <t>https://excelchamps.com/vba/arrays/add-new-value-array/</t>
    <phoneticPr fontId="1"/>
  </si>
  <si>
    <t xml:space="preserve">①L列の◯に連動して、G～K列を黄色にしたいです。一部自分でやっていますが、コピーペーストで設定がおかしくなっているので修正をお願いします。
</t>
    <phoneticPr fontId="1"/>
  </si>
  <si>
    <t xml:space="preserve">②プルダウンにして◯を選択するかつコピーペーストを出来ない仕様にして頂けませんでしょうか。
</t>
    <phoneticPr fontId="1"/>
  </si>
  <si>
    <t>顧客の要求</t>
    <rPh sb="0" eb="2">
      <t>コキャク</t>
    </rPh>
    <rPh sb="3" eb="5">
      <t>ヨウキュウ</t>
    </rPh>
    <phoneticPr fontId="1"/>
  </si>
  <si>
    <t>対応内容</t>
    <rPh sb="0" eb="2">
      <t>タイオウ</t>
    </rPh>
    <rPh sb="2" eb="4">
      <t>ナイヨウ</t>
    </rPh>
    <phoneticPr fontId="1"/>
  </si>
  <si>
    <t>対応できる
　・対応予定：VBAマクロで対応
　・見積もり：3時間</t>
    <rPh sb="0" eb="2">
      <t>タイオウ</t>
    </rPh>
    <rPh sb="8" eb="10">
      <t>タイオウ</t>
    </rPh>
    <rPh sb="10" eb="12">
      <t>ヨテイ</t>
    </rPh>
    <rPh sb="20" eb="22">
      <t>タイオウ</t>
    </rPh>
    <rPh sb="25" eb="27">
      <t>ミツ</t>
    </rPh>
    <rPh sb="31" eb="33">
      <t>ジカン</t>
    </rPh>
    <phoneticPr fontId="1"/>
  </si>
  <si>
    <t>対応できる
　・対応予定：VBAマクロで対応
　・見積もり：3時間</t>
    <phoneticPr fontId="1"/>
  </si>
  <si>
    <t xml:space="preserve">③/1：こちらの記載の内容で表示・非表示を設定して頂けませんでしょうか。
③/2：については仮に◯が2個ついた場合どのような処理になりますでしょうか？
希望としては
Aに◯をつけると１，２，３が非表示になる。
Bに◯をつけると３，４，５が非表示になる。
このような場合にはAとBで共通している３のみ非表示としたいのですが、そのような設定は可能でしょうか？
</t>
    <phoneticPr fontId="1"/>
  </si>
  <si>
    <t>③/1：表示／非表示を設定することができます
　・対応＋テスト：５時間
③/2：対応できません
　・重複チェックについてはExcelがarrayにサポートしないと思って、実装してみましたが大量のデータと処理するとおかしくなっているので対応不可能です。</t>
    <rPh sb="4" eb="6">
      <t>ヒョウジ</t>
    </rPh>
    <rPh sb="7" eb="10">
      <t>ヒヒョウジ</t>
    </rPh>
    <rPh sb="11" eb="13">
      <t>セッテイ</t>
    </rPh>
    <rPh sb="25" eb="27">
      <t>タイオウ</t>
    </rPh>
    <rPh sb="33" eb="35">
      <t>ジカン</t>
    </rPh>
    <rPh sb="40" eb="42">
      <t>タイオウ</t>
    </rPh>
    <rPh sb="50" eb="52">
      <t>チョウフク</t>
    </rPh>
    <rPh sb="81" eb="82">
      <t>オモ</t>
    </rPh>
    <rPh sb="85" eb="87">
      <t>ジッソウ</t>
    </rPh>
    <rPh sb="94" eb="96">
      <t>タイリョウ</t>
    </rPh>
    <rPh sb="101" eb="103">
      <t>ショリ</t>
    </rPh>
    <rPh sb="117" eb="119">
      <t>タイオウ</t>
    </rPh>
    <rPh sb="119" eb="122">
      <t>フカノウ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</si>
</sst>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43">
    <font>
      <sz val="11"/>
      <color theme="1"/>
      <name val="ＭＳ Ｐゴシック"/>
      <family val="2"/>
      <scheme val="minor"/>
    </font>
    <font>
      <sz val="6"/>
      <name val="ＭＳ Ｐゴシック"/>
      <family val="3"/>
      <charset val="128"/>
      <scheme val="minor"/>
    </font>
    <font>
      <sz val="11"/>
      <name val="ＭＳ Ｐゴシック"/>
      <family val="3"/>
      <charset val="128"/>
    </font>
    <font>
      <sz val="16"/>
      <color theme="1"/>
      <name val="ＭＳ Ｐゴシック"/>
      <family val="3"/>
      <charset val="128"/>
      <scheme val="minor"/>
    </font>
    <font>
      <sz val="11"/>
      <color theme="1"/>
      <name val="ＭＳ Ｐゴシック"/>
      <family val="2"/>
      <scheme val="minor"/>
    </font>
    <font>
      <sz val="11"/>
      <color theme="1"/>
      <name val="ＭＳ Ｐゴシック"/>
      <family val="2"/>
      <charset val="128"/>
      <scheme val="minor"/>
    </font>
    <font>
      <b/>
      <sz val="18"/>
      <color theme="0"/>
      <name val="HGP創英角ｺﾞｼｯｸUB"/>
      <family val="3"/>
      <charset val="128"/>
    </font>
    <font>
      <sz val="11"/>
      <color theme="1"/>
      <name val="HGP創英角ｺﾞｼｯｸUB"/>
      <family val="3"/>
      <charset val="128"/>
    </font>
    <font>
      <sz val="14"/>
      <color theme="1"/>
      <name val="HGP創英角ｺﾞｼｯｸUB"/>
      <family val="3"/>
      <charset val="128"/>
    </font>
    <font>
      <sz val="11"/>
      <color theme="0"/>
      <name val="HGP創英角ｺﾞｼｯｸUB"/>
      <family val="3"/>
      <charset val="128"/>
    </font>
    <font>
      <sz val="18"/>
      <name val="HGP創英角ｺﾞｼｯｸUB"/>
      <family val="3"/>
      <charset val="128"/>
    </font>
    <font>
      <sz val="14"/>
      <name val="HGP創英角ｺﾞｼｯｸUB"/>
      <family val="3"/>
      <charset val="128"/>
    </font>
    <font>
      <b/>
      <u/>
      <sz val="22"/>
      <color theme="1"/>
      <name val="HGP創英角ｺﾞｼｯｸUB"/>
      <family val="3"/>
      <charset val="128"/>
    </font>
    <font>
      <b/>
      <u/>
      <sz val="18"/>
      <color theme="1"/>
      <name val="HGP創英角ｺﾞｼｯｸUB"/>
      <family val="3"/>
      <charset val="128"/>
    </font>
    <font>
      <sz val="14"/>
      <color rgb="FFFF0000"/>
      <name val="HGP創英角ｺﾞｼｯｸUB"/>
      <family val="3"/>
      <charset val="128"/>
    </font>
    <font>
      <sz val="18"/>
      <color rgb="FF0070C0"/>
      <name val="HGP創英角ｺﾞｼｯｸUB"/>
      <family val="3"/>
      <charset val="128"/>
    </font>
    <font>
      <sz val="18"/>
      <color theme="0"/>
      <name val="Hgp創英角ｺﾞｼｯｸub"/>
      <family val="3"/>
      <charset val="128"/>
    </font>
    <font>
      <sz val="10"/>
      <name val="HGP創英角ｺﾞｼｯｸUB"/>
      <family val="3"/>
      <charset val="128"/>
    </font>
    <font>
      <sz val="11"/>
      <name val="HGP創英角ｺﾞｼｯｸUB"/>
      <family val="3"/>
      <charset val="128"/>
    </font>
    <font>
      <b/>
      <sz val="9"/>
      <color indexed="81"/>
      <name val="ＭＳ Ｐゴシック"/>
      <family val="3"/>
      <charset val="128"/>
    </font>
    <font>
      <sz val="9"/>
      <color indexed="81"/>
      <name val="ＭＳ Ｐゴシック"/>
      <family val="3"/>
      <charset val="128"/>
    </font>
    <font>
      <sz val="18"/>
      <color theme="1"/>
      <name val="Arial"/>
      <family val="2"/>
    </font>
    <font>
      <sz val="6"/>
      <name val="ＭＳ Ｐゴシック"/>
      <family val="2"/>
      <charset val="128"/>
      <scheme val="minor"/>
    </font>
    <font>
      <sz val="10"/>
      <color theme="1"/>
      <name val="HGP創英角ｺﾞｼｯｸUB"/>
      <family val="3"/>
      <charset val="128"/>
    </font>
    <font>
      <sz val="11"/>
      <color rgb="FF0070C0"/>
      <name val="HGP創英角ｺﾞｼｯｸUB"/>
      <family val="3"/>
      <charset val="128"/>
    </font>
    <font>
      <sz val="11"/>
      <color theme="1"/>
      <name val="Arial Narrow"/>
      <family val="2"/>
    </font>
    <font>
      <b/>
      <sz val="24"/>
      <color theme="1"/>
      <name val="Arial Narrow"/>
      <family val="2"/>
    </font>
    <font>
      <sz val="11"/>
      <name val="Calibri"/>
      <family val="2"/>
    </font>
    <font>
      <sz val="11"/>
      <color rgb="FF000000"/>
      <name val="MS PGothic"/>
      <family val="3"/>
      <charset val="128"/>
    </font>
    <font>
      <sz val="10"/>
      <color theme="1"/>
      <name val="Arial Narrow"/>
      <family val="2"/>
    </font>
    <font>
      <sz val="11"/>
      <color rgb="FF000000"/>
      <name val="Arial Narrow"/>
      <family val="2"/>
    </font>
    <font>
      <sz val="16"/>
      <color theme="1"/>
      <name val="Arial Narrow"/>
      <family val="2"/>
    </font>
    <font>
      <sz val="14"/>
      <color theme="1"/>
      <name val="ＭＳ Ｐゴシック"/>
      <family val="2"/>
      <scheme val="minor"/>
    </font>
    <font>
      <sz val="14"/>
      <name val="ＭＳ Ｐゴシック"/>
      <family val="2"/>
      <scheme val="minor"/>
    </font>
    <font>
      <b/>
      <sz val="11"/>
      <color theme="1"/>
      <name val="Arial Narrow"/>
      <family val="2"/>
    </font>
    <font>
      <b/>
      <sz val="11"/>
      <color theme="0"/>
      <name val="Arial Narrow"/>
      <family val="2"/>
    </font>
    <font>
      <u/>
      <sz val="11"/>
      <color theme="1"/>
      <name val="Arial Narrow"/>
      <family val="2"/>
    </font>
    <font>
      <sz val="11"/>
      <color rgb="FFFF0000"/>
      <name val="Arial Narrow"/>
      <family val="2"/>
    </font>
    <font>
      <sz val="11"/>
      <color theme="1"/>
      <name val="ＭＳ Ｐゴシック"/>
      <family val="3"/>
      <charset val="128"/>
    </font>
    <font>
      <sz val="12"/>
      <color theme="1"/>
      <name val="Arial Narrow"/>
      <family val="2"/>
    </font>
    <font>
      <sz val="9"/>
      <color theme="1"/>
      <name val="Arial Narrow"/>
      <family val="2"/>
    </font>
    <font>
      <sz val="8"/>
      <color theme="1"/>
      <name val="Arial Narrow"/>
      <family val="2"/>
    </font>
    <font>
      <u/>
      <sz val="11"/>
      <color theme="10"/>
      <name val="ＭＳ Ｐゴシック"/>
      <family val="2"/>
      <scheme val="minor"/>
    </font>
  </fonts>
  <fills count="17">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theme="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E2EFD9"/>
        <bgColor rgb="FFE2EFD9"/>
      </patternFill>
    </fill>
    <fill>
      <patternFill patternType="solid">
        <fgColor theme="5" tint="0.79998168889431442"/>
        <bgColor indexed="64"/>
      </patternFill>
    </fill>
    <fill>
      <patternFill patternType="solid">
        <fgColor rgb="FFD8D8D8"/>
        <bgColor rgb="FFD8D8D8"/>
      </patternFill>
    </fill>
    <fill>
      <patternFill patternType="solid">
        <fgColor theme="0"/>
        <bgColor theme="0"/>
      </patternFill>
    </fill>
    <fill>
      <patternFill patternType="solid">
        <fgColor theme="2" tint="-0.14999847407452621"/>
        <bgColor theme="0"/>
      </patternFill>
    </fill>
    <fill>
      <patternFill patternType="solid">
        <fgColor theme="2" tint="-0.14999847407452621"/>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39997558519241921"/>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rgb="FF000000"/>
      </left>
      <right style="thin">
        <color rgb="FF000000"/>
      </right>
      <top style="thin">
        <color indexed="64"/>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rgb="FF000000"/>
      </left>
      <right style="thin">
        <color indexed="64"/>
      </right>
      <top style="thin">
        <color rgb="FF000000"/>
      </top>
      <bottom style="thin">
        <color rgb="FF000000"/>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top style="medium">
        <color rgb="FF000000"/>
      </top>
      <bottom style="medium">
        <color rgb="FF000000"/>
      </bottom>
      <diagonal/>
    </border>
    <border>
      <left/>
      <right/>
      <top style="medium">
        <color rgb="FF000000"/>
      </top>
      <bottom style="medium">
        <color rgb="FF000000"/>
      </bottom>
      <diagonal/>
    </border>
    <border>
      <left/>
      <right style="thin">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medium">
        <color rgb="FF000000"/>
      </right>
      <top style="thin">
        <color rgb="FF000000"/>
      </top>
      <bottom/>
      <diagonal/>
    </border>
    <border>
      <left style="medium">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thin">
        <color rgb="FF000000"/>
      </right>
      <top/>
      <bottom/>
      <diagonal/>
    </border>
    <border>
      <left/>
      <right/>
      <top style="dotted">
        <color rgb="FF000000"/>
      </top>
      <bottom/>
      <diagonal/>
    </border>
    <border>
      <left/>
      <right style="medium">
        <color rgb="FF000000"/>
      </right>
      <top/>
      <bottom/>
      <diagonal/>
    </border>
    <border>
      <left style="medium">
        <color rgb="FF000000"/>
      </left>
      <right/>
      <top/>
      <bottom/>
      <diagonal/>
    </border>
    <border>
      <left style="thin">
        <color rgb="FF000000"/>
      </left>
      <right/>
      <top/>
      <bottom/>
      <diagonal/>
    </border>
    <border>
      <left style="thin">
        <color indexed="64"/>
      </left>
      <right style="thin">
        <color indexed="64"/>
      </right>
      <top/>
      <bottom/>
      <diagonal/>
    </border>
    <border>
      <left style="medium">
        <color rgb="FF000000"/>
      </left>
      <right style="thin">
        <color rgb="FF000000"/>
      </right>
      <top style="medium">
        <color rgb="FF000000"/>
      </top>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dotted">
        <color rgb="FF000000"/>
      </top>
      <bottom style="dotted">
        <color rgb="FF000000"/>
      </bottom>
      <diagonal/>
    </border>
    <border>
      <left/>
      <right/>
      <top style="thin">
        <color rgb="FF000000"/>
      </top>
      <bottom style="dotted">
        <color rgb="FF000000"/>
      </bottom>
      <diagonal/>
    </border>
    <border>
      <left/>
      <right style="thin">
        <color rgb="FF000000"/>
      </right>
      <top style="thin">
        <color rgb="FF000000"/>
      </top>
      <bottom style="dotted">
        <color rgb="FF000000"/>
      </bottom>
      <diagonal/>
    </border>
    <border>
      <left/>
      <right/>
      <top/>
      <bottom style="dotted">
        <color rgb="FF000000"/>
      </bottom>
      <diagonal/>
    </border>
    <border>
      <left/>
      <right style="thin">
        <color rgb="FF000000"/>
      </right>
      <top/>
      <bottom style="dotted">
        <color rgb="FF000000"/>
      </bottom>
      <diagonal/>
    </border>
    <border>
      <left/>
      <right style="medium">
        <color rgb="FF000000"/>
      </right>
      <top/>
      <bottom style="dotted">
        <color rgb="FF000000"/>
      </bottom>
      <diagonal/>
    </border>
    <border>
      <left/>
      <right/>
      <top style="dotted">
        <color rgb="FF000000"/>
      </top>
      <bottom style="dotted">
        <color rgb="FF000000"/>
      </bottom>
      <diagonal/>
    </border>
    <border>
      <left/>
      <right style="thin">
        <color rgb="FF000000"/>
      </right>
      <top style="dotted">
        <color rgb="FF000000"/>
      </top>
      <bottom style="dotted">
        <color rgb="FF000000"/>
      </bottom>
      <diagonal/>
    </border>
    <border>
      <left/>
      <right style="medium">
        <color rgb="FF000000"/>
      </right>
      <top style="dotted">
        <color rgb="FF000000"/>
      </top>
      <bottom style="dotted">
        <color rgb="FF000000"/>
      </bottom>
      <diagonal/>
    </border>
    <border>
      <left style="medium">
        <color rgb="FF000000"/>
      </left>
      <right style="thin">
        <color rgb="FF000000"/>
      </right>
      <top/>
      <bottom style="medium">
        <color rgb="FF000000"/>
      </bottom>
      <diagonal/>
    </border>
    <border>
      <left style="thin">
        <color rgb="FF000000"/>
      </left>
      <right/>
      <top style="dotted">
        <color rgb="FF000000"/>
      </top>
      <bottom style="medium">
        <color rgb="FF000000"/>
      </bottom>
      <diagonal/>
    </border>
    <border>
      <left/>
      <right/>
      <top style="dotted">
        <color rgb="FF000000"/>
      </top>
      <bottom style="medium">
        <color rgb="FF000000"/>
      </bottom>
      <diagonal/>
    </border>
    <border>
      <left/>
      <right style="thin">
        <color rgb="FF000000"/>
      </right>
      <top style="dotted">
        <color rgb="FF000000"/>
      </top>
      <bottom style="medium">
        <color rgb="FF000000"/>
      </bottom>
      <diagonal/>
    </border>
    <border>
      <left/>
      <right style="medium">
        <color rgb="FF000000"/>
      </right>
      <top style="dotted">
        <color rgb="FF000000"/>
      </top>
      <bottom style="medium">
        <color rgb="FF000000"/>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style="thin">
        <color rgb="FF000000"/>
      </right>
      <top style="thin">
        <color rgb="FF000000"/>
      </top>
      <bottom/>
      <diagonal/>
    </border>
    <border>
      <left style="thin">
        <color rgb="FF000000"/>
      </left>
      <right/>
      <top/>
      <bottom style="medium">
        <color rgb="FF000000"/>
      </bottom>
      <diagonal/>
    </border>
    <border>
      <left/>
      <right style="thin">
        <color rgb="FF000000"/>
      </right>
      <top/>
      <bottom style="medium">
        <color rgb="FF000000"/>
      </bottom>
      <diagonal/>
    </border>
  </borders>
  <cellStyleXfs count="10">
    <xf numFmtId="0" fontId="0" fillId="0" borderId="0"/>
    <xf numFmtId="0" fontId="2" fillId="0" borderId="0"/>
    <xf numFmtId="38" fontId="2" fillId="0" borderId="0" applyFont="0" applyFill="0" applyBorder="0" applyAlignment="0" applyProtection="0"/>
    <xf numFmtId="0" fontId="4" fillId="0" borderId="0"/>
    <xf numFmtId="0" fontId="4" fillId="0" borderId="0"/>
    <xf numFmtId="0" fontId="4" fillId="0" borderId="0"/>
    <xf numFmtId="0" fontId="2" fillId="0" borderId="0">
      <alignment vertical="center"/>
    </xf>
    <xf numFmtId="0" fontId="4" fillId="0" borderId="0"/>
    <xf numFmtId="0" fontId="4" fillId="0" borderId="0"/>
    <xf numFmtId="0" fontId="42" fillId="0" borderId="0" applyNumberFormat="0" applyFill="0" applyBorder="0" applyAlignment="0" applyProtection="0"/>
  </cellStyleXfs>
  <cellXfs count="369">
    <xf numFmtId="0" fontId="0" fillId="0" borderId="0" xfId="0"/>
    <xf numFmtId="0" fontId="3" fillId="2" borderId="1" xfId="0" applyFont="1" applyFill="1" applyBorder="1" applyAlignment="1">
      <alignment horizontal="center" vertical="center"/>
    </xf>
    <xf numFmtId="0" fontId="0" fillId="0" borderId="1" xfId="0" applyBorder="1" applyAlignment="1">
      <alignment horizontal="left" vertical="top" wrapText="1"/>
    </xf>
    <xf numFmtId="0" fontId="0" fillId="0" borderId="1" xfId="0" applyBorder="1" applyAlignment="1">
      <alignment horizontal="left" vertical="top"/>
    </xf>
    <xf numFmtId="0" fontId="0" fillId="0" borderId="0" xfId="0" applyAlignment="1">
      <alignment horizontal="left" vertical="top"/>
    </xf>
    <xf numFmtId="0" fontId="0" fillId="3" borderId="0" xfId="0" applyFill="1"/>
    <xf numFmtId="0" fontId="7" fillId="0" borderId="0" xfId="3" applyFont="1" applyAlignment="1">
      <alignment vertical="center"/>
    </xf>
    <xf numFmtId="0" fontId="8" fillId="0" borderId="5" xfId="3" applyFont="1" applyBorder="1" applyAlignment="1">
      <alignment vertical="center"/>
    </xf>
    <xf numFmtId="0" fontId="8" fillId="0" borderId="6" xfId="3" applyFont="1" applyBorder="1" applyAlignment="1">
      <alignment vertical="center"/>
    </xf>
    <xf numFmtId="0" fontId="9" fillId="0" borderId="6" xfId="3" applyFont="1" applyBorder="1" applyAlignment="1">
      <alignment vertical="center"/>
    </xf>
    <xf numFmtId="0" fontId="9" fillId="0" borderId="7" xfId="3" applyFont="1" applyBorder="1" applyAlignment="1">
      <alignment vertical="center"/>
    </xf>
    <xf numFmtId="0" fontId="8" fillId="0" borderId="8" xfId="3" applyFont="1" applyBorder="1" applyAlignment="1">
      <alignment vertical="center"/>
    </xf>
    <xf numFmtId="0" fontId="8" fillId="0" borderId="0" xfId="3" applyFont="1" applyAlignment="1">
      <alignment vertical="center"/>
    </xf>
    <xf numFmtId="0" fontId="9" fillId="0" borderId="0" xfId="3" applyFont="1" applyAlignment="1">
      <alignment vertical="center"/>
    </xf>
    <xf numFmtId="0" fontId="9" fillId="0" borderId="9" xfId="3" applyFont="1" applyBorder="1" applyAlignment="1">
      <alignment vertical="center"/>
    </xf>
    <xf numFmtId="0" fontId="8" fillId="0" borderId="10" xfId="3" applyFont="1" applyBorder="1" applyAlignment="1">
      <alignment vertical="center"/>
    </xf>
    <xf numFmtId="0" fontId="8" fillId="0" borderId="11" xfId="3" applyFont="1" applyBorder="1" applyAlignment="1">
      <alignment vertical="center"/>
    </xf>
    <xf numFmtId="0" fontId="9" fillId="0" borderId="11" xfId="3" applyFont="1" applyBorder="1" applyAlignment="1">
      <alignment vertical="center"/>
    </xf>
    <xf numFmtId="0" fontId="9" fillId="0" borderId="12" xfId="3" applyFont="1" applyBorder="1" applyAlignment="1">
      <alignment vertical="center"/>
    </xf>
    <xf numFmtId="0" fontId="10" fillId="0" borderId="8" xfId="3" applyFont="1" applyBorder="1" applyAlignment="1">
      <alignment vertical="center"/>
    </xf>
    <xf numFmtId="0" fontId="10" fillId="0" borderId="0" xfId="3" applyFont="1" applyAlignment="1">
      <alignment vertical="center"/>
    </xf>
    <xf numFmtId="0" fontId="11" fillId="0" borderId="8" xfId="3" applyFont="1" applyBorder="1" applyAlignment="1">
      <alignment vertical="center"/>
    </xf>
    <xf numFmtId="0" fontId="11" fillId="0" borderId="0" xfId="3" applyFont="1" applyAlignment="1">
      <alignment vertical="center"/>
    </xf>
    <xf numFmtId="0" fontId="7" fillId="0" borderId="8" xfId="3" applyFont="1" applyBorder="1" applyAlignment="1">
      <alignment vertical="center"/>
    </xf>
    <xf numFmtId="0" fontId="8" fillId="0" borderId="0" xfId="3" applyFont="1" applyAlignment="1">
      <alignment horizontal="center" vertical="center"/>
    </xf>
    <xf numFmtId="0" fontId="7" fillId="0" borderId="9" xfId="3" applyFont="1" applyBorder="1" applyAlignment="1">
      <alignment vertical="center"/>
    </xf>
    <xf numFmtId="0" fontId="8" fillId="0" borderId="13" xfId="3" applyFont="1" applyBorder="1" applyAlignment="1">
      <alignment vertical="center"/>
    </xf>
    <xf numFmtId="0" fontId="8" fillId="0" borderId="14" xfId="3" applyFont="1" applyBorder="1" applyAlignment="1">
      <alignment vertical="center"/>
    </xf>
    <xf numFmtId="0" fontId="12" fillId="0" borderId="14" xfId="3" applyFont="1" applyBorder="1" applyAlignment="1">
      <alignment vertical="center"/>
    </xf>
    <xf numFmtId="0" fontId="8" fillId="0" borderId="14" xfId="3" applyFont="1" applyBorder="1" applyAlignment="1">
      <alignment horizontal="center" vertical="center" wrapText="1"/>
    </xf>
    <xf numFmtId="0" fontId="8" fillId="0" borderId="15" xfId="3" applyFont="1" applyBorder="1" applyAlignment="1">
      <alignment vertical="center"/>
    </xf>
    <xf numFmtId="0" fontId="10" fillId="0" borderId="8" xfId="3" applyFont="1" applyBorder="1" applyAlignment="1">
      <alignment vertical="top" wrapText="1"/>
    </xf>
    <xf numFmtId="0" fontId="10" fillId="0" borderId="0" xfId="3" applyFont="1" applyAlignment="1">
      <alignment vertical="top" wrapText="1"/>
    </xf>
    <xf numFmtId="0" fontId="8" fillId="0" borderId="0" xfId="3" applyFont="1" applyAlignment="1">
      <alignment horizontal="center" vertical="center" wrapText="1"/>
    </xf>
    <xf numFmtId="0" fontId="8" fillId="0" borderId="9" xfId="3" applyFont="1" applyBorder="1" applyAlignment="1">
      <alignment vertical="center"/>
    </xf>
    <xf numFmtId="0" fontId="12" fillId="0" borderId="0" xfId="3" applyFont="1" applyAlignment="1">
      <alignment vertical="center"/>
    </xf>
    <xf numFmtId="0" fontId="13" fillId="0" borderId="10" xfId="3" applyFont="1" applyBorder="1" applyAlignment="1">
      <alignment vertical="center"/>
    </xf>
    <xf numFmtId="0" fontId="13" fillId="0" borderId="11" xfId="3" applyFont="1" applyBorder="1" applyAlignment="1">
      <alignment vertical="center"/>
    </xf>
    <xf numFmtId="0" fontId="8" fillId="0" borderId="11" xfId="3" applyFont="1" applyBorder="1" applyAlignment="1">
      <alignment horizontal="center" vertical="center" wrapText="1"/>
    </xf>
    <xf numFmtId="0" fontId="8" fillId="0" borderId="12" xfId="3" applyFont="1" applyBorder="1" applyAlignment="1">
      <alignment vertical="center"/>
    </xf>
    <xf numFmtId="0" fontId="10" fillId="0" borderId="5" xfId="3" applyFont="1" applyBorder="1" applyAlignment="1">
      <alignment vertical="top" wrapText="1"/>
    </xf>
    <xf numFmtId="0" fontId="10" fillId="0" borderId="6" xfId="3" applyFont="1" applyBorder="1" applyAlignment="1">
      <alignment vertical="top" wrapText="1"/>
    </xf>
    <xf numFmtId="0" fontId="8" fillId="0" borderId="6" xfId="3" applyFont="1" applyBorder="1" applyAlignment="1">
      <alignment horizontal="center" vertical="center" wrapText="1"/>
    </xf>
    <xf numFmtId="0" fontId="8" fillId="0" borderId="7" xfId="3" applyFont="1" applyBorder="1" applyAlignment="1">
      <alignment vertical="center"/>
    </xf>
    <xf numFmtId="0" fontId="10" fillId="0" borderId="5" xfId="3" applyFont="1" applyBorder="1" applyAlignment="1">
      <alignment vertical="top"/>
    </xf>
    <xf numFmtId="0" fontId="10" fillId="0" borderId="6" xfId="3" applyFont="1" applyBorder="1" applyAlignment="1">
      <alignment vertical="top"/>
    </xf>
    <xf numFmtId="0" fontId="14" fillId="0" borderId="6" xfId="3" applyFont="1" applyBorder="1" applyAlignment="1">
      <alignment horizontal="center" vertical="center" wrapText="1"/>
    </xf>
    <xf numFmtId="0" fontId="11" fillId="0" borderId="8" xfId="3" applyFont="1" applyBorder="1" applyAlignment="1">
      <alignment vertical="top"/>
    </xf>
    <xf numFmtId="0" fontId="11" fillId="0" borderId="0" xfId="3" applyFont="1" applyAlignment="1">
      <alignment vertical="top"/>
    </xf>
    <xf numFmtId="0" fontId="14" fillId="0" borderId="0" xfId="3" applyFont="1" applyAlignment="1">
      <alignment horizontal="center" vertical="center" wrapText="1"/>
    </xf>
    <xf numFmtId="0" fontId="15" fillId="0" borderId="8" xfId="3" applyFont="1" applyBorder="1" applyAlignment="1">
      <alignment vertical="top"/>
    </xf>
    <xf numFmtId="0" fontId="15" fillId="0" borderId="0" xfId="3" applyFont="1" applyAlignment="1">
      <alignment vertical="top"/>
    </xf>
    <xf numFmtId="0" fontId="7" fillId="0" borderId="16" xfId="3" applyFont="1" applyBorder="1" applyAlignment="1">
      <alignment vertical="center"/>
    </xf>
    <xf numFmtId="0" fontId="7" fillId="5" borderId="17" xfId="3" applyFont="1" applyFill="1" applyBorder="1" applyAlignment="1">
      <alignment horizontal="left" vertical="center"/>
    </xf>
    <xf numFmtId="0" fontId="7" fillId="5" borderId="19" xfId="3" applyFont="1" applyFill="1" applyBorder="1" applyAlignment="1">
      <alignment horizontal="left" vertical="center"/>
    </xf>
    <xf numFmtId="0" fontId="7" fillId="0" borderId="21" xfId="3" applyFont="1" applyBorder="1" applyAlignment="1">
      <alignment horizontal="left" vertical="center"/>
    </xf>
    <xf numFmtId="0" fontId="7" fillId="0" borderId="23" xfId="3" applyFont="1" applyBorder="1" applyAlignment="1">
      <alignment vertical="center"/>
    </xf>
    <xf numFmtId="0" fontId="7" fillId="0" borderId="12" xfId="3" applyFont="1" applyBorder="1" applyAlignment="1">
      <alignment horizontal="left" vertical="center"/>
    </xf>
    <xf numFmtId="0" fontId="7" fillId="0" borderId="28" xfId="3" applyFont="1" applyBorder="1" applyAlignment="1">
      <alignment vertical="center"/>
    </xf>
    <xf numFmtId="0" fontId="7" fillId="0" borderId="29" xfId="3" applyFont="1" applyBorder="1" applyAlignment="1">
      <alignment vertical="center"/>
    </xf>
    <xf numFmtId="0" fontId="7" fillId="0" borderId="25" xfId="3" applyFont="1" applyBorder="1" applyAlignment="1">
      <alignment vertical="center"/>
    </xf>
    <xf numFmtId="0" fontId="7" fillId="0" borderId="30" xfId="3" applyFont="1" applyBorder="1" applyAlignment="1">
      <alignment horizontal="left" vertical="center" wrapText="1"/>
    </xf>
    <xf numFmtId="0" fontId="7" fillId="0" borderId="33" xfId="3" applyFont="1" applyBorder="1" applyAlignment="1">
      <alignment vertical="center"/>
    </xf>
    <xf numFmtId="0" fontId="7" fillId="0" borderId="11" xfId="3" applyFont="1" applyBorder="1" applyAlignment="1">
      <alignment vertical="center"/>
    </xf>
    <xf numFmtId="0" fontId="7" fillId="0" borderId="21" xfId="3" applyFont="1" applyBorder="1" applyAlignment="1">
      <alignment vertical="center"/>
    </xf>
    <xf numFmtId="0" fontId="7" fillId="0" borderId="31" xfId="3" applyFont="1" applyBorder="1" applyAlignment="1">
      <alignment vertical="center"/>
    </xf>
    <xf numFmtId="0" fontId="7" fillId="0" borderId="32" xfId="3" applyFont="1" applyBorder="1" applyAlignment="1">
      <alignment vertical="center"/>
    </xf>
    <xf numFmtId="0" fontId="7" fillId="0" borderId="36" xfId="3" applyFont="1" applyBorder="1" applyAlignment="1">
      <alignment horizontal="left" vertical="center" wrapText="1"/>
    </xf>
    <xf numFmtId="0" fontId="7" fillId="4" borderId="16" xfId="3" applyFont="1" applyFill="1" applyBorder="1" applyAlignment="1">
      <alignment horizontal="center" vertical="center"/>
    </xf>
    <xf numFmtId="0" fontId="7" fillId="4" borderId="37" xfId="3" applyFont="1" applyFill="1" applyBorder="1" applyAlignment="1">
      <alignment horizontal="left" vertical="center"/>
    </xf>
    <xf numFmtId="0" fontId="7" fillId="4" borderId="18" xfId="3" applyFont="1" applyFill="1" applyBorder="1" applyAlignment="1">
      <alignment horizontal="left" vertical="center"/>
    </xf>
    <xf numFmtId="0" fontId="7" fillId="4" borderId="38" xfId="3" applyFont="1" applyFill="1" applyBorder="1" applyAlignment="1">
      <alignment vertical="center"/>
    </xf>
    <xf numFmtId="0" fontId="7" fillId="4" borderId="39" xfId="3" applyFont="1" applyFill="1" applyBorder="1" applyAlignment="1">
      <alignment vertical="center"/>
    </xf>
    <xf numFmtId="0" fontId="7" fillId="4" borderId="37" xfId="3" applyFont="1" applyFill="1" applyBorder="1" applyAlignment="1">
      <alignment vertical="center"/>
    </xf>
    <xf numFmtId="0" fontId="7" fillId="4" borderId="19" xfId="3" applyFont="1" applyFill="1" applyBorder="1" applyAlignment="1">
      <alignment horizontal="left" vertical="center" wrapText="1"/>
    </xf>
    <xf numFmtId="0" fontId="7" fillId="0" borderId="23" xfId="3" applyFont="1" applyBorder="1" applyAlignment="1">
      <alignment horizontal="left" vertical="center"/>
    </xf>
    <xf numFmtId="0" fontId="7" fillId="0" borderId="40" xfId="3" applyFont="1" applyBorder="1" applyAlignment="1">
      <alignment vertical="center"/>
    </xf>
    <xf numFmtId="0" fontId="7" fillId="0" borderId="41" xfId="3" applyFont="1" applyBorder="1" applyAlignment="1">
      <alignment vertical="center"/>
    </xf>
    <xf numFmtId="0" fontId="7" fillId="0" borderId="42" xfId="3" applyFont="1" applyBorder="1" applyAlignment="1">
      <alignment horizontal="left" vertical="center"/>
    </xf>
    <xf numFmtId="0" fontId="7" fillId="0" borderId="48" xfId="3" applyFont="1" applyBorder="1" applyAlignment="1">
      <alignment horizontal="left" vertical="center"/>
    </xf>
    <xf numFmtId="0" fontId="7" fillId="4" borderId="38" xfId="3" applyFont="1" applyFill="1" applyBorder="1" applyAlignment="1">
      <alignment horizontal="left" vertical="center" wrapText="1"/>
    </xf>
    <xf numFmtId="0" fontId="7" fillId="4" borderId="37" xfId="3" applyFont="1" applyFill="1" applyBorder="1" applyAlignment="1">
      <alignment horizontal="left" vertical="center" wrapText="1"/>
    </xf>
    <xf numFmtId="0" fontId="7" fillId="0" borderId="52" xfId="3" applyFont="1" applyBorder="1" applyAlignment="1">
      <alignment vertical="center"/>
    </xf>
    <xf numFmtId="0" fontId="7" fillId="0" borderId="14" xfId="3" applyFont="1" applyBorder="1" applyAlignment="1">
      <alignment vertical="center"/>
    </xf>
    <xf numFmtId="0" fontId="7" fillId="0" borderId="53" xfId="3" applyFont="1" applyBorder="1" applyAlignment="1">
      <alignment vertical="center"/>
    </xf>
    <xf numFmtId="0" fontId="7" fillId="0" borderId="54" xfId="3" applyFont="1" applyBorder="1" applyAlignment="1">
      <alignment horizontal="left" vertical="center" wrapText="1"/>
    </xf>
    <xf numFmtId="0" fontId="7" fillId="0" borderId="13" xfId="3" applyFont="1" applyBorder="1" applyAlignment="1">
      <alignment vertical="center"/>
    </xf>
    <xf numFmtId="0" fontId="7" fillId="0" borderId="15" xfId="3" applyFont="1" applyBorder="1" applyAlignment="1">
      <alignment vertical="center"/>
    </xf>
    <xf numFmtId="0" fontId="7" fillId="0" borderId="0" xfId="4" applyFont="1" applyAlignment="1">
      <alignment vertical="center"/>
    </xf>
    <xf numFmtId="0" fontId="8" fillId="0" borderId="26" xfId="4" applyFont="1" applyBorder="1" applyAlignment="1">
      <alignment vertical="center"/>
    </xf>
    <xf numFmtId="0" fontId="9" fillId="0" borderId="6" xfId="4" applyFont="1" applyBorder="1" applyAlignment="1">
      <alignment vertical="center"/>
    </xf>
    <xf numFmtId="0" fontId="9" fillId="0" borderId="27" xfId="4" applyFont="1" applyBorder="1" applyAlignment="1">
      <alignment vertical="center"/>
    </xf>
    <xf numFmtId="0" fontId="8" fillId="0" borderId="31" xfId="4" applyFont="1" applyBorder="1" applyAlignment="1">
      <alignment vertical="center"/>
    </xf>
    <xf numFmtId="0" fontId="9" fillId="0" borderId="0" xfId="4" applyFont="1" applyAlignment="1">
      <alignment vertical="center"/>
    </xf>
    <xf numFmtId="0" fontId="9" fillId="0" borderId="32" xfId="4" applyFont="1" applyBorder="1" applyAlignment="1">
      <alignment vertical="center"/>
    </xf>
    <xf numFmtId="0" fontId="8" fillId="0" borderId="33" xfId="4" applyFont="1" applyBorder="1" applyAlignment="1">
      <alignment vertical="center"/>
    </xf>
    <xf numFmtId="0" fontId="9" fillId="0" borderId="11" xfId="4" applyFont="1" applyBorder="1" applyAlignment="1">
      <alignment vertical="center"/>
    </xf>
    <xf numFmtId="0" fontId="9" fillId="0" borderId="21" xfId="4" applyFont="1" applyBorder="1" applyAlignment="1">
      <alignment vertical="center"/>
    </xf>
    <xf numFmtId="0" fontId="10" fillId="0" borderId="26" xfId="4" applyFont="1" applyBorder="1" applyAlignment="1">
      <alignment vertical="top"/>
    </xf>
    <xf numFmtId="0" fontId="7" fillId="0" borderId="6" xfId="4" applyFont="1" applyBorder="1" applyAlignment="1">
      <alignment vertical="center"/>
    </xf>
    <xf numFmtId="0" fontId="7" fillId="0" borderId="27" xfId="4" applyFont="1" applyBorder="1" applyAlignment="1">
      <alignment vertical="center"/>
    </xf>
    <xf numFmtId="0" fontId="7" fillId="0" borderId="31" xfId="4" applyFont="1" applyBorder="1" applyAlignment="1">
      <alignment vertical="center"/>
    </xf>
    <xf numFmtId="0" fontId="7" fillId="0" borderId="32" xfId="4" applyFont="1" applyBorder="1" applyAlignment="1">
      <alignment vertical="center"/>
    </xf>
    <xf numFmtId="0" fontId="7" fillId="7" borderId="55" xfId="4" applyFont="1" applyFill="1" applyBorder="1" applyAlignment="1">
      <alignment horizontal="center" vertical="center"/>
    </xf>
    <xf numFmtId="0" fontId="7" fillId="7" borderId="56" xfId="4" applyFont="1" applyFill="1" applyBorder="1" applyAlignment="1">
      <alignment horizontal="center" vertical="center"/>
    </xf>
    <xf numFmtId="0" fontId="7" fillId="7" borderId="57" xfId="4" applyFont="1" applyFill="1" applyBorder="1" applyAlignment="1">
      <alignment horizontal="center" vertical="center"/>
    </xf>
    <xf numFmtId="0" fontId="17" fillId="0" borderId="1" xfId="4" applyFont="1" applyBorder="1" applyAlignment="1">
      <alignment horizontal="center" vertical="center" wrapText="1"/>
    </xf>
    <xf numFmtId="0" fontId="17" fillId="0" borderId="1" xfId="4" applyFont="1" applyBorder="1" applyAlignment="1">
      <alignment vertical="center" wrapText="1"/>
    </xf>
    <xf numFmtId="0" fontId="18" fillId="0" borderId="1" xfId="4" applyFont="1" applyBorder="1" applyAlignment="1">
      <alignment vertical="center"/>
    </xf>
    <xf numFmtId="0" fontId="17" fillId="0" borderId="1" xfId="4" applyFont="1" applyBorder="1" applyAlignment="1">
      <alignment vertical="top" wrapText="1"/>
    </xf>
    <xf numFmtId="0" fontId="18" fillId="0" borderId="58" xfId="4" applyFont="1" applyBorder="1" applyAlignment="1">
      <alignment vertical="center"/>
    </xf>
    <xf numFmtId="0" fontId="17" fillId="0" borderId="1" xfId="4" applyFont="1" applyBorder="1" applyAlignment="1">
      <alignment horizontal="left" vertical="center" wrapText="1"/>
    </xf>
    <xf numFmtId="0" fontId="7" fillId="0" borderId="33" xfId="4" applyFont="1" applyBorder="1" applyAlignment="1">
      <alignment vertical="center"/>
    </xf>
    <xf numFmtId="0" fontId="7" fillId="0" borderId="11" xfId="4" applyFont="1" applyBorder="1" applyAlignment="1">
      <alignment vertical="center"/>
    </xf>
    <xf numFmtId="0" fontId="7" fillId="0" borderId="21" xfId="4" applyFont="1" applyBorder="1" applyAlignment="1">
      <alignment vertical="center"/>
    </xf>
    <xf numFmtId="0" fontId="10" fillId="0" borderId="31" xfId="4" applyFont="1" applyBorder="1" applyAlignment="1">
      <alignment vertical="top"/>
    </xf>
    <xf numFmtId="0" fontId="7" fillId="7" borderId="59" xfId="4" applyFont="1" applyFill="1" applyBorder="1" applyAlignment="1">
      <alignment horizontal="center" vertical="center"/>
    </xf>
    <xf numFmtId="0" fontId="7" fillId="7" borderId="1" xfId="4" applyFont="1" applyFill="1" applyBorder="1" applyAlignment="1">
      <alignment horizontal="center" vertical="center"/>
    </xf>
    <xf numFmtId="0" fontId="7" fillId="0" borderId="1" xfId="4" applyFont="1" applyBorder="1" applyAlignment="1">
      <alignment vertical="center"/>
    </xf>
    <xf numFmtId="0" fontId="7" fillId="0" borderId="28" xfId="4" applyFont="1" applyBorder="1" applyAlignment="1">
      <alignment vertical="center"/>
    </xf>
    <xf numFmtId="0" fontId="7" fillId="0" borderId="0" xfId="5" applyFont="1" applyAlignment="1">
      <alignment vertical="center"/>
    </xf>
    <xf numFmtId="0" fontId="8" fillId="0" borderId="26" xfId="5" applyFont="1" applyBorder="1" applyAlignment="1">
      <alignment vertical="center"/>
    </xf>
    <xf numFmtId="0" fontId="9" fillId="0" borderId="6" xfId="5" applyFont="1" applyBorder="1" applyAlignment="1">
      <alignment vertical="center"/>
    </xf>
    <xf numFmtId="0" fontId="9" fillId="0" borderId="27" xfId="5" applyFont="1" applyBorder="1" applyAlignment="1">
      <alignment vertical="center"/>
    </xf>
    <xf numFmtId="0" fontId="8" fillId="0" borderId="31" xfId="5" applyFont="1" applyBorder="1" applyAlignment="1">
      <alignment vertical="center"/>
    </xf>
    <xf numFmtId="0" fontId="9" fillId="0" borderId="0" xfId="5" applyFont="1" applyAlignment="1">
      <alignment vertical="center"/>
    </xf>
    <xf numFmtId="0" fontId="9" fillId="0" borderId="32" xfId="5" applyFont="1" applyBorder="1" applyAlignment="1">
      <alignment vertical="center"/>
    </xf>
    <xf numFmtId="0" fontId="8" fillId="0" borderId="33" xfId="5" applyFont="1" applyBorder="1" applyAlignment="1">
      <alignment vertical="center"/>
    </xf>
    <xf numFmtId="0" fontId="9" fillId="0" borderId="11" xfId="5" applyFont="1" applyBorder="1" applyAlignment="1">
      <alignment vertical="center"/>
    </xf>
    <xf numFmtId="0" fontId="9" fillId="0" borderId="21" xfId="5" applyFont="1" applyBorder="1" applyAlignment="1">
      <alignment vertical="center"/>
    </xf>
    <xf numFmtId="0" fontId="10" fillId="0" borderId="26" xfId="5" applyFont="1" applyBorder="1" applyAlignment="1">
      <alignment vertical="top"/>
    </xf>
    <xf numFmtId="0" fontId="7" fillId="0" borderId="6" xfId="5" applyFont="1" applyBorder="1" applyAlignment="1">
      <alignment vertical="center"/>
    </xf>
    <xf numFmtId="0" fontId="7" fillId="0" borderId="27" xfId="5" applyFont="1" applyBorder="1" applyAlignment="1">
      <alignment vertical="center"/>
    </xf>
    <xf numFmtId="0" fontId="7" fillId="0" borderId="31" xfId="5" applyFont="1" applyBorder="1" applyAlignment="1">
      <alignment vertical="center"/>
    </xf>
    <xf numFmtId="0" fontId="7" fillId="0" borderId="32" xfId="5" applyFont="1" applyBorder="1" applyAlignment="1">
      <alignment vertical="center"/>
    </xf>
    <xf numFmtId="0" fontId="7" fillId="7" borderId="56" xfId="5" applyFont="1" applyFill="1" applyBorder="1" applyAlignment="1">
      <alignment horizontal="center" vertical="center"/>
    </xf>
    <xf numFmtId="0" fontId="7" fillId="7" borderId="55" xfId="5" applyFont="1" applyFill="1" applyBorder="1" applyAlignment="1">
      <alignment horizontal="center" vertical="center"/>
    </xf>
    <xf numFmtId="0" fontId="7" fillId="5" borderId="1" xfId="5" applyFont="1" applyFill="1" applyBorder="1" applyAlignment="1">
      <alignment horizontal="center" vertical="center"/>
    </xf>
    <xf numFmtId="0" fontId="21" fillId="0" borderId="0" xfId="5" applyFont="1" applyAlignment="1">
      <alignment horizontal="center" vertical="center"/>
    </xf>
    <xf numFmtId="0" fontId="18" fillId="0" borderId="1" xfId="6" applyFont="1" applyBorder="1" applyAlignment="1">
      <alignment vertical="center" wrapText="1"/>
    </xf>
    <xf numFmtId="0" fontId="18" fillId="0" borderId="1" xfId="6" applyFont="1" applyBorder="1" applyAlignment="1">
      <alignment horizontal="center" vertical="center" wrapText="1"/>
    </xf>
    <xf numFmtId="0" fontId="18" fillId="0" borderId="1" xfId="6" applyFont="1" applyBorder="1" applyAlignment="1">
      <alignment horizontal="left" vertical="center" wrapText="1"/>
    </xf>
    <xf numFmtId="0" fontId="7" fillId="0" borderId="1" xfId="5" applyFont="1" applyBorder="1" applyAlignment="1">
      <alignment horizontal="center" vertical="center"/>
    </xf>
    <xf numFmtId="0" fontId="18" fillId="0" borderId="1" xfId="6" applyFont="1" applyBorder="1">
      <alignment vertical="center"/>
    </xf>
    <xf numFmtId="0" fontId="23" fillId="0" borderId="1" xfId="5" applyFont="1" applyBorder="1" applyAlignment="1">
      <alignment horizontal="center" vertical="center" wrapText="1"/>
    </xf>
    <xf numFmtId="0" fontId="7" fillId="0" borderId="1" xfId="6" applyFont="1" applyBorder="1" applyAlignment="1">
      <alignment vertical="center" wrapText="1"/>
    </xf>
    <xf numFmtId="0" fontId="7" fillId="0" borderId="33" xfId="5" applyFont="1" applyBorder="1" applyAlignment="1">
      <alignment vertical="center"/>
    </xf>
    <xf numFmtId="0" fontId="7" fillId="0" borderId="11" xfId="5" applyFont="1" applyBorder="1" applyAlignment="1">
      <alignment vertical="center"/>
    </xf>
    <xf numFmtId="0" fontId="7" fillId="0" borderId="21" xfId="5" applyFont="1" applyBorder="1" applyAlignment="1">
      <alignment vertical="center"/>
    </xf>
    <xf numFmtId="0" fontId="10" fillId="0" borderId="31" xfId="5" applyFont="1" applyBorder="1" applyAlignment="1">
      <alignment vertical="top"/>
    </xf>
    <xf numFmtId="0" fontId="7" fillId="7" borderId="1" xfId="5" applyFont="1" applyFill="1" applyBorder="1" applyAlignment="1">
      <alignment horizontal="center" vertical="center"/>
    </xf>
    <xf numFmtId="0" fontId="7" fillId="0" borderId="1" xfId="5" applyFont="1" applyBorder="1" applyAlignment="1">
      <alignment vertical="center"/>
    </xf>
    <xf numFmtId="0" fontId="7" fillId="0" borderId="0" xfId="7" applyFont="1" applyAlignment="1">
      <alignment vertical="center"/>
    </xf>
    <xf numFmtId="0" fontId="7" fillId="0" borderId="2" xfId="7" applyFont="1" applyBorder="1" applyAlignment="1">
      <alignment vertical="center"/>
    </xf>
    <xf numFmtId="0" fontId="7" fillId="0" borderId="3" xfId="7" applyFont="1" applyBorder="1" applyAlignment="1">
      <alignment vertical="center"/>
    </xf>
    <xf numFmtId="0" fontId="7" fillId="0" borderId="4" xfId="7" applyFont="1" applyBorder="1" applyAlignment="1">
      <alignment vertical="center"/>
    </xf>
    <xf numFmtId="0" fontId="7" fillId="0" borderId="8" xfId="7" applyFont="1" applyBorder="1" applyAlignment="1">
      <alignment vertical="center"/>
    </xf>
    <xf numFmtId="0" fontId="7" fillId="0" borderId="9" xfId="7" applyFont="1" applyBorder="1" applyAlignment="1">
      <alignment vertical="center"/>
    </xf>
    <xf numFmtId="0" fontId="7" fillId="5" borderId="1" xfId="7" applyFont="1" applyFill="1" applyBorder="1" applyAlignment="1">
      <alignment horizontal="center" vertical="center"/>
    </xf>
    <xf numFmtId="0" fontId="7" fillId="0" borderId="1" xfId="7" applyFont="1" applyBorder="1" applyAlignment="1">
      <alignment vertical="center"/>
    </xf>
    <xf numFmtId="0" fontId="24" fillId="0" borderId="0" xfId="7" applyFont="1" applyAlignment="1">
      <alignment vertical="center"/>
    </xf>
    <xf numFmtId="0" fontId="7" fillId="8" borderId="1" xfId="7" applyFont="1" applyFill="1" applyBorder="1" applyAlignment="1">
      <alignment vertical="center"/>
    </xf>
    <xf numFmtId="0" fontId="7" fillId="0" borderId="13" xfId="7" applyFont="1" applyBorder="1" applyAlignment="1">
      <alignment vertical="center"/>
    </xf>
    <xf numFmtId="0" fontId="7" fillId="0" borderId="14" xfId="7" applyFont="1" applyBorder="1" applyAlignment="1">
      <alignment vertical="center"/>
    </xf>
    <xf numFmtId="0" fontId="7" fillId="0" borderId="15" xfId="7" applyFont="1" applyBorder="1" applyAlignment="1">
      <alignment vertical="center"/>
    </xf>
    <xf numFmtId="0" fontId="25" fillId="0" borderId="0" xfId="8" applyFont="1" applyAlignment="1">
      <alignment vertical="center"/>
    </xf>
    <xf numFmtId="0" fontId="26" fillId="0" borderId="62" xfId="8" applyFont="1" applyBorder="1" applyAlignment="1">
      <alignment vertical="center" wrapText="1"/>
    </xf>
    <xf numFmtId="0" fontId="28" fillId="0" borderId="0" xfId="8" applyFont="1"/>
    <xf numFmtId="0" fontId="4" fillId="0" borderId="0" xfId="8" applyAlignment="1">
      <alignment vertical="center"/>
    </xf>
    <xf numFmtId="0" fontId="25" fillId="9" borderId="63" xfId="8" applyFont="1" applyFill="1" applyBorder="1" applyAlignment="1">
      <alignment horizontal="center" vertical="center"/>
    </xf>
    <xf numFmtId="0" fontId="25" fillId="9" borderId="63" xfId="8" applyFont="1" applyFill="1" applyBorder="1" applyAlignment="1">
      <alignment horizontal="center" vertical="center" wrapText="1"/>
    </xf>
    <xf numFmtId="0" fontId="25" fillId="9" borderId="70" xfId="8" applyFont="1" applyFill="1" applyBorder="1" applyAlignment="1">
      <alignment horizontal="center" vertical="center"/>
    </xf>
    <xf numFmtId="0" fontId="31" fillId="0" borderId="71" xfId="8" applyFont="1" applyBorder="1" applyAlignment="1">
      <alignment vertical="center"/>
    </xf>
    <xf numFmtId="0" fontId="31" fillId="0" borderId="72" xfId="8" applyFont="1" applyBorder="1" applyAlignment="1">
      <alignment vertical="center"/>
    </xf>
    <xf numFmtId="0" fontId="31" fillId="0" borderId="73" xfId="8" applyFont="1" applyBorder="1" applyAlignment="1">
      <alignment vertical="center"/>
    </xf>
    <xf numFmtId="0" fontId="25" fillId="9" borderId="70" xfId="8" applyFont="1" applyFill="1" applyBorder="1" applyAlignment="1">
      <alignment horizontal="center" vertical="center" wrapText="1"/>
    </xf>
    <xf numFmtId="0" fontId="25" fillId="9" borderId="70" xfId="8" applyFont="1" applyFill="1" applyBorder="1" applyAlignment="1">
      <alignment horizontal="center" wrapText="1"/>
    </xf>
    <xf numFmtId="0" fontId="25" fillId="9" borderId="82" xfId="8" applyFont="1" applyFill="1" applyBorder="1" applyAlignment="1">
      <alignment horizontal="center" vertical="center"/>
    </xf>
    <xf numFmtId="0" fontId="34" fillId="0" borderId="0" xfId="8" applyFont="1" applyAlignment="1">
      <alignment vertical="center"/>
    </xf>
    <xf numFmtId="0" fontId="34" fillId="0" borderId="0" xfId="8" applyFont="1" applyAlignment="1">
      <alignment horizontal="left" vertical="center"/>
    </xf>
    <xf numFmtId="0" fontId="34" fillId="0" borderId="88" xfId="8" applyFont="1" applyBorder="1" applyAlignment="1">
      <alignment horizontal="left" vertical="center"/>
    </xf>
    <xf numFmtId="0" fontId="34" fillId="0" borderId="89" xfId="8" applyFont="1" applyBorder="1" applyAlignment="1">
      <alignment horizontal="left" vertical="center"/>
    </xf>
    <xf numFmtId="0" fontId="34" fillId="0" borderId="33" xfId="8" applyFont="1" applyBorder="1" applyAlignment="1">
      <alignment vertical="center"/>
    </xf>
    <xf numFmtId="0" fontId="25" fillId="0" borderId="89" xfId="8" applyFont="1" applyBorder="1" applyAlignment="1">
      <alignment vertical="center"/>
    </xf>
    <xf numFmtId="0" fontId="36" fillId="0" borderId="0" xfId="8" applyFont="1" applyAlignment="1">
      <alignment vertical="center"/>
    </xf>
    <xf numFmtId="0" fontId="25" fillId="0" borderId="1" xfId="8" applyFont="1" applyBorder="1" applyAlignment="1">
      <alignment vertical="center"/>
    </xf>
    <xf numFmtId="0" fontId="25" fillId="14" borderId="1" xfId="8" applyFont="1" applyFill="1" applyBorder="1" applyAlignment="1">
      <alignment horizontal="center" vertical="center"/>
    </xf>
    <xf numFmtId="0" fontId="25" fillId="0" borderId="0" xfId="8" applyFont="1" applyAlignment="1">
      <alignment horizontal="center" vertical="center"/>
    </xf>
    <xf numFmtId="0" fontId="37" fillId="0" borderId="0" xfId="8" applyFont="1" applyAlignment="1">
      <alignment vertical="center"/>
    </xf>
    <xf numFmtId="0" fontId="25" fillId="0" borderId="92" xfId="8" applyFont="1" applyBorder="1" applyAlignment="1">
      <alignment vertical="center"/>
    </xf>
    <xf numFmtId="0" fontId="25" fillId="0" borderId="31" xfId="8" applyFont="1" applyBorder="1" applyAlignment="1">
      <alignment vertical="center"/>
    </xf>
    <xf numFmtId="0" fontId="25" fillId="15" borderId="1" xfId="8" applyFont="1" applyFill="1" applyBorder="1" applyAlignment="1">
      <alignment vertical="center"/>
    </xf>
    <xf numFmtId="0" fontId="25" fillId="15" borderId="1" xfId="8" applyFont="1" applyFill="1" applyBorder="1" applyAlignment="1">
      <alignment horizontal="center" vertical="center"/>
    </xf>
    <xf numFmtId="0" fontId="25" fillId="3" borderId="1" xfId="8" applyFont="1" applyFill="1" applyBorder="1" applyAlignment="1">
      <alignment vertical="center"/>
    </xf>
    <xf numFmtId="0" fontId="25" fillId="0" borderId="1" xfId="8" applyFont="1" applyBorder="1" applyAlignment="1">
      <alignment horizontal="center" vertical="center"/>
    </xf>
    <xf numFmtId="0" fontId="25" fillId="3" borderId="1" xfId="8" applyFont="1" applyFill="1" applyBorder="1" applyAlignment="1">
      <alignment horizontal="center" vertical="center"/>
    </xf>
    <xf numFmtId="0" fontId="38" fillId="0" borderId="0" xfId="8" applyFont="1" applyAlignment="1">
      <alignment vertical="center"/>
    </xf>
    <xf numFmtId="0" fontId="25" fillId="0" borderId="28" xfId="8" applyFont="1" applyBorder="1" applyAlignment="1">
      <alignment horizontal="center" vertical="center"/>
    </xf>
    <xf numFmtId="0" fontId="25" fillId="0" borderId="25" xfId="8" applyFont="1" applyBorder="1" applyAlignment="1">
      <alignment horizontal="center" vertical="center"/>
    </xf>
    <xf numFmtId="0" fontId="25" fillId="0" borderId="29" xfId="8" applyFont="1" applyBorder="1" applyAlignment="1">
      <alignment horizontal="center" vertical="center"/>
    </xf>
    <xf numFmtId="0" fontId="25" fillId="9" borderId="69" xfId="8" applyFont="1" applyFill="1" applyBorder="1" applyAlignment="1">
      <alignment vertical="center"/>
    </xf>
    <xf numFmtId="0" fontId="25" fillId="0" borderId="96" xfId="8" applyFont="1" applyBorder="1" applyAlignment="1">
      <alignment vertical="center"/>
    </xf>
    <xf numFmtId="0" fontId="25" fillId="0" borderId="97" xfId="8" applyFont="1" applyBorder="1" applyAlignment="1">
      <alignment vertical="center"/>
    </xf>
    <xf numFmtId="0" fontId="25" fillId="0" borderId="98" xfId="8" applyFont="1" applyBorder="1" applyAlignment="1">
      <alignment vertical="center"/>
    </xf>
    <xf numFmtId="0" fontId="25" fillId="0" borderId="99" xfId="8" applyFont="1" applyBorder="1" applyAlignment="1">
      <alignment vertical="center"/>
    </xf>
    <xf numFmtId="0" fontId="25" fillId="0" borderId="100" xfId="8" applyFont="1" applyBorder="1" applyAlignment="1">
      <alignment vertical="center"/>
    </xf>
    <xf numFmtId="0" fontId="25" fillId="0" borderId="101" xfId="8" applyFont="1" applyBorder="1" applyAlignment="1">
      <alignment vertical="center"/>
    </xf>
    <xf numFmtId="0" fontId="25" fillId="0" borderId="102" xfId="8" applyFont="1" applyBorder="1" applyAlignment="1">
      <alignment vertical="center"/>
    </xf>
    <xf numFmtId="0" fontId="25" fillId="0" borderId="103" xfId="8" applyFont="1" applyBorder="1" applyAlignment="1">
      <alignment vertical="center"/>
    </xf>
    <xf numFmtId="0" fontId="39" fillId="0" borderId="102" xfId="8" applyFont="1" applyBorder="1" applyAlignment="1">
      <alignment vertical="center"/>
    </xf>
    <xf numFmtId="0" fontId="25" fillId="0" borderId="104" xfId="8" applyFont="1" applyBorder="1" applyAlignment="1">
      <alignment vertical="center"/>
    </xf>
    <xf numFmtId="0" fontId="25" fillId="0" borderId="102" xfId="8" applyFont="1" applyBorder="1" applyAlignment="1">
      <alignment horizontal="left" vertical="center"/>
    </xf>
    <xf numFmtId="0" fontId="25" fillId="0" borderId="103" xfId="8" applyFont="1" applyBorder="1" applyAlignment="1">
      <alignment horizontal="left" vertical="center"/>
    </xf>
    <xf numFmtId="0" fontId="25" fillId="0" borderId="96" xfId="8" applyFont="1" applyBorder="1" applyAlignment="1">
      <alignment horizontal="left" vertical="center"/>
    </xf>
    <xf numFmtId="0" fontId="40" fillId="0" borderId="102" xfId="8" applyFont="1" applyBorder="1" applyAlignment="1">
      <alignment vertical="center"/>
    </xf>
    <xf numFmtId="0" fontId="25" fillId="0" borderId="104" xfId="8" applyFont="1" applyBorder="1" applyAlignment="1">
      <alignment horizontal="left" vertical="center"/>
    </xf>
    <xf numFmtId="0" fontId="25" fillId="0" borderId="106" xfId="8" applyFont="1" applyBorder="1" applyAlignment="1">
      <alignment vertical="center"/>
    </xf>
    <xf numFmtId="0" fontId="25" fillId="0" borderId="107" xfId="8" applyFont="1" applyBorder="1" applyAlignment="1">
      <alignment vertical="center"/>
    </xf>
    <xf numFmtId="0" fontId="25" fillId="0" borderId="108" xfId="8" applyFont="1" applyBorder="1" applyAlignment="1">
      <alignment vertical="center"/>
    </xf>
    <xf numFmtId="0" fontId="25" fillId="0" borderId="109" xfId="8" applyFont="1" applyBorder="1" applyAlignment="1">
      <alignment vertical="center"/>
    </xf>
    <xf numFmtId="0" fontId="25" fillId="9" borderId="110" xfId="8" applyFont="1" applyFill="1" applyBorder="1" applyAlignment="1">
      <alignment horizontal="center" vertical="center"/>
    </xf>
    <xf numFmtId="0" fontId="25" fillId="0" borderId="80" xfId="8" applyFont="1" applyBorder="1" applyAlignment="1">
      <alignment vertical="center" wrapText="1"/>
    </xf>
    <xf numFmtId="0" fontId="25" fillId="0" borderId="81" xfId="8" applyFont="1" applyBorder="1" applyAlignment="1">
      <alignment vertical="center" wrapText="1"/>
    </xf>
    <xf numFmtId="0" fontId="25" fillId="9" borderId="87" xfId="8" applyFont="1" applyFill="1" applyBorder="1" applyAlignment="1">
      <alignment horizontal="center" vertical="center" wrapText="1"/>
    </xf>
    <xf numFmtId="0" fontId="25" fillId="9" borderId="114" xfId="8" applyFont="1" applyFill="1" applyBorder="1" applyAlignment="1">
      <alignment horizontal="center" vertical="center"/>
    </xf>
    <xf numFmtId="0" fontId="25" fillId="0" borderId="62" xfId="8" applyFont="1" applyBorder="1" applyAlignment="1">
      <alignment vertical="center"/>
    </xf>
    <xf numFmtId="0" fontId="25" fillId="0" borderId="115" xfId="8" applyFont="1" applyBorder="1" applyAlignment="1">
      <alignment vertical="center"/>
    </xf>
    <xf numFmtId="0" fontId="25" fillId="0" borderId="0" xfId="8" applyFont="1"/>
    <xf numFmtId="0" fontId="25" fillId="0" borderId="0" xfId="8" applyFont="1" applyAlignment="1">
      <alignment horizontal="right"/>
    </xf>
    <xf numFmtId="0" fontId="25" fillId="0" borderId="0" xfId="8" applyFont="1" applyAlignment="1">
      <alignment vertical="center" wrapText="1"/>
    </xf>
    <xf numFmtId="0" fontId="7" fillId="16" borderId="30" xfId="3" applyFont="1" applyFill="1" applyBorder="1" applyAlignment="1">
      <alignment horizontal="left" vertical="center" wrapText="1"/>
    </xf>
    <xf numFmtId="0" fontId="42" fillId="0" borderId="1" xfId="9" applyBorder="1" applyAlignment="1">
      <alignment horizontal="left" vertical="top"/>
    </xf>
    <xf numFmtId="0" fontId="6" fillId="4" borderId="2" xfId="3" applyFont="1" applyFill="1" applyBorder="1" applyAlignment="1">
      <alignment horizontal="center" vertical="center"/>
    </xf>
    <xf numFmtId="0" fontId="6" fillId="4" borderId="3" xfId="3" applyFont="1" applyFill="1" applyBorder="1" applyAlignment="1">
      <alignment horizontal="center" vertical="center"/>
    </xf>
    <xf numFmtId="0" fontId="6" fillId="4" borderId="4" xfId="3" applyFont="1" applyFill="1" applyBorder="1" applyAlignment="1">
      <alignment horizontal="center" vertical="center"/>
    </xf>
    <xf numFmtId="0" fontId="7" fillId="5" borderId="18" xfId="3" applyFont="1" applyFill="1" applyBorder="1" applyAlignment="1">
      <alignment horizontal="left" vertical="center"/>
    </xf>
    <xf numFmtId="0" fontId="7" fillId="6" borderId="20" xfId="3" applyFont="1" applyFill="1" applyBorder="1" applyAlignment="1">
      <alignment horizontal="center" vertical="center"/>
    </xf>
    <xf numFmtId="0" fontId="7" fillId="6" borderId="24" xfId="3" applyFont="1" applyFill="1" applyBorder="1" applyAlignment="1">
      <alignment horizontal="center" vertical="center"/>
    </xf>
    <xf numFmtId="0" fontId="7" fillId="6" borderId="34" xfId="3" applyFont="1" applyFill="1" applyBorder="1" applyAlignment="1">
      <alignment horizontal="center" vertical="center"/>
    </xf>
    <xf numFmtId="0" fontId="7" fillId="0" borderId="22" xfId="3" applyFont="1" applyBorder="1" applyAlignment="1">
      <alignment horizontal="left" vertical="center"/>
    </xf>
    <xf numFmtId="0" fontId="7" fillId="0" borderId="25" xfId="3" applyFont="1" applyBorder="1" applyAlignment="1">
      <alignment horizontal="left" vertical="center" wrapText="1"/>
    </xf>
    <xf numFmtId="0" fontId="7" fillId="0" borderId="26" xfId="3" applyFont="1" applyBorder="1" applyAlignment="1">
      <alignment horizontal="left" vertical="center"/>
    </xf>
    <xf numFmtId="0" fontId="7" fillId="0" borderId="27" xfId="3" applyFont="1" applyBorder="1" applyAlignment="1">
      <alignment horizontal="left" vertical="center"/>
    </xf>
    <xf numFmtId="0" fontId="7" fillId="0" borderId="31" xfId="3" applyFont="1" applyBorder="1" applyAlignment="1">
      <alignment horizontal="left" vertical="center"/>
    </xf>
    <xf numFmtId="0" fontId="7" fillId="0" borderId="32" xfId="3" applyFont="1" applyBorder="1" applyAlignment="1">
      <alignment horizontal="left" vertical="center"/>
    </xf>
    <xf numFmtId="0" fontId="7" fillId="0" borderId="33" xfId="3" applyFont="1" applyBorder="1" applyAlignment="1">
      <alignment horizontal="left" vertical="center"/>
    </xf>
    <xf numFmtId="0" fontId="7" fillId="0" borderId="21" xfId="3" applyFont="1" applyBorder="1" applyAlignment="1">
      <alignment horizontal="left" vertical="center"/>
    </xf>
    <xf numFmtId="0" fontId="7" fillId="0" borderId="1" xfId="3" applyFont="1" applyBorder="1" applyAlignment="1">
      <alignment horizontal="left" vertical="center"/>
    </xf>
    <xf numFmtId="0" fontId="7" fillId="0" borderId="25" xfId="3" applyFont="1" applyBorder="1" applyAlignment="1">
      <alignment horizontal="left" vertical="center"/>
    </xf>
    <xf numFmtId="0" fontId="7" fillId="0" borderId="35" xfId="3" applyFont="1" applyBorder="1" applyAlignment="1">
      <alignment horizontal="left" vertical="center"/>
    </xf>
    <xf numFmtId="0" fontId="7" fillId="0" borderId="1" xfId="3" applyFont="1" applyBorder="1" applyAlignment="1">
      <alignment horizontal="left" vertical="center" wrapText="1"/>
    </xf>
    <xf numFmtId="0" fontId="7" fillId="0" borderId="43" xfId="3" applyFont="1" applyBorder="1" applyAlignment="1">
      <alignment horizontal="left" vertical="center" wrapText="1"/>
    </xf>
    <xf numFmtId="0" fontId="7" fillId="0" borderId="44" xfId="3" applyFont="1" applyBorder="1" applyAlignment="1">
      <alignment horizontal="left" vertical="center" wrapText="1"/>
    </xf>
    <xf numFmtId="0" fontId="7" fillId="0" borderId="45" xfId="3" applyFont="1" applyBorder="1" applyAlignment="1">
      <alignment horizontal="left" vertical="center" wrapText="1"/>
    </xf>
    <xf numFmtId="0" fontId="7" fillId="6" borderId="20" xfId="3" applyFont="1" applyFill="1" applyBorder="1" applyAlignment="1">
      <alignment horizontal="center" vertical="center" wrapText="1"/>
    </xf>
    <xf numFmtId="0" fontId="7" fillId="6" borderId="24" xfId="3" applyFont="1" applyFill="1" applyBorder="1" applyAlignment="1">
      <alignment horizontal="center" vertical="center" wrapText="1"/>
    </xf>
    <xf numFmtId="0" fontId="7" fillId="6" borderId="46" xfId="3" applyFont="1" applyFill="1" applyBorder="1" applyAlignment="1">
      <alignment horizontal="center" vertical="center" wrapText="1"/>
    </xf>
    <xf numFmtId="0" fontId="7" fillId="0" borderId="47" xfId="3" applyFont="1" applyBorder="1" applyAlignment="1">
      <alignment horizontal="left" vertical="center"/>
    </xf>
    <xf numFmtId="0" fontId="7" fillId="6" borderId="49" xfId="3" applyFont="1" applyFill="1" applyBorder="1" applyAlignment="1">
      <alignment horizontal="center" vertical="center"/>
    </xf>
    <xf numFmtId="0" fontId="7" fillId="0" borderId="40" xfId="3" applyFont="1" applyBorder="1" applyAlignment="1">
      <alignment horizontal="left" vertical="center"/>
    </xf>
    <xf numFmtId="0" fontId="7" fillId="0" borderId="23" xfId="3" applyFont="1" applyBorder="1" applyAlignment="1">
      <alignment horizontal="left" vertical="center"/>
    </xf>
    <xf numFmtId="0" fontId="7" fillId="0" borderId="50" xfId="3" applyFont="1" applyBorder="1" applyAlignment="1">
      <alignment horizontal="left" vertical="center" wrapText="1"/>
    </xf>
    <xf numFmtId="0" fontId="7" fillId="0" borderId="51" xfId="3" applyFont="1" applyBorder="1" applyAlignment="1">
      <alignment horizontal="left" vertical="center" wrapText="1"/>
    </xf>
    <xf numFmtId="0" fontId="16" fillId="4" borderId="0" xfId="4" applyFont="1" applyFill="1" applyAlignment="1">
      <alignment horizontal="center" vertical="center"/>
    </xf>
    <xf numFmtId="0" fontId="16" fillId="4" borderId="0" xfId="5" applyFont="1" applyFill="1" applyAlignment="1">
      <alignment horizontal="center" vertical="center"/>
    </xf>
    <xf numFmtId="0" fontId="16" fillId="4" borderId="2" xfId="7" applyFont="1" applyFill="1" applyBorder="1" applyAlignment="1">
      <alignment horizontal="center" vertical="center"/>
    </xf>
    <xf numFmtId="0" fontId="16" fillId="4" borderId="3" xfId="7" applyFont="1" applyFill="1" applyBorder="1" applyAlignment="1">
      <alignment horizontal="center" vertical="center"/>
    </xf>
    <xf numFmtId="0" fontId="16" fillId="4" borderId="4" xfId="7" applyFont="1" applyFill="1" applyBorder="1" applyAlignment="1">
      <alignment horizontal="center" vertical="center"/>
    </xf>
    <xf numFmtId="0" fontId="10" fillId="0" borderId="60" xfId="7" applyFont="1" applyBorder="1" applyAlignment="1">
      <alignment horizontal="center" vertical="center"/>
    </xf>
    <xf numFmtId="0" fontId="10" fillId="0" borderId="39" xfId="7" applyFont="1" applyBorder="1" applyAlignment="1">
      <alignment horizontal="center" vertical="center"/>
    </xf>
    <xf numFmtId="0" fontId="10" fillId="0" borderId="61" xfId="7" applyFont="1" applyBorder="1" applyAlignment="1">
      <alignment horizontal="center" vertical="center"/>
    </xf>
    <xf numFmtId="0" fontId="7" fillId="5" borderId="1" xfId="7" applyFont="1" applyFill="1" applyBorder="1" applyAlignment="1">
      <alignment horizontal="center" vertical="center"/>
    </xf>
    <xf numFmtId="0" fontId="7" fillId="0" borderId="1" xfId="7" applyFont="1" applyBorder="1" applyAlignment="1">
      <alignment horizontal="left" vertical="center"/>
    </xf>
    <xf numFmtId="0" fontId="7" fillId="8" borderId="1" xfId="7" applyFont="1" applyFill="1" applyBorder="1" applyAlignment="1">
      <alignment horizontal="left" vertical="center"/>
    </xf>
    <xf numFmtId="0" fontId="16" fillId="4" borderId="60" xfId="7" applyFont="1" applyFill="1" applyBorder="1" applyAlignment="1">
      <alignment horizontal="center" vertical="center"/>
    </xf>
    <xf numFmtId="0" fontId="16" fillId="4" borderId="39" xfId="7" applyFont="1" applyFill="1" applyBorder="1" applyAlignment="1">
      <alignment horizontal="center" vertical="center"/>
    </xf>
    <xf numFmtId="0" fontId="16" fillId="4" borderId="61" xfId="7" applyFont="1" applyFill="1" applyBorder="1" applyAlignment="1">
      <alignment horizontal="center" vertical="center"/>
    </xf>
    <xf numFmtId="0" fontId="33" fillId="0" borderId="71" xfId="8" applyFont="1" applyBorder="1" applyAlignment="1">
      <alignment horizontal="center" vertical="center"/>
    </xf>
    <xf numFmtId="0" fontId="33" fillId="0" borderId="72" xfId="8" applyFont="1" applyBorder="1" applyAlignment="1">
      <alignment horizontal="center" vertical="center"/>
    </xf>
    <xf numFmtId="0" fontId="33" fillId="0" borderId="73" xfId="8" applyFont="1" applyBorder="1" applyAlignment="1">
      <alignment horizontal="center" vertical="center"/>
    </xf>
    <xf numFmtId="0" fontId="32" fillId="11" borderId="72" xfId="8" applyFont="1" applyFill="1" applyBorder="1" applyAlignment="1">
      <alignment horizontal="center" vertical="center"/>
    </xf>
    <xf numFmtId="0" fontId="33" fillId="12" borderId="72" xfId="8" applyFont="1" applyFill="1" applyBorder="1" applyAlignment="1">
      <alignment vertical="center"/>
    </xf>
    <xf numFmtId="0" fontId="33" fillId="12" borderId="73" xfId="8" applyFont="1" applyFill="1" applyBorder="1" applyAlignment="1">
      <alignment vertical="center"/>
    </xf>
    <xf numFmtId="0" fontId="32" fillId="12" borderId="71" xfId="8" applyFont="1" applyFill="1" applyBorder="1" applyAlignment="1">
      <alignment horizontal="center" vertical="center"/>
    </xf>
    <xf numFmtId="0" fontId="32" fillId="12" borderId="72" xfId="8" applyFont="1" applyFill="1" applyBorder="1" applyAlignment="1">
      <alignment horizontal="center" vertical="center"/>
    </xf>
    <xf numFmtId="0" fontId="32" fillId="12" borderId="73" xfId="8" applyFont="1" applyFill="1" applyBorder="1" applyAlignment="1">
      <alignment horizontal="center" vertical="center"/>
    </xf>
    <xf numFmtId="0" fontId="26" fillId="0" borderId="62" xfId="8" applyFont="1" applyBorder="1" applyAlignment="1">
      <alignment horizontal="center" vertical="center" wrapText="1"/>
    </xf>
    <xf numFmtId="0" fontId="27" fillId="0" borderId="62" xfId="8" applyFont="1" applyBorder="1" applyAlignment="1">
      <alignment vertical="center"/>
    </xf>
    <xf numFmtId="30" fontId="25" fillId="0" borderId="64" xfId="8" applyNumberFormat="1" applyFont="1" applyBorder="1" applyAlignment="1">
      <alignment horizontal="center" vertical="center" wrapText="1"/>
    </xf>
    <xf numFmtId="0" fontId="27" fillId="0" borderId="65" xfId="8" applyFont="1" applyBorder="1" applyAlignment="1">
      <alignment vertical="center"/>
    </xf>
    <xf numFmtId="0" fontId="27" fillId="0" borderId="66" xfId="8" applyFont="1" applyBorder="1" applyAlignment="1">
      <alignment vertical="center"/>
    </xf>
    <xf numFmtId="0" fontId="29" fillId="9" borderId="64" xfId="8" applyFont="1" applyFill="1" applyBorder="1" applyAlignment="1">
      <alignment horizontal="center" vertical="center"/>
    </xf>
    <xf numFmtId="0" fontId="30" fillId="0" borderId="64" xfId="8" applyFont="1" applyBorder="1" applyAlignment="1">
      <alignment horizontal="center" vertical="center"/>
    </xf>
    <xf numFmtId="0" fontId="27" fillId="0" borderId="67" xfId="8" applyFont="1" applyBorder="1" applyAlignment="1">
      <alignment vertical="center"/>
    </xf>
    <xf numFmtId="0" fontId="29" fillId="0" borderId="68" xfId="8" applyFont="1" applyBorder="1" applyAlignment="1">
      <alignment horizontal="left" vertical="center" wrapText="1"/>
    </xf>
    <xf numFmtId="0" fontId="27" fillId="0" borderId="68" xfId="8" applyFont="1" applyBorder="1" applyAlignment="1">
      <alignment vertical="center"/>
    </xf>
    <xf numFmtId="0" fontId="27" fillId="0" borderId="69" xfId="8" applyFont="1" applyBorder="1" applyAlignment="1">
      <alignment vertical="center"/>
    </xf>
    <xf numFmtId="0" fontId="32" fillId="10" borderId="72" xfId="8" applyFont="1" applyFill="1" applyBorder="1" applyAlignment="1">
      <alignment horizontal="center" vertical="center"/>
    </xf>
    <xf numFmtId="0" fontId="33" fillId="0" borderId="72" xfId="8" applyFont="1" applyBorder="1" applyAlignment="1">
      <alignment vertical="center"/>
    </xf>
    <xf numFmtId="0" fontId="33" fillId="0" borderId="73" xfId="8" applyFont="1" applyBorder="1" applyAlignment="1">
      <alignment vertical="center"/>
    </xf>
    <xf numFmtId="0" fontId="25" fillId="9" borderId="74" xfId="8" applyFont="1" applyFill="1" applyBorder="1" applyAlignment="1">
      <alignment horizontal="center" vertical="center" wrapText="1"/>
    </xf>
    <xf numFmtId="0" fontId="27" fillId="0" borderId="78" xfId="8" applyFont="1" applyBorder="1" applyAlignment="1">
      <alignment vertical="center"/>
    </xf>
    <xf numFmtId="0" fontId="25" fillId="0" borderId="75" xfId="8" applyFont="1" applyBorder="1" applyAlignment="1">
      <alignment horizontal="left" vertical="center" wrapText="1"/>
    </xf>
    <xf numFmtId="0" fontId="27" fillId="0" borderId="76" xfId="8" applyFont="1" applyBorder="1" applyAlignment="1">
      <alignment vertical="center"/>
    </xf>
    <xf numFmtId="0" fontId="27" fillId="0" borderId="77" xfId="8" applyFont="1" applyBorder="1" applyAlignment="1">
      <alignment vertical="center"/>
    </xf>
    <xf numFmtId="0" fontId="27" fillId="0" borderId="79" xfId="8" applyFont="1" applyBorder="1" applyAlignment="1">
      <alignment vertical="center"/>
    </xf>
    <xf numFmtId="0" fontId="27" fillId="0" borderId="80" xfId="8" applyFont="1" applyBorder="1" applyAlignment="1">
      <alignment vertical="center"/>
    </xf>
    <xf numFmtId="0" fontId="27" fillId="0" borderId="81" xfId="8" applyFont="1" applyBorder="1" applyAlignment="1">
      <alignment vertical="center"/>
    </xf>
    <xf numFmtId="0" fontId="30" fillId="0" borderId="83" xfId="8" applyFont="1" applyBorder="1" applyAlignment="1">
      <alignment horizontal="center" vertical="center"/>
    </xf>
    <xf numFmtId="0" fontId="27" fillId="0" borderId="84" xfId="8" applyFont="1" applyBorder="1" applyAlignment="1">
      <alignment vertical="center"/>
    </xf>
    <xf numFmtId="0" fontId="27" fillId="0" borderId="85" xfId="8" applyFont="1" applyBorder="1" applyAlignment="1">
      <alignment vertical="center"/>
    </xf>
    <xf numFmtId="0" fontId="25" fillId="9" borderId="83" xfId="8" applyFont="1" applyFill="1" applyBorder="1" applyAlignment="1">
      <alignment horizontal="center" vertical="center"/>
    </xf>
    <xf numFmtId="0" fontId="25" fillId="0" borderId="83" xfId="8" applyFont="1" applyBorder="1" applyAlignment="1">
      <alignment horizontal="center" vertical="center"/>
    </xf>
    <xf numFmtId="0" fontId="27" fillId="0" borderId="86" xfId="8" applyFont="1" applyBorder="1" applyAlignment="1">
      <alignment vertical="center"/>
    </xf>
    <xf numFmtId="0" fontId="27" fillId="0" borderId="87" xfId="8" applyFont="1" applyBorder="1" applyAlignment="1">
      <alignment vertical="center"/>
    </xf>
    <xf numFmtId="0" fontId="27" fillId="0" borderId="90" xfId="8" applyFont="1" applyBorder="1" applyAlignment="1">
      <alignment vertical="center"/>
    </xf>
    <xf numFmtId="0" fontId="25" fillId="13" borderId="1" xfId="8" applyFont="1" applyFill="1" applyBorder="1" applyAlignment="1">
      <alignment horizontal="center" vertical="center"/>
    </xf>
    <xf numFmtId="0" fontId="25" fillId="0" borderId="1" xfId="8" applyFont="1" applyBorder="1" applyAlignment="1">
      <alignment horizontal="center" vertical="center"/>
    </xf>
    <xf numFmtId="0" fontId="34" fillId="0" borderId="28" xfId="8" applyFont="1" applyBorder="1" applyAlignment="1">
      <alignment horizontal="center" vertical="center"/>
    </xf>
    <xf numFmtId="0" fontId="34" fillId="0" borderId="29" xfId="8" applyFont="1" applyBorder="1" applyAlignment="1">
      <alignment horizontal="center" vertical="center"/>
    </xf>
    <xf numFmtId="0" fontId="34" fillId="0" borderId="25" xfId="8" applyFont="1" applyBorder="1" applyAlignment="1">
      <alignment horizontal="center" vertical="center"/>
    </xf>
    <xf numFmtId="0" fontId="34" fillId="0" borderId="1" xfId="8" applyFont="1" applyBorder="1" applyAlignment="1">
      <alignment horizontal="center" vertical="center"/>
    </xf>
    <xf numFmtId="0" fontId="35" fillId="4" borderId="91" xfId="8" applyFont="1" applyFill="1" applyBorder="1" applyAlignment="1">
      <alignment horizontal="center" vertical="center"/>
    </xf>
    <xf numFmtId="0" fontId="35" fillId="4" borderId="0" xfId="8" applyFont="1" applyFill="1" applyAlignment="1">
      <alignment horizontal="center" vertical="center"/>
    </xf>
    <xf numFmtId="0" fontId="35" fillId="4" borderId="89" xfId="8" applyFont="1" applyFill="1" applyBorder="1" applyAlignment="1">
      <alignment horizontal="center" vertical="center"/>
    </xf>
    <xf numFmtId="0" fontId="25" fillId="3" borderId="0" xfId="8" applyFont="1" applyFill="1" applyAlignment="1">
      <alignment horizontal="center" vertical="center"/>
    </xf>
    <xf numFmtId="0" fontId="4" fillId="0" borderId="26" xfId="8" applyBorder="1" applyAlignment="1">
      <alignment horizontal="center" vertical="center"/>
    </xf>
    <xf numFmtId="0" fontId="4" fillId="0" borderId="27" xfId="8" applyBorder="1" applyAlignment="1">
      <alignment horizontal="center" vertical="center"/>
    </xf>
    <xf numFmtId="0" fontId="4" fillId="0" borderId="33" xfId="8" applyBorder="1" applyAlignment="1">
      <alignment horizontal="center" vertical="center"/>
    </xf>
    <xf numFmtId="0" fontId="4" fillId="0" borderId="21" xfId="8" applyBorder="1" applyAlignment="1">
      <alignment horizontal="center" vertical="center"/>
    </xf>
    <xf numFmtId="0" fontId="25" fillId="14" borderId="28" xfId="8" applyFont="1" applyFill="1" applyBorder="1" applyAlignment="1">
      <alignment horizontal="center" vertical="center"/>
    </xf>
    <xf numFmtId="0" fontId="25" fillId="14" borderId="29" xfId="8" applyFont="1" applyFill="1" applyBorder="1" applyAlignment="1">
      <alignment horizontal="center" vertical="center"/>
    </xf>
    <xf numFmtId="0" fontId="25" fillId="14" borderId="25" xfId="8" applyFont="1" applyFill="1" applyBorder="1" applyAlignment="1">
      <alignment horizontal="center" vertical="center"/>
    </xf>
    <xf numFmtId="0" fontId="4" fillId="14" borderId="35" xfId="8" applyFill="1" applyBorder="1" applyAlignment="1">
      <alignment horizontal="center" vertical="center" wrapText="1"/>
    </xf>
    <xf numFmtId="0" fontId="4" fillId="14" borderId="92" xfId="8" applyFill="1" applyBorder="1" applyAlignment="1">
      <alignment horizontal="center" vertical="center" wrapText="1"/>
    </xf>
    <xf numFmtId="0" fontId="4" fillId="14" borderId="47" xfId="8" applyFill="1" applyBorder="1" applyAlignment="1">
      <alignment horizontal="center" vertical="center" wrapText="1"/>
    </xf>
    <xf numFmtId="0" fontId="25" fillId="14" borderId="1" xfId="8" applyFont="1" applyFill="1" applyBorder="1" applyAlignment="1">
      <alignment horizontal="center" vertical="center"/>
    </xf>
    <xf numFmtId="0" fontId="4" fillId="0" borderId="1" xfId="8" applyBorder="1" applyAlignment="1">
      <alignment horizontal="center" vertical="center"/>
    </xf>
    <xf numFmtId="0" fontId="4" fillId="14" borderId="1" xfId="8" applyFill="1" applyBorder="1" applyAlignment="1">
      <alignment horizontal="center" vertical="center" wrapText="1"/>
    </xf>
    <xf numFmtId="0" fontId="25" fillId="13" borderId="28" xfId="8" applyFont="1" applyFill="1" applyBorder="1" applyAlignment="1">
      <alignment horizontal="center" vertical="center"/>
    </xf>
    <xf numFmtId="0" fontId="25" fillId="13" borderId="25" xfId="8" applyFont="1" applyFill="1" applyBorder="1" applyAlignment="1">
      <alignment horizontal="center" vertical="center"/>
    </xf>
    <xf numFmtId="0" fontId="25" fillId="13" borderId="29" xfId="8" applyFont="1" applyFill="1" applyBorder="1" applyAlignment="1">
      <alignment horizontal="center" vertical="center"/>
    </xf>
    <xf numFmtId="0" fontId="25" fillId="0" borderId="28" xfId="8" applyFont="1" applyBorder="1" applyAlignment="1">
      <alignment horizontal="center" vertical="center"/>
    </xf>
    <xf numFmtId="0" fontId="25" fillId="0" borderId="25" xfId="8" applyFont="1" applyBorder="1" applyAlignment="1">
      <alignment horizontal="center" vertical="center"/>
    </xf>
    <xf numFmtId="0" fontId="25" fillId="0" borderId="29" xfId="8" applyFont="1" applyBorder="1" applyAlignment="1">
      <alignment horizontal="center" vertical="center"/>
    </xf>
    <xf numFmtId="0" fontId="25" fillId="9" borderId="93" xfId="8" applyFont="1" applyFill="1" applyBorder="1" applyAlignment="1">
      <alignment horizontal="center" vertical="center" wrapText="1"/>
    </xf>
    <xf numFmtId="0" fontId="27" fillId="0" borderId="105" xfId="8" applyFont="1" applyBorder="1" applyAlignment="1">
      <alignment vertical="center"/>
    </xf>
    <xf numFmtId="0" fontId="25" fillId="9" borderId="94" xfId="8" applyFont="1" applyFill="1" applyBorder="1" applyAlignment="1">
      <alignment horizontal="center" vertical="center"/>
    </xf>
    <xf numFmtId="0" fontId="27" fillId="0" borderId="95" xfId="8" applyFont="1" applyBorder="1" applyAlignment="1">
      <alignment vertical="center"/>
    </xf>
    <xf numFmtId="6" fontId="25" fillId="0" borderId="94" xfId="8" applyNumberFormat="1" applyFont="1" applyBorder="1" applyAlignment="1">
      <alignment horizontal="left" vertical="center" wrapText="1"/>
    </xf>
    <xf numFmtId="0" fontId="31" fillId="0" borderId="80" xfId="8" applyFont="1" applyBorder="1" applyAlignment="1">
      <alignment horizontal="center" vertical="center" wrapText="1"/>
    </xf>
    <xf numFmtId="0" fontId="25" fillId="0" borderId="71" xfId="8" applyFont="1" applyBorder="1" applyAlignment="1">
      <alignment horizontal="left" vertical="center"/>
    </xf>
    <xf numFmtId="0" fontId="27" fillId="0" borderId="72" xfId="8" applyFont="1" applyBorder="1" applyAlignment="1">
      <alignment vertical="center"/>
    </xf>
    <xf numFmtId="0" fontId="27" fillId="0" borderId="73" xfId="8" applyFont="1" applyBorder="1" applyAlignment="1">
      <alignment vertical="center"/>
    </xf>
    <xf numFmtId="0" fontId="25" fillId="9" borderId="111" xfId="8" applyFont="1" applyFill="1" applyBorder="1" applyAlignment="1">
      <alignment horizontal="center" vertical="center" wrapText="1"/>
    </xf>
    <xf numFmtId="0" fontId="27" fillId="0" borderId="112" xfId="8" applyFont="1" applyBorder="1" applyAlignment="1">
      <alignment vertical="center"/>
    </xf>
    <xf numFmtId="0" fontId="25" fillId="0" borderId="71" xfId="8" applyFont="1" applyBorder="1" applyAlignment="1">
      <alignment horizontal="center"/>
    </xf>
    <xf numFmtId="0" fontId="25" fillId="9" borderId="113" xfId="8" applyFont="1" applyFill="1" applyBorder="1" applyAlignment="1">
      <alignment horizontal="center" vertical="center" wrapText="1"/>
    </xf>
    <xf numFmtId="14" fontId="25" fillId="0" borderId="83" xfId="8" applyNumberFormat="1" applyFont="1" applyBorder="1" applyAlignment="1">
      <alignment horizontal="center" vertical="center" wrapText="1"/>
    </xf>
    <xf numFmtId="0" fontId="31" fillId="0" borderId="64" xfId="8" applyFont="1" applyBorder="1" applyAlignment="1">
      <alignment horizontal="left" vertical="center"/>
    </xf>
    <xf numFmtId="0" fontId="25" fillId="0" borderId="75" xfId="8" applyFont="1" applyBorder="1" applyAlignment="1">
      <alignment horizontal="center" vertical="center"/>
    </xf>
    <xf numFmtId="0" fontId="27" fillId="0" borderId="117" xfId="8" applyFont="1" applyBorder="1" applyAlignment="1">
      <alignment vertical="center"/>
    </xf>
    <xf numFmtId="0" fontId="27" fillId="0" borderId="115" xfId="8" applyFont="1" applyBorder="1" applyAlignment="1">
      <alignment vertical="center"/>
    </xf>
    <xf numFmtId="0" fontId="25" fillId="0" borderId="0" xfId="8" applyFont="1" applyAlignment="1">
      <alignment horizontal="center" vertical="center" wrapText="1"/>
    </xf>
    <xf numFmtId="0" fontId="4" fillId="0" borderId="0" xfId="8" applyAlignment="1">
      <alignment vertical="center"/>
    </xf>
    <xf numFmtId="14" fontId="25" fillId="0" borderId="0" xfId="8" applyNumberFormat="1" applyFont="1" applyAlignment="1">
      <alignment horizontal="center" vertical="center" wrapText="1"/>
    </xf>
    <xf numFmtId="0" fontId="41" fillId="0" borderId="75" xfId="8" applyFont="1" applyBorder="1" applyAlignment="1">
      <alignment horizontal="center" vertical="top"/>
    </xf>
    <xf numFmtId="0" fontId="27" fillId="0" borderId="116" xfId="8" applyFont="1" applyBorder="1" applyAlignment="1">
      <alignment vertical="center"/>
    </xf>
    <xf numFmtId="0" fontId="27" fillId="0" borderId="118" xfId="8" applyFont="1" applyBorder="1" applyAlignment="1">
      <alignment vertical="center"/>
    </xf>
  </cellXfs>
  <cellStyles count="10">
    <cellStyle name="Hyperlink" xfId="9" builtinId="8"/>
    <cellStyle name="Normal" xfId="0" builtinId="0"/>
    <cellStyle name="Normal 2" xfId="3" xr:uid="{3CEB514A-864E-44FC-97A4-B8EA6C8C6090}"/>
    <cellStyle name="Normal 3" xfId="4" xr:uid="{13DAFEE2-56CD-42B2-8A76-758B93DC52E7}"/>
    <cellStyle name="Normal 4" xfId="5" xr:uid="{4198760B-7E76-48FE-8308-D26DA194C995}"/>
    <cellStyle name="Normal 5" xfId="7" xr:uid="{78D9E6AF-AA38-4716-B2B8-BF3CF2D7C4A9}"/>
    <cellStyle name="Normal 6" xfId="8" xr:uid="{2A3559DD-401B-4571-8CED-08934E7A5DD3}"/>
    <cellStyle name="桁区切り 2" xfId="2" xr:uid="{00000000-0005-0000-0000-000000000000}"/>
    <cellStyle name="標準 2" xfId="1" xr:uid="{00000000-0005-0000-0000-000002000000}"/>
    <cellStyle name="標準 2 2" xfId="6" xr:uid="{A42416FA-61F4-48C2-BB5C-751383FD8803}"/>
  </cellStyles>
  <dxfs count="13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0.xml"/><Relationship Id="rId21" Type="http://schemas.openxmlformats.org/officeDocument/2006/relationships/externalLink" Target="externalLinks/externalLink15.xml"/><Relationship Id="rId34" Type="http://schemas.openxmlformats.org/officeDocument/2006/relationships/externalLink" Target="externalLinks/externalLink28.xml"/><Relationship Id="rId42" Type="http://schemas.openxmlformats.org/officeDocument/2006/relationships/externalLink" Target="externalLinks/externalLink36.xml"/><Relationship Id="rId47" Type="http://schemas.openxmlformats.org/officeDocument/2006/relationships/externalLink" Target="externalLinks/externalLink41.xml"/><Relationship Id="rId50" Type="http://schemas.openxmlformats.org/officeDocument/2006/relationships/externalLink" Target="externalLinks/externalLink44.xml"/><Relationship Id="rId55" Type="http://schemas.openxmlformats.org/officeDocument/2006/relationships/externalLink" Target="externalLinks/externalLink49.xml"/><Relationship Id="rId63" Type="http://schemas.openxmlformats.org/officeDocument/2006/relationships/externalLink" Target="externalLinks/externalLink57.xml"/><Relationship Id="rId68" Type="http://schemas.microsoft.com/office/2006/relationships/vbaProject" Target="vbaProject.bin"/><Relationship Id="rId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externalLink" Target="externalLinks/externalLink10.xml"/><Relationship Id="rId29" Type="http://schemas.openxmlformats.org/officeDocument/2006/relationships/externalLink" Target="externalLinks/externalLink23.xml"/><Relationship Id="rId11" Type="http://schemas.openxmlformats.org/officeDocument/2006/relationships/externalLink" Target="externalLinks/externalLink5.xml"/><Relationship Id="rId24" Type="http://schemas.openxmlformats.org/officeDocument/2006/relationships/externalLink" Target="externalLinks/externalLink18.xml"/><Relationship Id="rId32" Type="http://schemas.openxmlformats.org/officeDocument/2006/relationships/externalLink" Target="externalLinks/externalLink26.xml"/><Relationship Id="rId37" Type="http://schemas.openxmlformats.org/officeDocument/2006/relationships/externalLink" Target="externalLinks/externalLink31.xml"/><Relationship Id="rId40" Type="http://schemas.openxmlformats.org/officeDocument/2006/relationships/externalLink" Target="externalLinks/externalLink34.xml"/><Relationship Id="rId45" Type="http://schemas.openxmlformats.org/officeDocument/2006/relationships/externalLink" Target="externalLinks/externalLink39.xml"/><Relationship Id="rId53" Type="http://schemas.openxmlformats.org/officeDocument/2006/relationships/externalLink" Target="externalLinks/externalLink47.xml"/><Relationship Id="rId58" Type="http://schemas.openxmlformats.org/officeDocument/2006/relationships/externalLink" Target="externalLinks/externalLink52.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externalLink" Target="externalLinks/externalLink55.xml"/><Relationship Id="rId19" Type="http://schemas.openxmlformats.org/officeDocument/2006/relationships/externalLink" Target="externalLinks/externalLink13.xml"/><Relationship Id="rId14" Type="http://schemas.openxmlformats.org/officeDocument/2006/relationships/externalLink" Target="externalLinks/externalLink8.xml"/><Relationship Id="rId22" Type="http://schemas.openxmlformats.org/officeDocument/2006/relationships/externalLink" Target="externalLinks/externalLink16.xml"/><Relationship Id="rId27" Type="http://schemas.openxmlformats.org/officeDocument/2006/relationships/externalLink" Target="externalLinks/externalLink21.xml"/><Relationship Id="rId30" Type="http://schemas.openxmlformats.org/officeDocument/2006/relationships/externalLink" Target="externalLinks/externalLink24.xml"/><Relationship Id="rId35" Type="http://schemas.openxmlformats.org/officeDocument/2006/relationships/externalLink" Target="externalLinks/externalLink29.xml"/><Relationship Id="rId43" Type="http://schemas.openxmlformats.org/officeDocument/2006/relationships/externalLink" Target="externalLinks/externalLink37.xml"/><Relationship Id="rId48" Type="http://schemas.openxmlformats.org/officeDocument/2006/relationships/externalLink" Target="externalLinks/externalLink42.xml"/><Relationship Id="rId56" Type="http://schemas.openxmlformats.org/officeDocument/2006/relationships/externalLink" Target="externalLinks/externalLink50.xml"/><Relationship Id="rId64" Type="http://schemas.openxmlformats.org/officeDocument/2006/relationships/theme" Target="theme/theme1.xml"/><Relationship Id="rId8" Type="http://schemas.openxmlformats.org/officeDocument/2006/relationships/externalLink" Target="externalLinks/externalLink2.xml"/><Relationship Id="rId51" Type="http://schemas.openxmlformats.org/officeDocument/2006/relationships/externalLink" Target="externalLinks/externalLink45.xml"/><Relationship Id="rId3" Type="http://schemas.openxmlformats.org/officeDocument/2006/relationships/worksheet" Target="worksheets/sheet3.xml"/><Relationship Id="rId12" Type="http://schemas.openxmlformats.org/officeDocument/2006/relationships/externalLink" Target="externalLinks/externalLink6.xml"/><Relationship Id="rId17" Type="http://schemas.openxmlformats.org/officeDocument/2006/relationships/externalLink" Target="externalLinks/externalLink11.xml"/><Relationship Id="rId25" Type="http://schemas.openxmlformats.org/officeDocument/2006/relationships/externalLink" Target="externalLinks/externalLink19.xml"/><Relationship Id="rId33" Type="http://schemas.openxmlformats.org/officeDocument/2006/relationships/externalLink" Target="externalLinks/externalLink27.xml"/><Relationship Id="rId38" Type="http://schemas.openxmlformats.org/officeDocument/2006/relationships/externalLink" Target="externalLinks/externalLink32.xml"/><Relationship Id="rId46" Type="http://schemas.openxmlformats.org/officeDocument/2006/relationships/externalLink" Target="externalLinks/externalLink40.xml"/><Relationship Id="rId59" Type="http://schemas.openxmlformats.org/officeDocument/2006/relationships/externalLink" Target="externalLinks/externalLink53.xml"/><Relationship Id="rId67" Type="http://schemas.openxmlformats.org/officeDocument/2006/relationships/calcChain" Target="calcChain.xml"/><Relationship Id="rId20" Type="http://schemas.openxmlformats.org/officeDocument/2006/relationships/externalLink" Target="externalLinks/externalLink14.xml"/><Relationship Id="rId41" Type="http://schemas.openxmlformats.org/officeDocument/2006/relationships/externalLink" Target="externalLinks/externalLink35.xml"/><Relationship Id="rId54" Type="http://schemas.openxmlformats.org/officeDocument/2006/relationships/externalLink" Target="externalLinks/externalLink48.xml"/><Relationship Id="rId62" Type="http://schemas.openxmlformats.org/officeDocument/2006/relationships/externalLink" Target="externalLinks/externalLink5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9.xml"/><Relationship Id="rId23" Type="http://schemas.openxmlformats.org/officeDocument/2006/relationships/externalLink" Target="externalLinks/externalLink17.xml"/><Relationship Id="rId28" Type="http://schemas.openxmlformats.org/officeDocument/2006/relationships/externalLink" Target="externalLinks/externalLink22.xml"/><Relationship Id="rId36" Type="http://schemas.openxmlformats.org/officeDocument/2006/relationships/externalLink" Target="externalLinks/externalLink30.xml"/><Relationship Id="rId49" Type="http://schemas.openxmlformats.org/officeDocument/2006/relationships/externalLink" Target="externalLinks/externalLink43.xml"/><Relationship Id="rId57" Type="http://schemas.openxmlformats.org/officeDocument/2006/relationships/externalLink" Target="externalLinks/externalLink51.xml"/><Relationship Id="rId10" Type="http://schemas.openxmlformats.org/officeDocument/2006/relationships/externalLink" Target="externalLinks/externalLink4.xml"/><Relationship Id="rId31" Type="http://schemas.openxmlformats.org/officeDocument/2006/relationships/externalLink" Target="externalLinks/externalLink25.xml"/><Relationship Id="rId44" Type="http://schemas.openxmlformats.org/officeDocument/2006/relationships/externalLink" Target="externalLinks/externalLink38.xml"/><Relationship Id="rId52" Type="http://schemas.openxmlformats.org/officeDocument/2006/relationships/externalLink" Target="externalLinks/externalLink46.xml"/><Relationship Id="rId60" Type="http://schemas.openxmlformats.org/officeDocument/2006/relationships/externalLink" Target="externalLinks/externalLink54.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3.xml"/><Relationship Id="rId13" Type="http://schemas.openxmlformats.org/officeDocument/2006/relationships/externalLink" Target="externalLinks/externalLink7.xml"/><Relationship Id="rId18" Type="http://schemas.openxmlformats.org/officeDocument/2006/relationships/externalLink" Target="externalLinks/externalLink12.xml"/><Relationship Id="rId39" Type="http://schemas.openxmlformats.org/officeDocument/2006/relationships/externalLink" Target="externalLinks/externalLink33.xml"/></Relationships>
</file>

<file path=xl/drawings/drawing1.xml><?xml version="1.0" encoding="utf-8"?>
<xdr:wsDr xmlns:xdr="http://schemas.openxmlformats.org/drawingml/2006/spreadsheetDrawing" xmlns:a="http://schemas.openxmlformats.org/drawingml/2006/main">
  <xdr:twoCellAnchor>
    <xdr:from>
      <xdr:col>14</xdr:col>
      <xdr:colOff>51330</xdr:colOff>
      <xdr:row>33</xdr:row>
      <xdr:rowOff>24944</xdr:rowOff>
    </xdr:from>
    <xdr:to>
      <xdr:col>28</xdr:col>
      <xdr:colOff>623662</xdr:colOff>
      <xdr:row>46</xdr:row>
      <xdr:rowOff>169583</xdr:rowOff>
    </xdr:to>
    <xdr:sp macro="" textlink="">
      <xdr:nvSpPr>
        <xdr:cNvPr id="2" name="角丸四角形吹き出し 6">
          <a:extLst>
            <a:ext uri="{FF2B5EF4-FFF2-40B4-BE49-F238E27FC236}">
              <a16:creationId xmlns:a16="http://schemas.microsoft.com/office/drawing/2014/main" id="{25116DF6-B798-4BC5-875A-53DE6A458CD0}"/>
            </a:ext>
          </a:extLst>
        </xdr:cNvPr>
        <xdr:cNvSpPr/>
      </xdr:nvSpPr>
      <xdr:spPr>
        <a:xfrm>
          <a:off x="11535759" y="7690301"/>
          <a:ext cx="9598403" cy="3138211"/>
        </a:xfrm>
        <a:prstGeom prst="wedgeRoundRectCallout">
          <a:avLst>
            <a:gd name="adj1" fmla="val -27962"/>
            <a:gd name="adj2" fmla="val 109505"/>
            <a:gd name="adj3" fmla="val 1666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③</a:t>
          </a:r>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cs typeface="+mn-cs"/>
            </a:rPr>
            <a:t>こちらの記載の内容で表示・非表示を設定して頂けませんでしょうか。</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cs typeface="+mn-cs"/>
          </a:endParaRPr>
        </a:p>
        <a:p>
          <a:pPr marL="0" indent="0"/>
          <a:r>
            <a:rPr kumimoji="1" lang="ja-JP" altLang="en-US"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③については仮に◯が</a:t>
          </a:r>
          <a:r>
            <a:rPr kumimoji="1" lang="en-US" altLang="ja-JP"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2</a:t>
          </a:r>
          <a:r>
            <a:rPr kumimoji="1" lang="ja-JP" altLang="en-US"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個ついた場合どのような処理になりますでしょうか？</a:t>
          </a:r>
        </a:p>
        <a:p>
          <a:pPr marL="0" indent="0"/>
          <a:r>
            <a:rPr kumimoji="1" lang="ja-JP" altLang="en-US"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希望としては</a:t>
          </a:r>
        </a:p>
        <a:p>
          <a:pPr marL="0" indent="0"/>
          <a:r>
            <a:rPr kumimoji="1" lang="en-US" altLang="ja-JP"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A</a:t>
          </a:r>
          <a:r>
            <a:rPr kumimoji="1" lang="ja-JP" altLang="en-US"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に◯をつけると１，２，３が非表示になる。</a:t>
          </a:r>
        </a:p>
        <a:p>
          <a:pPr marL="0" indent="0"/>
          <a:r>
            <a:rPr kumimoji="1" lang="en-US" altLang="ja-JP"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B</a:t>
          </a:r>
          <a:r>
            <a:rPr kumimoji="1" lang="ja-JP" altLang="en-US"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に◯をつけると３，４，５が非表示になる。</a:t>
          </a:r>
        </a:p>
        <a:p>
          <a:pPr marL="0" indent="0"/>
          <a:r>
            <a:rPr kumimoji="1" lang="ja-JP" altLang="en-US"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このような場合には</a:t>
          </a:r>
          <a:r>
            <a:rPr kumimoji="1" lang="en-US" altLang="ja-JP"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A</a:t>
          </a:r>
          <a:r>
            <a:rPr kumimoji="1" lang="ja-JP" altLang="en-US"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と</a:t>
          </a:r>
          <a:r>
            <a:rPr kumimoji="1" lang="en-US" altLang="ja-JP"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B</a:t>
          </a:r>
          <a:r>
            <a:rPr kumimoji="1" lang="ja-JP" altLang="en-US" sz="1400">
              <a:solidFill>
                <a:sysClr val="windowText" lastClr="000000"/>
              </a:solidFill>
              <a:latin typeface="HGP創英角ｺﾞｼｯｸUB" panose="020B0900000000000000" pitchFamily="50" charset="-128"/>
              <a:ea typeface="HGP創英角ｺﾞｼｯｸUB" panose="020B0900000000000000" pitchFamily="50" charset="-128"/>
              <a:cs typeface="+mn-cs"/>
            </a:rPr>
            <a:t>で共通している３のみ非表示としたいのですが、そのような設定は可能でしょうか？</a:t>
          </a:r>
        </a:p>
        <a:p>
          <a:pPr algn="l"/>
          <a:endParaRPr kumimoji="1" lang="en-US" altLang="ja-JP" sz="1400">
            <a:solidFill>
              <a:sysClr val="windowText" lastClr="000000"/>
            </a:solidFill>
            <a:latin typeface="HGP創英角ｺﾞｼｯｸUB" panose="020B0900000000000000" pitchFamily="50" charset="-128"/>
            <a:ea typeface="HGP創英角ｺﾞｼｯｸUB" panose="020B0900000000000000" pitchFamily="50" charset="-128"/>
          </a:endParaRPr>
        </a:p>
      </xdr:txBody>
    </xdr:sp>
    <xdr:clientData/>
  </xdr:twoCellAnchor>
  <xdr:twoCellAnchor>
    <xdr:from>
      <xdr:col>11</xdr:col>
      <xdr:colOff>2267</xdr:colOff>
      <xdr:row>52</xdr:row>
      <xdr:rowOff>212084</xdr:rowOff>
    </xdr:from>
    <xdr:to>
      <xdr:col>12</xdr:col>
      <xdr:colOff>40822</xdr:colOff>
      <xdr:row>136</xdr:row>
      <xdr:rowOff>259896</xdr:rowOff>
    </xdr:to>
    <xdr:sp macro="" textlink="">
      <xdr:nvSpPr>
        <xdr:cNvPr id="3" name="正方形/長方形 1">
          <a:extLst>
            <a:ext uri="{FF2B5EF4-FFF2-40B4-BE49-F238E27FC236}">
              <a16:creationId xmlns:a16="http://schemas.microsoft.com/office/drawing/2014/main" id="{C754257A-A33E-4652-98AD-A211E52832F5}"/>
            </a:ext>
          </a:extLst>
        </xdr:cNvPr>
        <xdr:cNvSpPr/>
      </xdr:nvSpPr>
      <xdr:spPr>
        <a:xfrm>
          <a:off x="9384393" y="12131941"/>
          <a:ext cx="902608" cy="22506402"/>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736600</xdr:colOff>
      <xdr:row>47</xdr:row>
      <xdr:rowOff>152400</xdr:rowOff>
    </xdr:from>
    <xdr:to>
      <xdr:col>14</xdr:col>
      <xdr:colOff>181505</xdr:colOff>
      <xdr:row>50</xdr:row>
      <xdr:rowOff>166863</xdr:rowOff>
    </xdr:to>
    <xdr:sp macro="" textlink="">
      <xdr:nvSpPr>
        <xdr:cNvPr id="4" name="角丸四角形吹き出し 3">
          <a:extLst>
            <a:ext uri="{FF2B5EF4-FFF2-40B4-BE49-F238E27FC236}">
              <a16:creationId xmlns:a16="http://schemas.microsoft.com/office/drawing/2014/main" id="{3EED6086-92D8-4092-8B29-0B203C8A63A4}"/>
            </a:ext>
          </a:extLst>
        </xdr:cNvPr>
        <xdr:cNvSpPr/>
      </xdr:nvSpPr>
      <xdr:spPr>
        <a:xfrm>
          <a:off x="7518400" y="9224963"/>
          <a:ext cx="4383618" cy="752650"/>
        </a:xfrm>
        <a:prstGeom prst="wedgeRoundRectCallout">
          <a:avLst>
            <a:gd name="adj1" fmla="val 1129"/>
            <a:gd name="adj2" fmla="val 114638"/>
            <a:gd name="adj3" fmla="val 1666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②プルダウンにして◯を選択するかつコピーペーストを出来ない仕様にして頂けませんでしょうか。</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xdr:txBody>
    </xdr:sp>
    <xdr:clientData/>
  </xdr:twoCellAnchor>
  <xdr:twoCellAnchor>
    <xdr:from>
      <xdr:col>3</xdr:col>
      <xdr:colOff>63500</xdr:colOff>
      <xdr:row>46</xdr:row>
      <xdr:rowOff>114300</xdr:rowOff>
    </xdr:from>
    <xdr:to>
      <xdr:col>8</xdr:col>
      <xdr:colOff>105305</xdr:colOff>
      <xdr:row>50</xdr:row>
      <xdr:rowOff>166863</xdr:rowOff>
    </xdr:to>
    <xdr:sp macro="" textlink="">
      <xdr:nvSpPr>
        <xdr:cNvPr id="5" name="角丸四角形吹き出し 4">
          <a:extLst>
            <a:ext uri="{FF2B5EF4-FFF2-40B4-BE49-F238E27FC236}">
              <a16:creationId xmlns:a16="http://schemas.microsoft.com/office/drawing/2014/main" id="{4BB97D77-96B3-486E-B896-DBC65C0E70FA}"/>
            </a:ext>
          </a:extLst>
        </xdr:cNvPr>
        <xdr:cNvSpPr/>
      </xdr:nvSpPr>
      <xdr:spPr>
        <a:xfrm>
          <a:off x="2122714" y="10773229"/>
          <a:ext cx="4631948" cy="995991"/>
        </a:xfrm>
        <a:prstGeom prst="wedgeRoundRectCallout">
          <a:avLst>
            <a:gd name="adj1" fmla="val 30809"/>
            <a:gd name="adj2" fmla="val 98010"/>
            <a:gd name="adj3" fmla="val 1666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①</a:t>
          </a:r>
          <a:r>
            <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rPr>
            <a:t>L</a:t>
          </a:r>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列の◯に連動して、</a:t>
          </a:r>
          <a:r>
            <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rPr>
            <a:t>G</a:t>
          </a:r>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a:t>
          </a:r>
          <a:r>
            <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rPr>
            <a:t>K</a:t>
          </a:r>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列を黄色にしたいです。一部自分でやっていますが、コピーペーストで設定がおかしくなっているので修正をお願いします。</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395287</xdr:colOff>
      <xdr:row>57</xdr:row>
      <xdr:rowOff>81438</xdr:rowOff>
    </xdr:from>
    <xdr:to>
      <xdr:col>11</xdr:col>
      <xdr:colOff>261938</xdr:colOff>
      <xdr:row>64</xdr:row>
      <xdr:rowOff>7461</xdr:rowOff>
    </xdr:to>
    <xdr:sp macro="" textlink="">
      <xdr:nvSpPr>
        <xdr:cNvPr id="2" name="角丸四角形吹き出し 14">
          <a:extLst>
            <a:ext uri="{FF2B5EF4-FFF2-40B4-BE49-F238E27FC236}">
              <a16:creationId xmlns:a16="http://schemas.microsoft.com/office/drawing/2014/main" id="{27DA5DAB-9490-4167-B57C-AD2A2268686D}"/>
            </a:ext>
          </a:extLst>
        </xdr:cNvPr>
        <xdr:cNvSpPr/>
      </xdr:nvSpPr>
      <xdr:spPr>
        <a:xfrm>
          <a:off x="13592175" y="15383351"/>
          <a:ext cx="2809876" cy="1059498"/>
        </a:xfrm>
        <a:prstGeom prst="wedgeRoundRectCallout">
          <a:avLst>
            <a:gd name="adj1" fmla="val -64940"/>
            <a:gd name="adj2" fmla="val -23544"/>
            <a:gd name="adj3" fmla="val 1666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フォーマットに記載されていない危険想定がある場合はここに記載して議論する。</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ここの議論を</a:t>
          </a:r>
          <a:r>
            <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rPr>
            <a:t>DR</a:t>
          </a:r>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のメインにしたい。</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xdr:txBody>
    </xdr:sp>
    <xdr:clientData/>
  </xdr:twoCellAnchor>
  <xdr:twoCellAnchor>
    <xdr:from>
      <xdr:col>9</xdr:col>
      <xdr:colOff>258365</xdr:colOff>
      <xdr:row>7</xdr:row>
      <xdr:rowOff>82949</xdr:rowOff>
    </xdr:from>
    <xdr:to>
      <xdr:col>12</xdr:col>
      <xdr:colOff>188516</xdr:colOff>
      <xdr:row>9</xdr:row>
      <xdr:rowOff>9921</xdr:rowOff>
    </xdr:to>
    <xdr:sp macro="" textlink="">
      <xdr:nvSpPr>
        <xdr:cNvPr id="3" name="角丸四角形吹き出し 3">
          <a:extLst>
            <a:ext uri="{FF2B5EF4-FFF2-40B4-BE49-F238E27FC236}">
              <a16:creationId xmlns:a16="http://schemas.microsoft.com/office/drawing/2014/main" id="{EB693918-ABB0-4DF0-8CBA-699809C0CA40}"/>
            </a:ext>
          </a:extLst>
        </xdr:cNvPr>
        <xdr:cNvSpPr/>
      </xdr:nvSpPr>
      <xdr:spPr>
        <a:xfrm>
          <a:off x="15147131" y="1606949"/>
          <a:ext cx="1823245" cy="302020"/>
        </a:xfrm>
        <a:prstGeom prst="wedgeRoundRectCallout">
          <a:avLst>
            <a:gd name="adj1" fmla="val -58953"/>
            <a:gd name="adj2" fmla="val 29165"/>
            <a:gd name="adj3" fmla="val 1666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宮原さんに確認</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704850</xdr:colOff>
      <xdr:row>40</xdr:row>
      <xdr:rowOff>33338</xdr:rowOff>
    </xdr:from>
    <xdr:to>
      <xdr:col>12</xdr:col>
      <xdr:colOff>241652</xdr:colOff>
      <xdr:row>46</xdr:row>
      <xdr:rowOff>115888</xdr:rowOff>
    </xdr:to>
    <xdr:sp macro="" textlink="">
      <xdr:nvSpPr>
        <xdr:cNvPr id="2" name="角丸四角形吹き出し 7">
          <a:extLst>
            <a:ext uri="{FF2B5EF4-FFF2-40B4-BE49-F238E27FC236}">
              <a16:creationId xmlns:a16="http://schemas.microsoft.com/office/drawing/2014/main" id="{F719FCC8-3DD5-4F00-939D-9930490195DF}"/>
            </a:ext>
          </a:extLst>
        </xdr:cNvPr>
        <xdr:cNvSpPr/>
      </xdr:nvSpPr>
      <xdr:spPr>
        <a:xfrm>
          <a:off x="11534775" y="10687051"/>
          <a:ext cx="3056290" cy="1054100"/>
        </a:xfrm>
        <a:prstGeom prst="wedgeRoundRectCallout">
          <a:avLst>
            <a:gd name="adj1" fmla="val -64940"/>
            <a:gd name="adj2" fmla="val -23544"/>
            <a:gd name="adj3" fmla="val 1666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フォーマットに記載されていない危険想定がある場合はここに記載して議論する。</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514350</xdr:colOff>
      <xdr:row>13</xdr:row>
      <xdr:rowOff>0</xdr:rowOff>
    </xdr:from>
    <xdr:to>
      <xdr:col>24</xdr:col>
      <xdr:colOff>69850</xdr:colOff>
      <xdr:row>30</xdr:row>
      <xdr:rowOff>6350</xdr:rowOff>
    </xdr:to>
    <xdr:sp macro="" textlink="">
      <xdr:nvSpPr>
        <xdr:cNvPr id="2" name="角丸四角形吹き出し 1">
          <a:extLst>
            <a:ext uri="{FF2B5EF4-FFF2-40B4-BE49-F238E27FC236}">
              <a16:creationId xmlns:a16="http://schemas.microsoft.com/office/drawing/2014/main" id="{0C9E7CC9-212C-4419-A705-3D83676C67B7}"/>
            </a:ext>
          </a:extLst>
        </xdr:cNvPr>
        <xdr:cNvSpPr/>
      </xdr:nvSpPr>
      <xdr:spPr>
        <a:xfrm>
          <a:off x="9386888" y="2319338"/>
          <a:ext cx="5213350" cy="2863850"/>
        </a:xfrm>
        <a:prstGeom prst="wedgeRoundRectCallout">
          <a:avLst>
            <a:gd name="adj1" fmla="val -59885"/>
            <a:gd name="adj2" fmla="val 24998"/>
            <a:gd name="adj3" fmla="val 1666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標準試験一覧</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チェックを入れて実施。</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輸送、落下、クラッシュ、</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吊り下げフック←これは実機テストに加える</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r>
            <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rPr>
            <a:t>10</a:t>
          </a:r>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％の余裕をみたしているか？</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（作りたてのサンプルで作業性を見ているか）</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外箱、個箱のサイズ設計ミス（作業性確認？）</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r>
            <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rPr>
            <a:t>Walmart</a:t>
          </a:r>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と</a:t>
          </a:r>
          <a:r>
            <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rPr>
            <a:t>Amazon</a:t>
          </a:r>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の試験を</a:t>
          </a:r>
          <a:r>
            <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rPr>
            <a:t>KAM</a:t>
          </a:r>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の標準試験にする？</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a:p>
          <a:pPr algn="l"/>
          <a:r>
            <a:rPr kumimoji="1" lang="ja-JP" altLang="en-US" sz="1600">
              <a:solidFill>
                <a:sysClr val="windowText" lastClr="000000"/>
              </a:solidFill>
              <a:latin typeface="HGP創英角ｺﾞｼｯｸUB" panose="020B0900000000000000" pitchFamily="50" charset="-128"/>
              <a:ea typeface="HGP創英角ｺﾞｼｯｸUB" panose="020B0900000000000000" pitchFamily="50" charset="-128"/>
            </a:rPr>
            <a:t>合格基準に対してどうだったのかを提示する</a:t>
          </a:r>
          <a:endParaRPr kumimoji="1" lang="en-US" altLang="ja-JP" sz="1600">
            <a:solidFill>
              <a:sysClr val="windowText" lastClr="000000"/>
            </a:solidFill>
            <a:latin typeface="HGP創英角ｺﾞｼｯｸUB" panose="020B0900000000000000" pitchFamily="50" charset="-128"/>
            <a:ea typeface="HGP創英角ｺﾞｼｯｸUB" panose="020B0900000000000000" pitchFamily="50"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windows\TEMP\&#65420;&#65439;&#65434;&#65406;&#65438;&#65437;&#36039;.WJ2"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O:\DATA\EXCEL\&#12381;&#12398;&#20182;\&#12381;&#12398;&#20182;\EXCEL\&#12381;&#12398;&#20182;\EXCEL\&#12381;&#12398;&#20182;\Excel\&#26119;&#26684;&#21046;&#24230;\Excel\H8&#38754;&#25509;&#65432;&#65405;.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HA&#23455;&#36009;"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O:\Excel\&#26119;&#26684;&#21046;&#24230;\Excel\H8&#38754;&#25509;&#65432;&#654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B:\WINDOWS\TEMP\My%20Documents\COST%20REPOR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O:\WINDOWS\TEMP\EXCEL\&#12381;&#12398;&#20182;\EXCEL\&#12381;&#12398;&#20182;\EXCEL\&#12381;&#12398;&#20182;\EXCEL\&#12381;&#12398;&#20182;\DATA\EXCEL\&#31038;&#21729;&#32102;&#1998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WINDOWS\TEMP\&#12499;&#12472;&#12493;&#12473;&#12524;&#12499;&#12517;&#12540;&#36039;&#26009;.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129.1.16.60\ndisk\My%20Documents\2002&#24180;&#24230;&#20104;&#31639;\2001&#24180;&#20104;&#31639;&#26696;\2000&#24180;&#20104;&#31639;\00&#20104;&#31639;&#20316;&#25104;&#36039;&#26009;.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Ikoma\solno\Jobs\SOLNO\Database\core334_SOLNO.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Ikoma\solno\kawa\SOLNO\(1)&#20840;&#20307;&#36914;&#25431;\&#22522;&#26412;&#35373;&#35336;&#26085;&#31243;&#35336;&#30011;(&#65299;&#29256;).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65318;\d\&#19978;&#28023;\OldMachineShanghai&#19978;&#28023;\200411\FinancialStatement\Shanghai2004.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kiribai-co-jp.leo.oneoffice.jp/Documents%20and%20Settings/hp/Local%20Settings/Temporary%20Internet%20Files/OLK5/&#9313;&#26262;&#23453;&#23453;/2013&#24180;&#30524;&#32617;&#27979;&#28201;/&#26262;&#23453;&#23453;/&#26262;&#23453;&#23453;&#65288;2011&#24180;&#65289;/2011&#24180;&#27979;&#28201;&#34920;/2007&#24180;&#26262;&#23453;&#23453;&#27979;&#28201;&#34920;/&#26262;&#23453;&#23453;&#28201;&#24230;&#29305;&#24615;&#23454;&#39564;&#34920;/&#26262;&#23453;&#23453;&#27979;&#28201;&#34920;6"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IZOU21\&#30740;&#31649;&#65319;\WINDOWS\TEMP\MARKE\SATO\FUJITA\&#65407;&#65392;&#65412;&#65423;&#65391;&#65409;.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E:\Onishi\Excel\&#19978;&#28023;&#23567;&#26519;&#12391;&#12540;&#12383;\2005&#24180;&#24230;\&#22235;&#21322;&#26399;&#12524;&#12499;&#12517;&#12540;\New1129%20&#19978;&#28023;&#23567;&#26519;2005&#24180;&#20104;&#31639;&#12473;&#12465;&#12472;&#12517;&#12540;&#12523;88(&#26481;&#12373;&#12435;&#25552;&#20379;&#65289;&#26376;&#21106;&#36039;&#26009;20050301&#12490;&#12481;&#12517;&#12456;&#12450;&#12540;&#36861;&#21152;.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129.1.16.60\ndisk\My%20Documents\&#65407;&#65392;&#65412;&#65423;&#65391;&#65409;T.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MRH\HOS\F&#36984;&#25246;M.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DOCUME~1\J02359\LOCALS~1\Temp\Documents%20and%20Settings\J02361\My%20Documents\&#12524;&#12499;&#12517;&#12540;\&#12499;&#12472;&#12493;&#12473;&#12524;&#12499;&#12517;&#12540;&#36039;&#26009;.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Br200004\&#12450;&#12452;&#12508;&#12531;0004\EYE1."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WINDOWS\TEMP\&#12499;&#12472;&#12493;&#12473;&#12524;&#12499;&#12517;&#12540;&#36039;&#26009;.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kiribai-co-jp.leo.oneoffice.jp/Documents%20and%20Settings/hp/Local%20Settings/Temporary%20Internet%20Files/OLK5/&#9313;&#26262;&#23453;&#23453;/2013&#24180;&#30524;&#32617;&#27979;&#28201;/&#26262;&#23453;&#23453;/&#26262;&#23453;&#23453;&#65288;2011&#24180;&#65289;/2011&#24180;&#27979;&#28201;&#34920;/2007&#24180;&#26262;&#23453;&#23453;&#27979;&#28201;&#34920;/&#24322;&#22411;&#27979;&#28201;&#34920;&#65293;3.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129.1.16.60\ndisk\&#9313;&#26376;&#27425;&#20998;&#26512;\&#26376;&#27425;&#20998;&#26512;\D\&#26376;&#27425;&#38306;&#36899;&#65288;&#65304;&#65304;&#26399;&#65289;\&#26376;&#27425;&#20998;&#26512;\EXCEL\&#26119;&#26684;&#21046;&#24230;\EXCEL\&#26119;&#26684;&#21046;&#24230;\EXCEL\&#26119;&#26684;&#21046;&#24230;\EXCEL\&#26119;&#26684;&#21046;&#24230;\EXCEL\&#26119;&#26684;&#21046;&#24230;\Excel\DATA\EXCEL\&#31038;&#21729;&#32102;&#1998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Naniwa\&#25903;&#24215;&#26045;&#35373;&#20104;&#32004;\WINDOWS\TEMP\B2Temp\Attach\SOLNOTable_def_Rev7.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kiribai-co-jp.leo.oneoffice.jp/QC%20Files/&#26262;&#23453;&#23453;/&#36136;&#37327;&#35760;&#24405;/&#25104;&#21697;&#26816;&#26597;/&#24322;&#22411;&#26262;&#23453;&#23453;&#25104;&#21697;&#26816;&#26597;&#34920;&#31354;&#21333;&#65288;&#33521;&#35821;&#29256;&#65289;.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E:\Documents%20and%20Settings\J02361\My%20Documents\&#12524;&#12499;&#12517;&#12540;\&#12499;&#12472;&#12493;&#12473;&#12524;&#12499;&#12517;&#12540;&#36039;&#26009;.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DOCUME~1\J02359\LOCALS~1\Temp\DOCUME~1\J00851\LOCALS~1\Temp\2003NEW%20FORMAT-JAPAN.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129.1.16.60\ndisk\data\Eglin\&#23567;&#26519;&#65394;&#65400;&#65438;&#65432;&#65437;\&#20104;&#31639;\2002&#24180;\2001&#24180;&#20104;&#31639;&#26696;\2000&#24180;&#20104;&#31639;\P&#65324;\&#65305;&#65305;&#24180;&#65328;&#65324;\COST%20REPORT.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129.1.16.60\ndisk\data\Eglin\&#23567;&#26519;&#65394;&#65400;&#65438;&#65432;&#65437;\2003&#24180;&#24230;&#27770;&#31639;&#26360;\200309Review\FSCOMBAIN-SEP%202003forReview.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Nec\d\(&#26377;)&#12469;&#12459;&#12454;&#12456;&#29289;&#27969;\&#23567;&#26519;&#35069;&#34220;&#12849;&#22823;&#38442;&#24037;&#22580;&#31649;&#29702;&#65319;&#21488;&#24115;\2000&#24180;\&#31649;&#29702;2000.6&#26376;\&#31649;&#29702;2000.4&#26376;\&#31649;&#29702;2000.3&#26376;\BL&#38518;&#22120;&#12473;&#12474;&#12521;&#12531;&#65381;&#12495;&#12540;&#12502;&#21488;&#24115;.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D:\&#65315;&#65364;&#65316;&#65358;\&#65328;&#65314;&#12459;&#12452;&#12525;&#12467;&#12473;&#12488;&#12480;&#12454;&#12531;&#65328;&#65316;&#65318;&#12471;&#12540;&#12488;&#65288;&#27211;&#26412;&#65289;090807.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F:\&#65315;&#65364;&#65316;&#65358;\&#65328;&#65314;&#12459;&#12452;&#12525;&#12467;&#12473;&#12488;&#12480;&#12454;&#12531;&#65328;&#65316;&#65318;&#12471;&#12540;&#12488;&#65288;&#27211;&#26412;&#65289;090807.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D:\&#9660;&#9660;&#65298;&#65319;&#65351;&#65351;&#9660;&#9660;\&#9660;&#22269;&#38555;&#20381;&#38972;&#28204;&#28201;&#24230;\2012%2007\&#20024;&#23665;&#12373;&#12435;&#12288;&#65320;&#65325;&#20966;&#26041;&#12288;&#21516;&#31561;&#24615;&#30906;&#35469;\&#65328;&#65314;&#12459;&#12452;&#12525;&#12467;&#12473;&#12488;&#12480;&#12454;&#12531;&#65328;&#65316;&#65318;&#12471;&#12540;&#12488;&#65288;&#27211;&#26412;&#65289;090715.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E:\DOCUME~1\J00851\LOCALS~1\Temp\2003NEW%20FORMAT-JAPAN.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R:\&#24029;&#26412;&#29992;\&#23567;&#26519;\&#12450;&#12452;&#12508;&#12531;\EYE1."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ANGEL01\&#12456;&#12531;&#12476;&#12523;\&#20849;&#26377;\&#12469;&#12521;&#29983;&#29987;(&#20849;&#26377;)\&#31292;&#21205;&#12487;&#12540;&#12479;\&#31292;&#21205;41&#26399;\&#12469;&#12521;&#65304;&#65304;&#65296;&#65299;&#26376;&#21029;&#23455;&#32318;.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Angel01\&#12456;&#12531;&#12476;&#12523;\&#20849;&#26377;\&#21315;&#33865;%20&#38918;&#19968;(&#20849;&#26377;)\&#21407;&#20385;\&#32207;&#21512;&#21177;&#29575;200504.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Kenkyu24\qpg\Documents%20and%20Settings\J4439\My%20Documents\07&#26149;&#12288;&#26032;&#35069;&#21697;\&#12469;&#12521;&#29983;&#29702;&#29992;&#27927;&#21092;\&#65405;&#65401;&#65404;&#65438;&#65389;&#65392;&#65433;\&#21830;&#35527;&#20250;&#12414;&#12391;&#12398;&#12473;&#12465;&#12472;&#12517;&#12540;&#12523;&#34920;.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Iyakuhin2\&#12450;&#12452;&#12508;&#12531;&#20849;&#26377;\&#20316;&#26989;&#22793;&#26356;&#36899;&#32097;\&#20316;&#26989;&#22793;&#26356;&#36899;&#32097;&#65288;&#12471;&#12517;&#12522;&#12531;&#12463;&#22793;&#26356;070903&#65289;.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129.1.16.60\ndisk\DOCUME~1\J3438~1.TOY\LOCALS~1\Temp\notes6030C8\D\&#26376;&#27425;&#38306;&#36899;&#65288;&#65304;&#65305;&#26399;&#65289;\89&#26399;3&#12459;&#24180;\&#32076;&#29702;&#12487;&#12540;&#12479;\&#20104;&#31639;\25&#26399;\&#26412;&#31038;&#25552;&#20986;\&#65288;&#25215;&#35469;&#28168;&#65289;88&#26399;&#20104;&#31639;.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129.1.16.60\ndisk\My%20Documents\&#12452;&#12464;&#12522;&#12531;&#26376;&#27425;\&#26412;&#37096;&#20250;\My%20Documents\COST%20REPORT.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129.1.16.251\&#20225;&#30011;&#20849;&#26377;&#65420;&#65387;&#65433;&#65408;&#65438;\Documents%20and%20Settings\4100250\My%20Documents\&#35211;&#31309;&#21407;&#20385;\&#35336;&#31639;&#26360;\&#20303;&#23621;&#27927;&#21092;\&#65412;&#65394;&#65434;&#27927;&#27972;&#20013;3T&#21514;&#19979;&#12370;&#65288;10.3.29)&#9313;.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Netapp01\&#34220;&#31911;&#21697;&#20107;&#26989;&#37096;&#25216;&#38283;&#20849;&#26377;\Documents%20and%20Settings\boss01\My%20Documents\&#21407;&#20385;&#38306;&#20418;\&#35069;&#21697;&#21029;&#65403;&#65394;&#65405;&#65438;&#37325;&#37327;&#9313;.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A:\TEMP\&#65313;COOP\98&#26149;&#35211;&#31309;.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129.1.16.60\ndisk\DOCUME~1\A8930\LOCALS~1\Temp\&#36820;&#21697;&#20966;&#29702;2003.4&#65374;9.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129.1.16.60\ndisk\DOCUME~1\J3438~1.TOY\LOCALS~1\Temp\notes6030C8\D\&#26376;&#27425;&#38306;&#36899;&#65288;&#65304;&#65305;&#26399;&#65289;\89&#26399;3&#12459;&#24180;\&#32076;&#29702;&#12487;&#12540;&#12479;\&#20104;&#31639;\25&#26399;\&#26412;&#31038;&#25552;&#20986;\DOCUME~1\J3687T~1.000\LOCALS~1\Temp\notesEA312D\P5&#24859;&#23195;&#26368;&#26032;&#29256;9&#26376;.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129.1.6.10\ssk\MARKE\&#24195;&#21578;&#36009;&#20419;&#37096;\&#12473;&#12465;&#12472;&#12517;&#12540;&#12523;&amp;&#37096;&#20869;&#36899;&#32097;\2005&#24180;&#65405;&#65401;&#65404;&#65438;&#65389;-&#65433;&#20840;&#21729;.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129.1.16.251\&#20225;&#30011;&#20849;&#26377;&#65420;&#65387;&#65433;&#65408;&#65438;\&#20104;&#28204;&#21407;&#20385;&#25552;&#20986;\&#12479;&#12501;&#12487;&#12531;&#12488;\&#12479;&#12501;&#12487;&#12531;&#12488;&#24375;&#21147;&#12511;&#12531;&#12488;\2011.8.6\&#12479;&#12501;&#12487;&#12531;&#12488;&#24375;&#21147;&#12511;&#12531;&#12488;108T2011.8.6.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H:\new&#65314;&#65330;&#65326;\090610%20&#65326;&#65349;&#65367;&#12502;&#12524;&#12473;&#12525;&#12531;&#65288;&#65328;&#65317;&#65332;&#65302;&#65296;&#956;&#65289;&#36890;&#27671;&#65366;&#65363;&#28201;&#24230;_&#29305;&#24615;&#30456;&#38306;&#30906;&#35469;.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26494;&#26412;&#35609;&#19968;\&#26376;&#26411;&#22312;&#24235;&#22577;&#21578;\MARKE\&#65423;&#65392;&#65401;&#20849;&#26377;\80&#37329;&#20104;&#31639;.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129.1.16.60\ndisk\DOCUME~1\J3438~1.TOY\LOCALS~1\Temp\notes6030C8\D\&#26376;&#27425;&#38306;&#36899;&#65288;&#65304;&#65305;&#26399;&#65289;\89&#26399;3&#12459;&#24180;\&#32076;&#29702;&#12487;&#12540;&#12479;\&#20104;&#31639;\25&#26399;\&#26412;&#31038;&#25552;&#20986;\&#26376;&#27425;&#65434;&#65422;&#65439;-&#65412;\2&#26376;&#24230;&#27770;&#31639;&#65434;&#65419;&#65438;&#65389;-&#32047;&#35336;.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Kenkyu24\0103296\DOCUME~1\&#23567;&#26519;\LOCALS~1\Temp\notes6030C8\windows\TEMP\&#35199;&#28611;H.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129.1.16.60\ndisk\windows\TEMP\&#35199;&#28611;H.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G:\&#27770;&#31639;&#12524;&#12499;&#12517;&#12540;\&#32076;&#21942;&#35336;&#30011;&#12392;&#20104;&#23455;&#23550;&#27604;.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Angel01\&#12456;&#12531;&#12476;&#12523;\&#20849;&#26377;\&#31649;&#29702;(&#20849;&#26377;&#65289;\&#36039;&#26448;&#19981;&#20855;&#21512;&#30330;&#29983;&#29366;&#27841;2003\&#36039;&#26448;&#19981;&#20855;&#21512;&#30330;&#29983;&#29366;&#27841;2003.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Krt08-001\&#29983;&#29987;&#31649;&#29702;\&#35069;&#36896;&#25351;&#31034;&#26360;\94&#26399;&#35069;&#36896;&#25351;&#31034;&#26360;\6&#26376;\&#19977;&#30000;&#12288;6&#26376;&#29983;&#29987;&#20104;&#23450;ver2.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129.1.16.60\ndisk\001&#12463;&#12524;&#12540;&#12512;&#38306;&#20418;\013&#12463;&#12524;&#12540;&#12512;&#12414;&#12392;&#12417;&#65304;&#65302;&#26399;\&#30330;&#29983;&#29575;&#35336;&#31639;&#29992;&#65288;&#65304;&#65302;&#26399;&#65289;.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Angel01\&#12456;&#12531;&#12476;&#12523;\DOCUME~1\A7411\LOCALS~1\Temp\notesEA312D\~6508545.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Angel01\&#12456;&#12531;&#12476;&#12523;\DOCUME~1\A0335~1.ANG\LOCALS~1\Temp\notesEA312D\&#65334;&#65328;&#65325;&#27963;&#21205;&#12450;&#12531;&#12465;&#12540;&#12488;&#32080;&#2652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ﾌﾟﾚｾﾞﾝ資"/>
      <sheetName val="94在庫予算 (明細別)"/>
      <sheetName val="賞与･年収"/>
      <sheetName val="TBL"/>
      <sheetName val="記入⇒半期計画⇒ここに記入して下さい。"/>
      <sheetName val="4"/>
      <sheetName val="売上済"/>
      <sheetName val="ﾏｽﾀｰ"/>
      <sheetName val="Sheet1"/>
      <sheetName val="DATA"/>
      <sheetName val="第1版"/>
      <sheetName val="Sheet2"/>
      <sheetName val="RD9501V"/>
      <sheetName val="①表示資料"/>
      <sheetName val="コクミン"/>
      <sheetName val="ﾏｽﾀ"/>
      <sheetName val="本年計画 "/>
      <sheetName val="ﾌﾙｰﾂ村pet"/>
      <sheetName val="一般用ｶﾃｺﾞﾘｰ別 "/>
      <sheetName val="工場名"/>
      <sheetName val="生人台帳"/>
      <sheetName val="データ入力"/>
      <sheetName val="43"/>
      <sheetName val="表紙"/>
      <sheetName val="#REF"/>
      <sheetName val="契約上棟ｸﾞﾗﾌ"/>
      <sheetName val="de-ta諸元"/>
      <sheetName val="乱数票"/>
      <sheetName val="補償関連元ねた"/>
      <sheetName val="イレブン"/>
      <sheetName val="Effort by Menu Item"/>
      <sheetName val="提案書"/>
      <sheetName val="FS0903"/>
      <sheetName val="０５"/>
      <sheetName val="選択リスト"/>
      <sheetName val="10.20-11.12"/>
      <sheetName val="基本cvs動向"/>
      <sheetName val="MARCH"/>
      <sheetName val="2017年１２月"/>
      <sheetName val="乱数表"/>
      <sheetName val="94在庫予算_(明細別)"/>
      <sheetName val="本年計画_"/>
      <sheetName val="一般用ｶﾃｺﾞﾘｰ別_"/>
      <sheetName val="HowtoUse"/>
      <sheetName val="RD9505A"/>
      <sheetName val="新Ｍ別"/>
      <sheetName val="リスト項目"/>
      <sheetName val="万代比数"/>
      <sheetName val="p.42"/>
      <sheetName val="チラシ実績"/>
      <sheetName val="ｶﾃｺﾞﾘｰ"/>
      <sheetName val="p_421"/>
      <sheetName val="10_20-11_121"/>
      <sheetName val="p_42"/>
      <sheetName val="10_20-11_12"/>
      <sheetName val="記入ﾌｫｰﾑ"/>
      <sheetName val="品名ﾏｽﾀｰ表"/>
      <sheetName val="イオンＷＳドリンク剤"/>
      <sheetName val="大正ドリンク剤"/>
      <sheetName val="田辺ドリンク剤"/>
      <sheetName val="戦略（リ・ア）"/>
      <sheetName val="ﾏｸﾛ"/>
      <sheetName val="ﾘﾍﾞｰﾄﾗﾝｸ2000"/>
      <sheetName val="限定特価商品案内"/>
      <sheetName val="8以上社員"/>
      <sheetName val="累計同週実績"/>
      <sheetName val="biz"/>
      <sheetName val="ライオン"/>
      <sheetName val="会員推移"/>
      <sheetName val="関データ"/>
      <sheetName val="神データ"/>
      <sheetName val="販売予算"/>
      <sheetName val="商品データ"/>
      <sheetName val="店別配荷表"/>
      <sheetName val="元データ"/>
      <sheetName val="線香"/>
      <sheetName val="BASE"/>
      <sheetName val="lookup2018"/>
      <sheetName val="リスト"/>
      <sheetName val="criteria"/>
      <sheetName val="マスタ"/>
      <sheetName val="店舗属性"/>
      <sheetName val="提出区分"/>
      <sheetName val="Ｐ１５"/>
      <sheetName val="商品ﾏｽﾀｰ(1月25日)"/>
      <sheetName val="1"/>
      <sheetName val="マスター"/>
      <sheetName val="クロス昨年"/>
      <sheetName val="クロス売上"/>
      <sheetName val="入力用"/>
      <sheetName val="shere"/>
      <sheetName val="LIST"/>
      <sheetName val="企業ﾘｽﾄ"/>
      <sheetName val="4_hashihara04"/>
      <sheetName val="HC"/>
      <sheetName val="H7昇格者"/>
      <sheetName val="製造原価"/>
      <sheetName val="１業種"/>
      <sheetName val="table"/>
      <sheetName val="For Hier template"/>
      <sheetName val="HA実販"/>
      <sheetName val="請求単価の一覧"/>
      <sheetName val="配荷目標"/>
      <sheetName val="休日設定"/>
      <sheetName val="銘柄７（浸透ﾗﾝｸ）"/>
      <sheetName val="④消耗品仕入表"/>
      <sheetName val="Macro1"/>
      <sheetName val="仕入計画AI8月"/>
      <sheetName val="ｷﾞﾌﾄ"/>
      <sheetName val="(選択値)"/>
      <sheetName val="(単体ﾃｽﾄ)"/>
      <sheetName val="(機能定義書)"/>
      <sheetName val="(内部設計書)"/>
      <sheetName val="(外部設計書)"/>
      <sheetName val="×××"/>
      <sheetName val="テスト日"/>
      <sheetName val="月別金額"/>
      <sheetName val="人件費DATA"/>
      <sheetName val="経費DATA"/>
      <sheetName val="全国ﾊﾞﾗＨ１１"/>
      <sheetName val="ﾊﾞﾗ全国Ｈ１０"/>
      <sheetName val="MCDSS"/>
      <sheetName val="17年度実績 (2)"/>
      <sheetName val="17年度前年"/>
      <sheetName val="09カテゴリー別"/>
      <sheetName val="アカカベ様"/>
      <sheetName val="◎_OL10他業務用酒販店（ｾｸﾞD除き）"/>
      <sheetName val="地区リスト"/>
      <sheetName val="原価センター"/>
      <sheetName val="非表示"/>
      <sheetName val="spot金額"/>
      <sheetName val="媒体_クーポン認識No_目的別_販促コード依頼"/>
      <sheetName val="問3×4"/>
      <sheetName val="大型店版"/>
      <sheetName val="ｵｰﾗﾙ台帳 (2)"/>
      <sheetName val="A"/>
      <sheetName val="ＭＳＴ"/>
      <sheetName val="NST (4)"/>
      <sheetName val="精算書ｓｉｍ"/>
      <sheetName val="POSクーポンコンテンツ（実際の券面）"/>
      <sheetName val="個数単価推移２００１"/>
      <sheetName val="Sheet4"/>
      <sheetName val="7月30日"/>
      <sheetName val="7月24日"/>
      <sheetName val="経予管98上"/>
      <sheetName val="一覧表"/>
      <sheetName val="分類定義"/>
      <sheetName val="Brand"/>
      <sheetName val="lookup2019"/>
      <sheetName val="ﾘｽﾄ"/>
      <sheetName val="102期　6月議題"/>
    </sheetNames>
    <sheetDataSet>
      <sheetData sheetId="0" refreshError="1">
        <row r="5">
          <cell r="E5" t="str">
            <v>{MENU}ppra24.j36~oitil0~ic2~{ESC}eolcwyey{ESC}s1lbqqagq</v>
          </cell>
        </row>
        <row r="16">
          <cell r="E16" t="str">
            <v>{MENU}pprbh248.bv298~oisil0~{ESC}eolcwyey{ESC}s4lbqqagq</v>
          </cell>
        </row>
        <row r="19">
          <cell r="E19" t="str">
            <v>{MENU}pprk77.n112~oisil0~{ESC}eopcwyey{ESC}s1lbqqagq</v>
          </cell>
        </row>
        <row r="21">
          <cell r="E21" t="str">
            <v>{MENU}pprav221.bb241~oisil0~{ESC}eolcwyey{ESC}s1lbqqagq</v>
          </cell>
        </row>
        <row r="47">
          <cell r="M47" t="str">
            <v xml:space="preserve"> ７３期</v>
          </cell>
          <cell r="O47" t="str">
            <v xml:space="preserve"> </v>
          </cell>
          <cell r="P47" t="str">
            <v/>
          </cell>
        </row>
        <row r="48">
          <cell r="M48" t="str">
            <v xml:space="preserve"> ７４期</v>
          </cell>
          <cell r="O48">
            <v>16251</v>
          </cell>
          <cell r="P48" t="str">
            <v/>
          </cell>
        </row>
        <row r="49">
          <cell r="M49" t="str">
            <v xml:space="preserve"> ７５期</v>
          </cell>
          <cell r="O49">
            <v>23887</v>
          </cell>
          <cell r="P49">
            <v>1.4698787766906651</v>
          </cell>
        </row>
        <row r="50">
          <cell r="M50" t="str">
            <v xml:space="preserve"> ７６期 ('94-95)</v>
          </cell>
          <cell r="O50">
            <v>26941</v>
          </cell>
          <cell r="P50">
            <v>1.1278519696906266</v>
          </cell>
        </row>
        <row r="51">
          <cell r="M51" t="str">
            <v xml:space="preserve"> ７７期 ('95-96)</v>
          </cell>
          <cell r="O51">
            <v>29000</v>
          </cell>
          <cell r="P51">
            <v>1.0764262648008611</v>
          </cell>
        </row>
        <row r="55">
          <cell r="AD55" t="str">
            <v>１０月</v>
          </cell>
          <cell r="AE55" t="str">
            <v>１１月</v>
          </cell>
          <cell r="AF55" t="str">
            <v>１２月</v>
          </cell>
          <cell r="AG55" t="str">
            <v>１月</v>
          </cell>
          <cell r="AH55" t="str">
            <v>２月</v>
          </cell>
          <cell r="AI55" t="str">
            <v>３月</v>
          </cell>
          <cell r="AJ55" t="str">
            <v>４月</v>
          </cell>
          <cell r="AK55" t="str">
            <v>５月</v>
          </cell>
          <cell r="AL55" t="str">
            <v>６月</v>
          </cell>
          <cell r="AM55" t="str">
            <v>７月</v>
          </cell>
          <cell r="AN55" t="str">
            <v>８月</v>
          </cell>
          <cell r="AO55" t="str">
            <v>９月</v>
          </cell>
        </row>
        <row r="56">
          <cell r="M56" t="str">
            <v>１０月</v>
          </cell>
          <cell r="N56" t="str">
            <v>１１月</v>
          </cell>
          <cell r="O56" t="str">
            <v>１２月</v>
          </cell>
          <cell r="P56" t="str">
            <v>１月</v>
          </cell>
          <cell r="Q56" t="str">
            <v>２月</v>
          </cell>
          <cell r="R56" t="str">
            <v>３月</v>
          </cell>
          <cell r="S56" t="str">
            <v>４月</v>
          </cell>
          <cell r="T56" t="str">
            <v>５月</v>
          </cell>
          <cell r="U56" t="str">
            <v>６月</v>
          </cell>
          <cell r="V56" t="str">
            <v>７月</v>
          </cell>
          <cell r="W56" t="str">
            <v>８月</v>
          </cell>
          <cell r="X56" t="str">
            <v>９月</v>
          </cell>
        </row>
        <row r="57">
          <cell r="AD57">
            <v>20</v>
          </cell>
          <cell r="AE57">
            <v>48</v>
          </cell>
          <cell r="AF57">
            <v>54</v>
          </cell>
          <cell r="AG57">
            <v>12</v>
          </cell>
          <cell r="AH57">
            <v>29</v>
          </cell>
          <cell r="AI57">
            <v>30</v>
          </cell>
          <cell r="AJ57">
            <v>43</v>
          </cell>
          <cell r="AK57">
            <v>46</v>
          </cell>
          <cell r="AL57">
            <v>42</v>
          </cell>
          <cell r="AM57">
            <v>45</v>
          </cell>
          <cell r="AN57">
            <v>24</v>
          </cell>
          <cell r="AO57">
            <v>28</v>
          </cell>
        </row>
        <row r="58">
          <cell r="AD58">
            <v>401</v>
          </cell>
          <cell r="AE58">
            <v>47</v>
          </cell>
          <cell r="AF58">
            <v>41</v>
          </cell>
          <cell r="AG58">
            <v>8</v>
          </cell>
          <cell r="AH58">
            <v>586</v>
          </cell>
          <cell r="AI58">
            <v>147</v>
          </cell>
          <cell r="AJ58">
            <v>376</v>
          </cell>
          <cell r="AK58">
            <v>188</v>
          </cell>
          <cell r="AL58">
            <v>90</v>
          </cell>
          <cell r="AM58">
            <v>90</v>
          </cell>
          <cell r="AN58">
            <v>238</v>
          </cell>
          <cell r="AO58">
            <v>819</v>
          </cell>
        </row>
        <row r="59">
          <cell r="AD59">
            <v>33</v>
          </cell>
          <cell r="AE59">
            <v>117</v>
          </cell>
          <cell r="AF59">
            <v>85</v>
          </cell>
          <cell r="AG59">
            <v>56</v>
          </cell>
          <cell r="AH59">
            <v>46</v>
          </cell>
          <cell r="AI59">
            <v>29</v>
          </cell>
          <cell r="AJ59">
            <v>36</v>
          </cell>
          <cell r="AK59">
            <v>10</v>
          </cell>
          <cell r="AL59">
            <v>12</v>
          </cell>
          <cell r="AM59">
            <v>20</v>
          </cell>
          <cell r="AN59">
            <v>35</v>
          </cell>
          <cell r="AO59">
            <v>85</v>
          </cell>
        </row>
        <row r="60">
          <cell r="AD60">
            <v>1547</v>
          </cell>
          <cell r="AE60">
            <v>1491</v>
          </cell>
          <cell r="AF60">
            <v>2380</v>
          </cell>
          <cell r="AG60">
            <v>792</v>
          </cell>
          <cell r="AH60">
            <v>891</v>
          </cell>
          <cell r="AI60">
            <v>1224</v>
          </cell>
          <cell r="AJ60">
            <v>1829</v>
          </cell>
          <cell r="AK60">
            <v>1727</v>
          </cell>
          <cell r="AL60">
            <v>1748</v>
          </cell>
          <cell r="AM60">
            <v>1547</v>
          </cell>
          <cell r="AN60">
            <v>1703</v>
          </cell>
          <cell r="AO60">
            <v>1890</v>
          </cell>
        </row>
        <row r="61">
          <cell r="AD61">
            <v>29</v>
          </cell>
          <cell r="AE61">
            <v>21</v>
          </cell>
          <cell r="AF61">
            <v>84</v>
          </cell>
          <cell r="AG61">
            <v>27</v>
          </cell>
          <cell r="AH61">
            <v>65</v>
          </cell>
          <cell r="AI61">
            <v>32</v>
          </cell>
          <cell r="AJ61">
            <v>85</v>
          </cell>
          <cell r="AK61">
            <v>53</v>
          </cell>
          <cell r="AL61">
            <v>67</v>
          </cell>
          <cell r="AM61">
            <v>71</v>
          </cell>
          <cell r="AN61">
            <v>90</v>
          </cell>
          <cell r="AO61">
            <v>119</v>
          </cell>
        </row>
        <row r="63">
          <cell r="M63">
            <v>1847</v>
          </cell>
          <cell r="N63">
            <v>1847</v>
          </cell>
          <cell r="O63">
            <v>1847</v>
          </cell>
          <cell r="P63">
            <v>1847</v>
          </cell>
          <cell r="Q63">
            <v>1847</v>
          </cell>
          <cell r="R63">
            <v>1847</v>
          </cell>
          <cell r="S63">
            <v>1847</v>
          </cell>
          <cell r="T63">
            <v>1847</v>
          </cell>
          <cell r="U63">
            <v>1847</v>
          </cell>
          <cell r="V63">
            <v>1847</v>
          </cell>
          <cell r="W63">
            <v>1847</v>
          </cell>
          <cell r="X63">
            <v>1847</v>
          </cell>
        </row>
        <row r="64">
          <cell r="M64">
            <v>1387.9070694935217</v>
          </cell>
          <cell r="N64">
            <v>4734.441345111888</v>
          </cell>
          <cell r="O64">
            <v>8254.5601083627698</v>
          </cell>
          <cell r="P64">
            <v>9712.9587051432954</v>
          </cell>
          <cell r="Q64">
            <v>11695.057561837446</v>
          </cell>
          <cell r="R64">
            <v>13972.182094228494</v>
          </cell>
          <cell r="S64">
            <v>16617.223830388684</v>
          </cell>
          <cell r="T64">
            <v>18894.348362779732</v>
          </cell>
          <cell r="U64">
            <v>21032.230275618367</v>
          </cell>
          <cell r="V64">
            <v>23521.488955634071</v>
          </cell>
          <cell r="W64">
            <v>25841.75272006281</v>
          </cell>
          <cell r="X64">
            <v>28221.579435414205</v>
          </cell>
        </row>
        <row r="65">
          <cell r="M65">
            <v>2266</v>
          </cell>
          <cell r="N65">
            <v>4253</v>
          </cell>
          <cell r="O65">
            <v>7332</v>
          </cell>
          <cell r="P65">
            <v>8358</v>
          </cell>
          <cell r="Q65">
            <v>10104</v>
          </cell>
          <cell r="R65">
            <v>11828</v>
          </cell>
          <cell r="S65">
            <v>14513</v>
          </cell>
          <cell r="T65">
            <v>16758</v>
          </cell>
          <cell r="U65">
            <v>19107</v>
          </cell>
          <cell r="V65">
            <v>21154</v>
          </cell>
          <cell r="W65">
            <v>23458</v>
          </cell>
          <cell r="X65">
            <v>26809</v>
          </cell>
        </row>
        <row r="69">
          <cell r="AD69">
            <v>2502</v>
          </cell>
          <cell r="AE69">
            <v>2250</v>
          </cell>
          <cell r="AF69">
            <v>3514</v>
          </cell>
          <cell r="AG69">
            <v>1157</v>
          </cell>
          <cell r="AH69">
            <v>1875</v>
          </cell>
          <cell r="AI69">
            <v>1986</v>
          </cell>
          <cell r="AJ69">
            <v>3001</v>
          </cell>
          <cell r="AK69">
            <v>2466</v>
          </cell>
          <cell r="AL69">
            <v>2739</v>
          </cell>
          <cell r="AM69">
            <v>2321</v>
          </cell>
          <cell r="AN69">
            <v>2518</v>
          </cell>
          <cell r="AO69">
            <v>3761</v>
          </cell>
        </row>
        <row r="89">
          <cell r="AD89" t="str">
            <v>１０月</v>
          </cell>
          <cell r="AE89" t="str">
            <v>１１月</v>
          </cell>
          <cell r="AF89" t="str">
            <v>１２月</v>
          </cell>
          <cell r="AG89" t="str">
            <v>１月</v>
          </cell>
          <cell r="AH89" t="str">
            <v>２月</v>
          </cell>
          <cell r="AI89" t="str">
            <v>３月</v>
          </cell>
          <cell r="AJ89" t="str">
            <v>４月</v>
          </cell>
          <cell r="AK89" t="str">
            <v>５月</v>
          </cell>
          <cell r="AL89" t="str">
            <v>６月</v>
          </cell>
          <cell r="AM89" t="str">
            <v>７月</v>
          </cell>
          <cell r="AN89" t="str">
            <v>８月</v>
          </cell>
          <cell r="AO89" t="str">
            <v>９月</v>
          </cell>
        </row>
        <row r="95">
          <cell r="AD95">
            <v>0</v>
          </cell>
          <cell r="AE95">
            <v>0</v>
          </cell>
          <cell r="AF95">
            <v>0</v>
          </cell>
          <cell r="AG95">
            <v>0</v>
          </cell>
        </row>
        <row r="96">
          <cell r="AD96">
            <v>0</v>
          </cell>
          <cell r="AE96">
            <v>69.420494699646639</v>
          </cell>
          <cell r="AF96">
            <v>142.31201413427561</v>
          </cell>
          <cell r="AG96">
            <v>172.62563015312131</v>
          </cell>
          <cell r="AH96">
            <v>213.81512367491166</v>
          </cell>
          <cell r="AI96">
            <v>261.02106007067135</v>
          </cell>
          <cell r="AJ96">
            <v>315.8632508833922</v>
          </cell>
          <cell r="AK96">
            <v>363.06918727915189</v>
          </cell>
          <cell r="AL96">
            <v>407.49830388692573</v>
          </cell>
          <cell r="AM96">
            <v>459.10087161366306</v>
          </cell>
          <cell r="AN96">
            <v>507.23241460541806</v>
          </cell>
          <cell r="AO96">
            <v>556.75236749116596</v>
          </cell>
        </row>
        <row r="97">
          <cell r="AD97">
            <v>33</v>
          </cell>
          <cell r="AE97">
            <v>150</v>
          </cell>
          <cell r="AF97">
            <v>235</v>
          </cell>
          <cell r="AG97">
            <v>291</v>
          </cell>
          <cell r="AH97">
            <v>337</v>
          </cell>
          <cell r="AI97">
            <v>366</v>
          </cell>
          <cell r="AJ97">
            <v>402</v>
          </cell>
          <cell r="AK97">
            <v>412</v>
          </cell>
          <cell r="AL97">
            <v>424</v>
          </cell>
          <cell r="AM97">
            <v>444</v>
          </cell>
          <cell r="AN97">
            <v>479</v>
          </cell>
          <cell r="AO97">
            <v>564</v>
          </cell>
        </row>
        <row r="105">
          <cell r="AD105">
            <v>0</v>
          </cell>
          <cell r="AE105">
            <v>0</v>
          </cell>
          <cell r="AF105">
            <v>0</v>
          </cell>
          <cell r="AG105">
            <v>0</v>
          </cell>
        </row>
        <row r="106">
          <cell r="AD106">
            <v>0</v>
          </cell>
          <cell r="AE106">
            <v>94.515901060070675</v>
          </cell>
          <cell r="AF106">
            <v>193.75759717314489</v>
          </cell>
          <cell r="AG106">
            <v>235.02954063604241</v>
          </cell>
          <cell r="AH106">
            <v>291.1089752650177</v>
          </cell>
          <cell r="AI106">
            <v>355.37978798586573</v>
          </cell>
          <cell r="AJ106">
            <v>430.04734982332155</v>
          </cell>
          <cell r="AK106">
            <v>494.31816254416958</v>
          </cell>
          <cell r="AL106">
            <v>554.80833922261479</v>
          </cell>
          <cell r="AM106">
            <v>625.06515901060061</v>
          </cell>
          <cell r="AN106">
            <v>690.59618374558295</v>
          </cell>
          <cell r="AO106">
            <v>758.01752650176672</v>
          </cell>
        </row>
        <row r="107">
          <cell r="AD107">
            <v>29</v>
          </cell>
          <cell r="AE107">
            <v>50</v>
          </cell>
          <cell r="AF107">
            <v>134</v>
          </cell>
          <cell r="AG107">
            <v>161</v>
          </cell>
          <cell r="AH107">
            <v>226</v>
          </cell>
          <cell r="AI107">
            <v>258</v>
          </cell>
          <cell r="AJ107">
            <v>343</v>
          </cell>
          <cell r="AK107">
            <v>396</v>
          </cell>
          <cell r="AL107">
            <v>463</v>
          </cell>
          <cell r="AM107">
            <v>534</v>
          </cell>
          <cell r="AN107">
            <v>624</v>
          </cell>
          <cell r="AO107">
            <v>743</v>
          </cell>
        </row>
        <row r="115">
          <cell r="AD115">
            <v>0</v>
          </cell>
          <cell r="AE115">
            <v>0</v>
          </cell>
          <cell r="AF115">
            <v>0</v>
          </cell>
          <cell r="AG115">
            <v>0</v>
          </cell>
        </row>
        <row r="116">
          <cell r="AD116">
            <v>0</v>
          </cell>
          <cell r="AE116">
            <v>51.571260306242642</v>
          </cell>
          <cell r="AF116">
            <v>105.72108362779741</v>
          </cell>
          <cell r="AG116">
            <v>128.24053396152337</v>
          </cell>
          <cell r="AH116">
            <v>158.83948174322734</v>
          </cell>
          <cell r="AI116">
            <v>193.90793875147233</v>
          </cell>
          <cell r="AJ116">
            <v>234.64923439340402</v>
          </cell>
          <cell r="AK116">
            <v>269.71769140164901</v>
          </cell>
          <cell r="AL116">
            <v>302.72329799764429</v>
          </cell>
          <cell r="AM116">
            <v>341.05793482528463</v>
          </cell>
          <cell r="AN116">
            <v>376.81400863761286</v>
          </cell>
          <cell r="AO116">
            <v>413.60150765606596</v>
          </cell>
        </row>
        <row r="117">
          <cell r="AD117">
            <v>20</v>
          </cell>
          <cell r="AE117">
            <v>68</v>
          </cell>
          <cell r="AF117">
            <v>122</v>
          </cell>
          <cell r="AG117">
            <v>134</v>
          </cell>
          <cell r="AH117">
            <v>163</v>
          </cell>
          <cell r="AI117">
            <v>193</v>
          </cell>
          <cell r="AJ117">
            <v>236</v>
          </cell>
          <cell r="AK117">
            <v>282</v>
          </cell>
          <cell r="AL117">
            <v>324</v>
          </cell>
          <cell r="AM117">
            <v>369</v>
          </cell>
          <cell r="AN117">
            <v>393</v>
          </cell>
          <cell r="AO117">
            <v>421</v>
          </cell>
        </row>
        <row r="125">
          <cell r="AD125">
            <v>0</v>
          </cell>
          <cell r="AE125">
            <v>0</v>
          </cell>
          <cell r="AF125">
            <v>0</v>
          </cell>
          <cell r="AG125">
            <v>0</v>
          </cell>
        </row>
        <row r="126">
          <cell r="AD126">
            <v>0</v>
          </cell>
          <cell r="AE126">
            <v>174.2661955241461</v>
          </cell>
          <cell r="AF126">
            <v>357.24570082449952</v>
          </cell>
          <cell r="AG126">
            <v>433.34193953671002</v>
          </cell>
          <cell r="AH126">
            <v>536.73988221437003</v>
          </cell>
          <cell r="AI126">
            <v>655.24089517078937</v>
          </cell>
          <cell r="AJ126">
            <v>792.91118963486474</v>
          </cell>
          <cell r="AK126">
            <v>911.41220259128409</v>
          </cell>
          <cell r="AL126">
            <v>1022.9425677267376</v>
          </cell>
          <cell r="AM126">
            <v>1152.4804397330195</v>
          </cell>
          <cell r="AN126">
            <v>1273.3050019630941</v>
          </cell>
          <cell r="AO126">
            <v>1397.6148881036515</v>
          </cell>
        </row>
        <row r="127">
          <cell r="AD127">
            <v>122</v>
          </cell>
          <cell r="AE127">
            <v>273</v>
          </cell>
          <cell r="AF127">
            <v>411</v>
          </cell>
          <cell r="AG127">
            <v>472</v>
          </cell>
          <cell r="AH127">
            <v>553</v>
          </cell>
          <cell r="AI127">
            <v>733</v>
          </cell>
          <cell r="AJ127">
            <v>850</v>
          </cell>
          <cell r="AK127">
            <v>919</v>
          </cell>
          <cell r="AL127">
            <v>1111</v>
          </cell>
          <cell r="AM127">
            <v>1188</v>
          </cell>
          <cell r="AN127">
            <v>1262</v>
          </cell>
          <cell r="AO127">
            <v>1321</v>
          </cell>
        </row>
        <row r="140">
          <cell r="AD140">
            <v>0</v>
          </cell>
          <cell r="AE140">
            <v>0</v>
          </cell>
          <cell r="AF140">
            <v>0</v>
          </cell>
          <cell r="AG140">
            <v>0</v>
          </cell>
        </row>
        <row r="141">
          <cell r="AD141">
            <v>1110</v>
          </cell>
          <cell r="AE141">
            <v>3475.4687868080032</v>
          </cell>
          <cell r="AF141">
            <v>5965.4687868080036</v>
          </cell>
          <cell r="AG141">
            <v>6995.4687868080036</v>
          </cell>
          <cell r="AH141">
            <v>8395.4687868080036</v>
          </cell>
          <cell r="AI141">
            <v>10005.468786808004</v>
          </cell>
          <cell r="AJ141">
            <v>11875.468786808004</v>
          </cell>
          <cell r="AK141">
            <v>13485.468786808004</v>
          </cell>
          <cell r="AL141">
            <v>14995.468786808004</v>
          </cell>
          <cell r="AM141">
            <v>16755.468786808004</v>
          </cell>
          <cell r="AN141">
            <v>18395.527145661556</v>
          </cell>
          <cell r="AO141">
            <v>20075.527145661556</v>
          </cell>
        </row>
        <row r="142">
          <cell r="AD142">
            <v>1547</v>
          </cell>
          <cell r="AE142">
            <v>3038</v>
          </cell>
          <cell r="AF142">
            <v>5418</v>
          </cell>
          <cell r="AG142">
            <v>6210</v>
          </cell>
          <cell r="AH142">
            <v>7101</v>
          </cell>
          <cell r="AI142">
            <v>8325</v>
          </cell>
          <cell r="AJ142">
            <v>10154</v>
          </cell>
          <cell r="AK142">
            <v>11881</v>
          </cell>
          <cell r="AL142">
            <v>13629</v>
          </cell>
          <cell r="AM142">
            <v>15176</v>
          </cell>
          <cell r="AN142">
            <v>16879</v>
          </cell>
          <cell r="AO142">
            <v>18769</v>
          </cell>
        </row>
        <row r="150">
          <cell r="AD150">
            <v>0</v>
          </cell>
          <cell r="AE150">
            <v>0</v>
          </cell>
          <cell r="AF150">
            <v>0</v>
          </cell>
          <cell r="AG150">
            <v>0</v>
          </cell>
        </row>
        <row r="151">
          <cell r="AD151">
            <v>161.08212014134267</v>
          </cell>
          <cell r="AE151">
            <v>503.81003533568804</v>
          </cell>
          <cell r="AF151">
            <v>863.67434628975047</v>
          </cell>
          <cell r="AG151">
            <v>1013.3322025912817</v>
          </cell>
          <cell r="AH151">
            <v>1216.684098939927</v>
          </cell>
          <cell r="AI151">
            <v>1449.7390812720826</v>
          </cell>
          <cell r="AJ151">
            <v>1720.494134275616</v>
          </cell>
          <cell r="AK151">
            <v>1953.5491166077716</v>
          </cell>
          <cell r="AL151">
            <v>2172.8949823321532</v>
          </cell>
          <cell r="AM151">
            <v>2427.6560659599504</v>
          </cell>
          <cell r="AN151">
            <v>2665.2807538280304</v>
          </cell>
          <cell r="AO151">
            <v>2909.7599999999975</v>
          </cell>
        </row>
        <row r="152">
          <cell r="AD152">
            <v>401</v>
          </cell>
          <cell r="AE152">
            <v>448</v>
          </cell>
          <cell r="AF152">
            <v>489</v>
          </cell>
          <cell r="AG152">
            <v>497</v>
          </cell>
          <cell r="AH152">
            <v>1083</v>
          </cell>
          <cell r="AI152">
            <v>1230</v>
          </cell>
          <cell r="AJ152">
            <v>1606</v>
          </cell>
          <cell r="AK152">
            <v>1794</v>
          </cell>
          <cell r="AL152">
            <v>1884</v>
          </cell>
          <cell r="AM152">
            <v>1974</v>
          </cell>
          <cell r="AN152">
            <v>2212</v>
          </cell>
          <cell r="AO152">
            <v>3031</v>
          </cell>
        </row>
        <row r="160">
          <cell r="AD160">
            <v>0</v>
          </cell>
          <cell r="AE160">
            <v>0</v>
          </cell>
          <cell r="AF160">
            <v>0</v>
          </cell>
          <cell r="AG160">
            <v>0</v>
          </cell>
        </row>
        <row r="161">
          <cell r="AD161">
            <v>1.8268551236749109</v>
          </cell>
          <cell r="AE161">
            <v>5.7137809187279043</v>
          </cell>
          <cell r="AF161">
            <v>9.7950530035335461</v>
          </cell>
          <cell r="AG161">
            <v>11.492343934040024</v>
          </cell>
          <cell r="AH161">
            <v>13.79858657243814</v>
          </cell>
          <cell r="AI161">
            <v>16.441696113074183</v>
          </cell>
          <cell r="AJ161">
            <v>19.512367491166057</v>
          </cell>
          <cell r="AK161">
            <v>22.1554770318021</v>
          </cell>
          <cell r="AL161">
            <v>24.643109540636022</v>
          </cell>
          <cell r="AM161">
            <v>27.532391048292087</v>
          </cell>
          <cell r="AN161">
            <v>30.227326266195504</v>
          </cell>
          <cell r="AO161">
            <v>32.999999999999979</v>
          </cell>
        </row>
        <row r="162">
          <cell r="AD162">
            <v>9</v>
          </cell>
          <cell r="AE162">
            <v>9</v>
          </cell>
          <cell r="AF162">
            <v>9</v>
          </cell>
          <cell r="AG162">
            <v>9</v>
          </cell>
          <cell r="AH162">
            <v>9</v>
          </cell>
          <cell r="AI162">
            <v>9</v>
          </cell>
          <cell r="AJ162">
            <v>9</v>
          </cell>
          <cell r="AK162">
            <v>9</v>
          </cell>
          <cell r="AL162">
            <v>9</v>
          </cell>
          <cell r="AM162">
            <v>21</v>
          </cell>
          <cell r="AN162">
            <v>33</v>
          </cell>
          <cell r="AO162">
            <v>33</v>
          </cell>
        </row>
        <row r="170">
          <cell r="AD170">
            <v>0</v>
          </cell>
          <cell r="AE170">
            <v>0</v>
          </cell>
          <cell r="AF170">
            <v>0</v>
          </cell>
          <cell r="AG170">
            <v>0</v>
          </cell>
        </row>
        <row r="171">
          <cell r="AD171">
            <v>114.99809422850407</v>
          </cell>
          <cell r="AE171">
            <v>359.67489045936327</v>
          </cell>
          <cell r="AF171">
            <v>616.58552650176534</v>
          </cell>
          <cell r="AG171">
            <v>723.42772752257406</v>
          </cell>
          <cell r="AH171">
            <v>868.60262661955085</v>
          </cell>
          <cell r="AI171">
            <v>1034.9828480565357</v>
          </cell>
          <cell r="AJ171">
            <v>1228.277517078915</v>
          </cell>
          <cell r="AK171">
            <v>1394.6577385158998</v>
          </cell>
          <cell r="AL171">
            <v>1551.2508881036501</v>
          </cell>
          <cell r="AM171">
            <v>1733.127306635256</v>
          </cell>
          <cell r="AN171">
            <v>1902.7698853553188</v>
          </cell>
          <cell r="AO171">
            <v>2077.3059999999987</v>
          </cell>
        </row>
        <row r="172">
          <cell r="AD172">
            <v>105</v>
          </cell>
          <cell r="AE172">
            <v>217</v>
          </cell>
          <cell r="AF172">
            <v>514</v>
          </cell>
          <cell r="AG172">
            <v>584</v>
          </cell>
          <cell r="AH172">
            <v>632</v>
          </cell>
          <cell r="AI172">
            <v>714</v>
          </cell>
          <cell r="AJ172">
            <v>913</v>
          </cell>
          <cell r="AK172">
            <v>1065</v>
          </cell>
          <cell r="AL172">
            <v>1263</v>
          </cell>
          <cell r="AM172">
            <v>1448</v>
          </cell>
          <cell r="AN172">
            <v>1576</v>
          </cell>
          <cell r="AO172">
            <v>1927</v>
          </cell>
        </row>
        <row r="185">
          <cell r="AD185">
            <v>0</v>
          </cell>
          <cell r="AE185">
            <v>0</v>
          </cell>
          <cell r="AF185">
            <v>0</v>
          </cell>
          <cell r="AG185">
            <v>0</v>
          </cell>
        </row>
        <row r="186">
          <cell r="AD186">
            <v>1387.9070694935217</v>
          </cell>
          <cell r="AE186">
            <v>4734.441345111888</v>
          </cell>
          <cell r="AF186">
            <v>8254.5601083627698</v>
          </cell>
          <cell r="AG186">
            <v>9712.9587051432954</v>
          </cell>
          <cell r="AH186">
            <v>11695.057561837446</v>
          </cell>
          <cell r="AI186">
            <v>13972.182094228494</v>
          </cell>
          <cell r="AJ186">
            <v>16617.223830388684</v>
          </cell>
          <cell r="AK186">
            <v>18894.348362779732</v>
          </cell>
          <cell r="AL186">
            <v>21032.230275618367</v>
          </cell>
          <cell r="AM186">
            <v>23521.488955634071</v>
          </cell>
          <cell r="AN186">
            <v>25841.75272006281</v>
          </cell>
          <cell r="AO186">
            <v>28221.579435414205</v>
          </cell>
        </row>
        <row r="187">
          <cell r="AD187">
            <v>2266</v>
          </cell>
          <cell r="AE187">
            <v>4253</v>
          </cell>
          <cell r="AF187">
            <v>7332</v>
          </cell>
          <cell r="AG187">
            <v>8358</v>
          </cell>
          <cell r="AH187">
            <v>10104</v>
          </cell>
          <cell r="AI187">
            <v>11828</v>
          </cell>
          <cell r="AJ187">
            <v>14513</v>
          </cell>
          <cell r="AK187">
            <v>16758</v>
          </cell>
          <cell r="AL187">
            <v>19107</v>
          </cell>
          <cell r="AM187">
            <v>21154</v>
          </cell>
          <cell r="AN187">
            <v>23458</v>
          </cell>
          <cell r="AO187">
            <v>26809</v>
          </cell>
        </row>
        <row r="195">
          <cell r="AD195">
            <v>0</v>
          </cell>
          <cell r="AE195">
            <v>0</v>
          </cell>
          <cell r="AF195">
            <v>0</v>
          </cell>
          <cell r="AG195">
            <v>0</v>
          </cell>
          <cell r="AH195">
            <v>0</v>
          </cell>
          <cell r="AI195">
            <v>0</v>
          </cell>
          <cell r="AJ195">
            <v>0</v>
          </cell>
          <cell r="AK195">
            <v>0</v>
          </cell>
          <cell r="AL195">
            <v>0</v>
          </cell>
        </row>
        <row r="196">
          <cell r="AD196">
            <v>0</v>
          </cell>
          <cell r="AE196">
            <v>0</v>
          </cell>
          <cell r="AF196">
            <v>0</v>
          </cell>
          <cell r="AG196">
            <v>0</v>
          </cell>
          <cell r="AH196">
            <v>0</v>
          </cell>
          <cell r="AI196">
            <v>0</v>
          </cell>
          <cell r="AJ196">
            <v>0</v>
          </cell>
          <cell r="AK196">
            <v>0</v>
          </cell>
          <cell r="AL196">
            <v>0</v>
          </cell>
          <cell r="AM196">
            <v>0</v>
          </cell>
          <cell r="AN196">
            <v>0</v>
          </cell>
          <cell r="AO196">
            <v>0</v>
          </cell>
        </row>
        <row r="197">
          <cell r="AD197">
            <v>0</v>
          </cell>
          <cell r="AE197">
            <v>0</v>
          </cell>
          <cell r="AF197">
            <v>0</v>
          </cell>
          <cell r="AG197">
            <v>0</v>
          </cell>
          <cell r="AH197">
            <v>0</v>
          </cell>
          <cell r="AI197">
            <v>0</v>
          </cell>
          <cell r="AJ197">
            <v>0</v>
          </cell>
          <cell r="AK197">
            <v>0</v>
          </cell>
          <cell r="AL197">
            <v>0</v>
          </cell>
          <cell r="AM197">
            <v>0</v>
          </cell>
          <cell r="AN197">
            <v>0</v>
          </cell>
          <cell r="AO197">
            <v>0</v>
          </cell>
        </row>
        <row r="205">
          <cell r="AD205">
            <v>0</v>
          </cell>
          <cell r="AE205">
            <v>0</v>
          </cell>
          <cell r="AF205">
            <v>0</v>
          </cell>
          <cell r="AG205">
            <v>0</v>
          </cell>
        </row>
        <row r="206">
          <cell r="AD206">
            <v>0</v>
          </cell>
          <cell r="AE206">
            <v>0</v>
          </cell>
          <cell r="AF206">
            <v>0</v>
          </cell>
          <cell r="AG206">
            <v>0</v>
          </cell>
          <cell r="AH206">
            <v>0</v>
          </cell>
          <cell r="AI206">
            <v>0</v>
          </cell>
          <cell r="AJ206">
            <v>0</v>
          </cell>
          <cell r="AK206">
            <v>0</v>
          </cell>
          <cell r="AL206">
            <v>0</v>
          </cell>
          <cell r="AM206">
            <v>0</v>
          </cell>
          <cell r="AN206">
            <v>0</v>
          </cell>
          <cell r="AO206">
            <v>0</v>
          </cell>
        </row>
        <row r="207">
          <cell r="AD207">
            <v>0</v>
          </cell>
          <cell r="AE207">
            <v>0</v>
          </cell>
          <cell r="AF207">
            <v>0</v>
          </cell>
          <cell r="AG207">
            <v>0</v>
          </cell>
          <cell r="AH207">
            <v>0</v>
          </cell>
          <cell r="AI207">
            <v>0</v>
          </cell>
          <cell r="AJ207">
            <v>0</v>
          </cell>
          <cell r="AK207">
            <v>0</v>
          </cell>
          <cell r="AL207">
            <v>0</v>
          </cell>
          <cell r="AM207">
            <v>0</v>
          </cell>
          <cell r="AN207">
            <v>0</v>
          </cell>
          <cell r="AO207">
            <v>0</v>
          </cell>
        </row>
        <row r="215">
          <cell r="AD215">
            <v>0</v>
          </cell>
          <cell r="AE215">
            <v>0</v>
          </cell>
          <cell r="AF215">
            <v>0</v>
          </cell>
          <cell r="AG215">
            <v>0</v>
          </cell>
        </row>
        <row r="216">
          <cell r="AD216">
            <v>0</v>
          </cell>
          <cell r="AE216">
            <v>0</v>
          </cell>
          <cell r="AF216">
            <v>0</v>
          </cell>
          <cell r="AG216">
            <v>0</v>
          </cell>
          <cell r="AH216">
            <v>0</v>
          </cell>
          <cell r="AI216">
            <v>0</v>
          </cell>
          <cell r="AJ216">
            <v>0</v>
          </cell>
          <cell r="AK216">
            <v>0</v>
          </cell>
          <cell r="AL216">
            <v>0</v>
          </cell>
          <cell r="AM216">
            <v>0</v>
          </cell>
          <cell r="AN216">
            <v>0</v>
          </cell>
          <cell r="AO216">
            <v>0</v>
          </cell>
        </row>
        <row r="217">
          <cell r="AD217">
            <v>0</v>
          </cell>
          <cell r="AE217">
            <v>0</v>
          </cell>
          <cell r="AF217">
            <v>0</v>
          </cell>
          <cell r="AG217">
            <v>0</v>
          </cell>
          <cell r="AH217">
            <v>0</v>
          </cell>
          <cell r="AI217">
            <v>0</v>
          </cell>
          <cell r="AJ217">
            <v>0</v>
          </cell>
          <cell r="AK217">
            <v>0</v>
          </cell>
          <cell r="AL217">
            <v>0</v>
          </cell>
          <cell r="AM217">
            <v>0</v>
          </cell>
          <cell r="AN217">
            <v>0</v>
          </cell>
          <cell r="AO217">
            <v>0</v>
          </cell>
        </row>
        <row r="226">
          <cell r="AU226">
            <v>1</v>
          </cell>
          <cell r="AV226" t="str">
            <v>オーラルケア</v>
          </cell>
          <cell r="AW226">
            <v>421</v>
          </cell>
          <cell r="BA226">
            <v>0.31183515769346798</v>
          </cell>
        </row>
        <row r="227">
          <cell r="AU227">
            <v>2</v>
          </cell>
          <cell r="AV227" t="str">
            <v>芳香剤関連</v>
          </cell>
          <cell r="AW227">
            <v>3031</v>
          </cell>
          <cell r="BA227">
            <v>0.23920897836470237</v>
          </cell>
        </row>
        <row r="228">
          <cell r="AU228">
            <v>3</v>
          </cell>
          <cell r="AV228" t="str">
            <v>医薬品</v>
          </cell>
          <cell r="AW228">
            <v>564</v>
          </cell>
          <cell r="BA228">
            <v>0.23726057066979941</v>
          </cell>
        </row>
        <row r="229">
          <cell r="AU229">
            <v>4</v>
          </cell>
          <cell r="AV229" t="str">
            <v>衛生関連</v>
          </cell>
          <cell r="AW229">
            <v>18769</v>
          </cell>
          <cell r="BA229">
            <v>8.3811506383825479E-2</v>
          </cell>
        </row>
        <row r="230">
          <cell r="AU230">
            <v>5</v>
          </cell>
          <cell r="AV230" t="str">
            <v>スキンケア</v>
          </cell>
          <cell r="AW230">
            <v>743</v>
          </cell>
          <cell r="BA230">
            <v>5.5786962186859634E-2</v>
          </cell>
        </row>
        <row r="231">
          <cell r="AU231">
            <v>6</v>
          </cell>
          <cell r="AV231" t="str">
            <v>防虫剤</v>
          </cell>
          <cell r="AW231">
            <v>33</v>
          </cell>
          <cell r="BA231">
            <v>2.7801322366125897E-2</v>
          </cell>
        </row>
        <row r="232">
          <cell r="AU232">
            <v>7</v>
          </cell>
          <cell r="AV232" t="str">
            <v>住居洗剤</v>
          </cell>
          <cell r="AW232">
            <v>26809</v>
          </cell>
          <cell r="BA232">
            <v>1.4780474084902104E-2</v>
          </cell>
        </row>
        <row r="233">
          <cell r="AU233">
            <v>8</v>
          </cell>
          <cell r="AV233" t="str">
            <v>フットケア</v>
          </cell>
          <cell r="AW233">
            <v>1321</v>
          </cell>
          <cell r="BA233">
            <v>1.3313587767953891E-2</v>
          </cell>
        </row>
        <row r="234">
          <cell r="AU234">
            <v>9</v>
          </cell>
          <cell r="AV234" t="str">
            <v>その他</v>
          </cell>
          <cell r="AW234">
            <v>1927</v>
          </cell>
          <cell r="BA234">
            <v>1.6201440482363244E-2</v>
          </cell>
        </row>
        <row r="249">
          <cell r="BK249" t="str">
            <v>１０月</v>
          </cell>
          <cell r="BL249" t="str">
            <v>１１月</v>
          </cell>
          <cell r="BM249" t="str">
            <v>１２月</v>
          </cell>
          <cell r="BN249" t="str">
            <v>１月</v>
          </cell>
          <cell r="BO249" t="str">
            <v>２月</v>
          </cell>
          <cell r="BP249" t="str">
            <v>３月</v>
          </cell>
          <cell r="BQ249" t="str">
            <v>４月</v>
          </cell>
          <cell r="BR249" t="str">
            <v>５月</v>
          </cell>
          <cell r="BS249" t="str">
            <v>６月</v>
          </cell>
          <cell r="BT249" t="str">
            <v>７月</v>
          </cell>
          <cell r="BU249" t="str">
            <v>８月</v>
          </cell>
          <cell r="BV249" t="str">
            <v>９月</v>
          </cell>
        </row>
        <row r="250">
          <cell r="BK250">
            <v>0</v>
          </cell>
          <cell r="BL250">
            <v>0</v>
          </cell>
          <cell r="BM250">
            <v>0</v>
          </cell>
          <cell r="BN250">
            <v>0</v>
          </cell>
          <cell r="BO250">
            <v>0</v>
          </cell>
          <cell r="BP250">
            <v>0</v>
          </cell>
          <cell r="BQ250">
            <v>4</v>
          </cell>
          <cell r="BR250">
            <v>0</v>
          </cell>
          <cell r="BS250">
            <v>0</v>
          </cell>
          <cell r="BT250">
            <v>0</v>
          </cell>
          <cell r="BU250">
            <v>0</v>
          </cell>
          <cell r="BV250">
            <v>0</v>
          </cell>
        </row>
        <row r="251">
          <cell r="BK251">
            <v>2775.8141389870434</v>
          </cell>
          <cell r="BL251">
            <v>6693.0685512367327</v>
          </cell>
          <cell r="BM251">
            <v>7040.2375265017636</v>
          </cell>
          <cell r="BN251">
            <v>2916.7971935610517</v>
          </cell>
          <cell r="BO251">
            <v>3964.1977133882997</v>
          </cell>
          <cell r="BP251">
            <v>4554.2490647820969</v>
          </cell>
          <cell r="BQ251">
            <v>5290.083472320377</v>
          </cell>
          <cell r="BR251">
            <v>4554.2490647820969</v>
          </cell>
          <cell r="BS251">
            <v>4275.7638256772671</v>
          </cell>
          <cell r="BT251">
            <v>4978.5173600314092</v>
          </cell>
          <cell r="BU251">
            <v>4640.5275288574803</v>
          </cell>
          <cell r="BV251">
            <v>4759.6534307027869</v>
          </cell>
        </row>
        <row r="252">
          <cell r="BK252">
            <v>4532</v>
          </cell>
          <cell r="BL252">
            <v>3974</v>
          </cell>
          <cell r="BM252">
            <v>6158</v>
          </cell>
          <cell r="BN252">
            <v>2052</v>
          </cell>
          <cell r="BO252">
            <v>3492</v>
          </cell>
          <cell r="BP252">
            <v>3448</v>
          </cell>
          <cell r="BQ252">
            <v>5370</v>
          </cell>
          <cell r="BR252">
            <v>4490</v>
          </cell>
          <cell r="BS252">
            <v>4698</v>
          </cell>
          <cell r="BT252">
            <v>4094</v>
          </cell>
          <cell r="BU252">
            <v>4608</v>
          </cell>
          <cell r="BV252">
            <v>6702</v>
          </cell>
        </row>
        <row r="256">
          <cell r="BK256">
            <v>0</v>
          </cell>
          <cell r="BL256">
            <v>0</v>
          </cell>
          <cell r="BM256">
            <v>0</v>
          </cell>
          <cell r="BN256">
            <v>0</v>
          </cell>
          <cell r="BO256">
            <v>0</v>
          </cell>
          <cell r="BP256">
            <v>0</v>
          </cell>
          <cell r="BQ256">
            <v>4</v>
          </cell>
          <cell r="BR256">
            <v>4</v>
          </cell>
          <cell r="BS256">
            <v>4</v>
          </cell>
          <cell r="BT256">
            <v>4</v>
          </cell>
          <cell r="BU256">
            <v>4</v>
          </cell>
          <cell r="BV256">
            <v>4</v>
          </cell>
        </row>
        <row r="257">
          <cell r="BK257">
            <v>2775.8141389870434</v>
          </cell>
          <cell r="BL257">
            <v>9468.8826902237761</v>
          </cell>
          <cell r="BM257">
            <v>16509.12021672554</v>
          </cell>
          <cell r="BN257">
            <v>19425.917410286591</v>
          </cell>
          <cell r="BO257">
            <v>23390.115123674892</v>
          </cell>
          <cell r="BP257">
            <v>27944.364188456988</v>
          </cell>
          <cell r="BQ257">
            <v>33234.447660777369</v>
          </cell>
          <cell r="BR257">
            <v>37788.696725559465</v>
          </cell>
          <cell r="BS257">
            <v>42064.460551236734</v>
          </cell>
          <cell r="BT257">
            <v>47042.977911268143</v>
          </cell>
          <cell r="BU257">
            <v>51683.50544012562</v>
          </cell>
          <cell r="BV257">
            <v>56443.158870828411</v>
          </cell>
        </row>
        <row r="258">
          <cell r="BK258">
            <v>4532</v>
          </cell>
          <cell r="BL258">
            <v>8506</v>
          </cell>
          <cell r="BM258">
            <v>14664</v>
          </cell>
          <cell r="BN258">
            <v>16716</v>
          </cell>
          <cell r="BO258">
            <v>20208</v>
          </cell>
          <cell r="BP258">
            <v>23656</v>
          </cell>
          <cell r="BQ258">
            <v>29026</v>
          </cell>
          <cell r="BR258">
            <v>33516</v>
          </cell>
          <cell r="BS258">
            <v>38214</v>
          </cell>
          <cell r="BT258">
            <v>42308</v>
          </cell>
          <cell r="BU258">
            <v>46916</v>
          </cell>
          <cell r="BV258">
            <v>53618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 sheetId="4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8以上社員"/>
      <sheetName val="６期 １１号機活動版"/>
      <sheetName val="ﾌﾟﾚｾﾞﾝ資"/>
      <sheetName val="HA実販"/>
      <sheetName val="LIST"/>
      <sheetName val="H8面接ﾘｽ"/>
      <sheetName val="防虫春分析表"/>
      <sheetName val="Sheet2"/>
      <sheetName val="Sheet1"/>
      <sheetName val="Cost of Goods Manu"/>
      <sheetName val="全件反映リスト"/>
      <sheetName val="簡易スキル表 (今月分)"/>
      <sheetName val="賞与･年収"/>
      <sheetName val="基本データ"/>
      <sheetName val="マスタ"/>
      <sheetName val="ﾏｽﾀ"/>
      <sheetName val="【新規】マスタ"/>
      <sheetName val="H7昇格者"/>
      <sheetName val="MARCH"/>
      <sheetName val="ﾏｽﾀｰ"/>
      <sheetName val="2003夏G長"/>
      <sheetName val="企画書"/>
      <sheetName val="24期経費実績"/>
      <sheetName val="コード表"/>
      <sheetName val="全国"/>
      <sheetName val="その他管理リスト（3.29）"/>
      <sheetName val="提案書"/>
      <sheetName val="①表示資料"/>
      <sheetName val="基本量販店動向"/>
      <sheetName val="リスト"/>
      <sheetName val="【集計用】投資計画"/>
      <sheetName val="master"/>
      <sheetName val="大_中項目"/>
      <sheetName val="入力用シート"/>
      <sheetName val="#REF"/>
      <sheetName val="６期_１１号機活動版"/>
      <sheetName val="Cost_of_Goods_Manu"/>
      <sheetName val="簡易スキル表_(今月分)"/>
      <sheetName val="その他管理リスト（3_29）"/>
      <sheetName val="データ入力"/>
      <sheetName val="TENSO"/>
      <sheetName val="ｶﾃｺﾞﾘｰ"/>
      <sheetName val="RD9501V"/>
      <sheetName val="生人台帳"/>
      <sheetName val="表紙"/>
      <sheetName val="１８年9月 (期中原価表)"/>
      <sheetName val="１０月-１２月期中原価"/>
      <sheetName val="取扱アイテム"/>
      <sheetName val="製品コ－ド表 (１２月末)"/>
      <sheetName val="ｷﾞﾌﾄ・ﾃﾅﾝﾄ除く"/>
      <sheetName val="個数単価推移２００１"/>
      <sheetName val="配荷目標"/>
      <sheetName val="イレブン"/>
      <sheetName val="集計表"/>
      <sheetName val="HINMAS"/>
      <sheetName val="9月　基礎化粧品"/>
      <sheetName val="総括９年"/>
      <sheetName val="XX"/>
      <sheetName val="ｼﾞｬｽｺ"/>
      <sheetName val="記入ﾌｫｰﾑ"/>
      <sheetName val="中止商品データ入力"/>
      <sheetName val="新規商品データ入力"/>
      <sheetName val="配荷ランク"/>
      <sheetName val="⇒チェック用"/>
      <sheetName val="QRＳ"/>
      <sheetName val="ダンジ"/>
      <sheetName val="ﾌﾞﾗﾝﾄﾞﾃﾞｲｽｶｳﾝﾄ"/>
      <sheetName val="全件ﾘｽﾄ"/>
      <sheetName val="ﾃｰﾌﾞﾙｳｪｱ①"/>
      <sheetName val="チェック"/>
      <sheetName val="品目階層一覧"/>
      <sheetName val="M24"/>
      <sheetName val="ｷﾞﾌﾄ"/>
      <sheetName val="取扱商品"/>
      <sheetName val="１１月"/>
      <sheetName val="1_hashihara15"/>
      <sheetName val="9_hashihara15"/>
      <sheetName val="検索③"/>
      <sheetName val="b00611"/>
      <sheetName val="元利合計"/>
      <sheetName val="Effort by Menu Item"/>
      <sheetName val="コクミン"/>
      <sheetName val="ブランド区分"/>
      <sheetName val="製造原価比較"/>
      <sheetName val="shere"/>
      <sheetName val="P1実績①"/>
      <sheetName val="科目リスト"/>
      <sheetName val="ﾃﾞｰﾀ"/>
      <sheetName val="DD領域"/>
      <sheetName val="IFRS_Estimate_Life"/>
      <sheetName val="提出区分"/>
      <sheetName val="店舗属性"/>
      <sheetName val="名称マスタ"/>
      <sheetName val="ファイル№一覧（製品）"/>
      <sheetName val="京浜GNR"/>
      <sheetName val="Ｃ実績①"/>
      <sheetName val="ケチャップ有り"/>
      <sheetName val="マスタシート"/>
      <sheetName val="ｷｯﾁﾝﾊﾞｽﾎﾞﾝくんそこｽﾞﾊﾞﾎﾞﾄﾙﾌﾞﾗｼ抗菌"/>
      <sheetName val="ﾍﾟｯﾄﾎﾞﾄﾙ洗い"/>
      <sheetName val="ﾊﾞｽﾎﾞﾝくんおててスッキリﾌﾞﾗｼ抗菌"/>
      <sheetName val="ﾄｲﾚ床新"/>
      <sheetName val="床キラッと　ﾄﾞﾗｲｼｰﾄ"/>
      <sheetName val="床キラッと　ｳｪｯﾄｼｰﾄ"/>
      <sheetName val="ｿﾞｳｷﾝｶﾞ使えるﾜｲﾊﾟｰｽﾍﾟｱ1P"/>
      <sheetName val="ﾌﾞﾙﾛﾝ"/>
      <sheetName val="水拭き共通ｽﾍﾟｱ"/>
      <sheetName val="から拭き共通ｽﾍﾟｱ "/>
      <sheetName val="ﾓｰﾙﾀﾞｽﾀｰ"/>
      <sheetName val="容量別シェア（年別）　"/>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sheetData sheetId="99"/>
      <sheetData sheetId="100"/>
      <sheetData sheetId="101"/>
      <sheetData sheetId="102"/>
      <sheetData sheetId="103"/>
      <sheetData sheetId="104"/>
      <sheetData sheetId="105"/>
      <sheetData sheetId="106"/>
      <sheetData sheetId="107"/>
      <sheetData sheetId="108"/>
      <sheetData sheetId="10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実販"/>
      <sheetName val="商品ﾏｽﾀｰ(1月25日)"/>
      <sheetName val="8以上社員"/>
      <sheetName val="賞与･年収"/>
      <sheetName val="提案書"/>
      <sheetName val="◎_OL10他業務用酒販店（ｾｸﾞD除き）"/>
      <sheetName val="MARCH"/>
      <sheetName val="防虫春分析表"/>
      <sheetName val="ﾘﾍﾞｰﾄﾗﾝｸ2000"/>
      <sheetName val="#REF"/>
      <sheetName val="台帳"/>
      <sheetName val="SV原紙"/>
      <sheetName val="Sheet1"/>
      <sheetName val="在庫計算用"/>
      <sheetName val="データ入力"/>
      <sheetName val="P1実績①"/>
      <sheetName val="C&amp;F"/>
      <sheetName val="店別明細"/>
      <sheetName val="ｷﾞﾌﾄ"/>
      <sheetName val="着工シェア"/>
      <sheetName val="線香"/>
      <sheetName val="昨対"/>
      <sheetName val="人員＆要員ｼｭﾐﾚｰｼｮﾝ"/>
      <sheetName val="表紙"/>
      <sheetName val="0127000受注処理"/>
      <sheetName val="shtBuff"/>
      <sheetName val="日程"/>
      <sheetName val="生人台帳"/>
      <sheetName val="@ABのMV"/>
      <sheetName val="@CDEのケース－MV"/>
      <sheetName val="@CDEのバラのMV"/>
      <sheetName val="@CDEのケースのMV"/>
      <sheetName val="175(13)"/>
      <sheetName val="労災発生状況"/>
      <sheetName val="NEW95G2"/>
      <sheetName val="RD9501V"/>
      <sheetName val="貼付画面T"/>
      <sheetName val="_REF"/>
      <sheetName val="OLAP"/>
      <sheetName val="基本量販店動向"/>
      <sheetName val="ﾌﾟﾚｾﾞﾝ資"/>
      <sheetName val="POP製作Ｂ"/>
      <sheetName val="PＯＰ制作Ａ新"/>
      <sheetName val="Ｃ実績①"/>
      <sheetName val="基本"/>
      <sheetName val="量販店動向1"/>
      <sheetName val="抽出の条件、配信の方法など"/>
      <sheetName val="経費FMT 管理科目"/>
      <sheetName val="企画書"/>
      <sheetName val="YOMIKIRI"/>
      <sheetName val="#REF!"/>
      <sheetName val="３ヶ月計画書(前半)"/>
      <sheetName val="ｻﾎﾟｰﾀｰ"/>
      <sheetName val="注文書"/>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8以上社員"/>
      <sheetName val="Sheet1"/>
      <sheetName val="H8面接ﾘｽ"/>
      <sheetName val="Cost of Goods Manu"/>
      <sheetName val="ﾌﾟﾚｾﾞﾝ資"/>
      <sheetName val="94在庫予算 (明細別)"/>
      <sheetName val="新魚目町"/>
      <sheetName val="※以下データ触らない！"/>
      <sheetName val="店舗属性"/>
      <sheetName val="季節指数"/>
      <sheetName val="H7昇格者"/>
      <sheetName val="入力リスト"/>
      <sheetName val="提案書"/>
      <sheetName val="ﾏｽﾀｰ"/>
      <sheetName val="企画書"/>
      <sheetName val="ケチャップ有り"/>
      <sheetName val="CD表"/>
      <sheetName val="マスタ①"/>
      <sheetName val="HA実販"/>
      <sheetName val="大_中項目"/>
      <sheetName val="Cost_of_Goods_Manu"/>
      <sheetName val="94在庫予算_(明細別)"/>
      <sheetName val="生人台帳"/>
      <sheetName val="Sheet2"/>
      <sheetName val="データ作成シート"/>
      <sheetName val="提出区分"/>
      <sheetName val="試算表合計"/>
      <sheetName val="RD9501V"/>
      <sheetName val="マスタ"/>
      <sheetName val="量販構成比"/>
      <sheetName val="BASE"/>
      <sheetName val="ﾌﾙｰﾂ村pet"/>
      <sheetName val="取込用"/>
      <sheetName val="商品ﾏｽﾀｰ(1月25日)"/>
      <sheetName val="Sheet1 (2)"/>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CH"/>
      <sheetName val="HA実販"/>
      <sheetName val="#REF"/>
      <sheetName val="8以上社員"/>
      <sheetName val="為替評価_94期2Ｑ"/>
      <sheetName val="ｼﾞｬｽｺ"/>
      <sheetName val="ﾏｽﾀ"/>
      <sheetName val="マスタ"/>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賞与･年収"/>
      <sheetName val="賞与_年収"/>
      <sheetName val="8以上社員"/>
      <sheetName val="６期 １１号機活動版"/>
      <sheetName val="時間"/>
      <sheetName val="H7昇格者"/>
      <sheetName val="Income Statement"/>
      <sheetName val="Balance Sheet"/>
      <sheetName val="賞与?年収"/>
      <sheetName val="ｿﾞｰﾆﾝｸﾞ"/>
      <sheetName val="HA実販"/>
      <sheetName val="配荷目標"/>
      <sheetName val="MARCH"/>
      <sheetName val="崩壊"/>
      <sheetName val="全国"/>
      <sheetName val="１８年9月 (期中原価表)"/>
      <sheetName val="１０月-１２月期中原価"/>
      <sheetName val="取扱アイテム"/>
      <sheetName val="製品コ－ド表 (１２月末)"/>
      <sheetName val="ﾏｽﾀ"/>
      <sheetName val="管理"/>
      <sheetName val="社員給与"/>
      <sheetName val="para"/>
      <sheetName val="Ｔ　データ"/>
      <sheetName val="Ｔ　新黒"/>
      <sheetName val="倉庫別"/>
      <sheetName val="条件"/>
      <sheetName val="棚卸集計表 ５月(6.6 作成)"/>
      <sheetName val="原材料コ－ド"/>
      <sheetName val="10.20-11.12"/>
      <sheetName val="M1"/>
      <sheetName val="M2"/>
      <sheetName val="MG"/>
      <sheetName val="T3"/>
      <sheetName val="T2"/>
      <sheetName val="合体データ"/>
      <sheetName val="個数単価推移２００１"/>
      <sheetName val="ラフ案結果"/>
      <sheetName val="■店舗ﾏｽﾀ1"/>
      <sheetName val="入力"/>
      <sheetName val="DATA"/>
      <sheetName val="FS0903"/>
      <sheetName val="基本データ"/>
    </sheetNames>
    <sheetDataSet>
      <sheetData sheetId="0" refreshError="1">
        <row r="2">
          <cell r="A2" t="str">
            <v>0324</v>
          </cell>
          <cell r="B2" t="str">
            <v>森田　宏　　　　</v>
          </cell>
          <cell r="C2">
            <v>2201010</v>
          </cell>
          <cell r="D2">
            <v>2468190</v>
          </cell>
          <cell r="E2">
            <v>4669200</v>
          </cell>
          <cell r="F2">
            <v>8418410</v>
          </cell>
          <cell r="G2">
            <v>13087610</v>
          </cell>
          <cell r="H2">
            <v>2213730</v>
          </cell>
        </row>
        <row r="3">
          <cell r="A3" t="str">
            <v>0243</v>
          </cell>
          <cell r="B3" t="str">
            <v>赤水　岩男　　　</v>
          </cell>
          <cell r="C3">
            <v>1969070</v>
          </cell>
          <cell r="D3">
            <v>2329460</v>
          </cell>
          <cell r="E3">
            <v>4298530</v>
          </cell>
          <cell r="F3">
            <v>8362668</v>
          </cell>
          <cell r="G3">
            <v>12661198</v>
          </cell>
          <cell r="H3">
            <v>1969460</v>
          </cell>
        </row>
        <row r="4">
          <cell r="A4" t="str">
            <v>0182</v>
          </cell>
          <cell r="B4" t="str">
            <v>岡　稔　　　　　</v>
          </cell>
          <cell r="C4">
            <v>2048730</v>
          </cell>
          <cell r="D4">
            <v>2306870</v>
          </cell>
          <cell r="E4">
            <v>4355600</v>
          </cell>
          <cell r="F4">
            <v>8383347</v>
          </cell>
          <cell r="G4">
            <v>12738947</v>
          </cell>
          <cell r="H4">
            <v>1750780</v>
          </cell>
        </row>
        <row r="5">
          <cell r="A5" t="str">
            <v>0173</v>
          </cell>
          <cell r="B5" t="str">
            <v>白石　勝巳　　　</v>
          </cell>
          <cell r="C5">
            <v>1873860</v>
          </cell>
          <cell r="D5">
            <v>2289060</v>
          </cell>
          <cell r="E5">
            <v>4162920</v>
          </cell>
          <cell r="F5">
            <v>7702897</v>
          </cell>
          <cell r="G5">
            <v>11865817</v>
          </cell>
          <cell r="H5">
            <v>1936180</v>
          </cell>
        </row>
        <row r="6">
          <cell r="A6" t="str">
            <v>0272</v>
          </cell>
          <cell r="B6" t="str">
            <v>吹田　昭　　　　</v>
          </cell>
          <cell r="C6">
            <v>1947900</v>
          </cell>
          <cell r="D6">
            <v>2181150</v>
          </cell>
          <cell r="E6">
            <v>4129050</v>
          </cell>
          <cell r="F6">
            <v>8920853</v>
          </cell>
          <cell r="G6">
            <v>13049903</v>
          </cell>
          <cell r="H6">
            <v>1863470</v>
          </cell>
        </row>
        <row r="7">
          <cell r="A7" t="str">
            <v>0176</v>
          </cell>
          <cell r="B7" t="str">
            <v>根本　克男　　　</v>
          </cell>
          <cell r="C7">
            <v>1949790</v>
          </cell>
          <cell r="D7">
            <v>2173050</v>
          </cell>
          <cell r="E7">
            <v>4122840</v>
          </cell>
          <cell r="F7">
            <v>9087644</v>
          </cell>
          <cell r="G7">
            <v>13210484</v>
          </cell>
          <cell r="H7">
            <v>2022000</v>
          </cell>
        </row>
        <row r="8">
          <cell r="A8" t="str">
            <v>0298</v>
          </cell>
          <cell r="B8" t="str">
            <v>永原　知晴　　　</v>
          </cell>
          <cell r="C8">
            <v>1935210</v>
          </cell>
          <cell r="D8">
            <v>2157990</v>
          </cell>
          <cell r="E8">
            <v>4093200</v>
          </cell>
          <cell r="F8">
            <v>8615389</v>
          </cell>
          <cell r="G8">
            <v>12708589</v>
          </cell>
          <cell r="H8">
            <v>1935490</v>
          </cell>
        </row>
        <row r="9">
          <cell r="A9" t="str">
            <v>0215</v>
          </cell>
          <cell r="B9" t="str">
            <v>中対　昭一　　　</v>
          </cell>
          <cell r="C9">
            <v>1929220</v>
          </cell>
          <cell r="D9">
            <v>2155470</v>
          </cell>
          <cell r="E9">
            <v>4084690</v>
          </cell>
          <cell r="F9">
            <v>7749713</v>
          </cell>
          <cell r="G9">
            <v>11834403</v>
          </cell>
          <cell r="H9">
            <v>1841540</v>
          </cell>
        </row>
        <row r="10">
          <cell r="A10" t="str">
            <v>0295</v>
          </cell>
          <cell r="B10" t="str">
            <v>橋本　健一　　　</v>
          </cell>
          <cell r="C10">
            <v>1931040</v>
          </cell>
          <cell r="D10">
            <v>2147580</v>
          </cell>
          <cell r="E10">
            <v>4078620</v>
          </cell>
          <cell r="F10">
            <v>8718577</v>
          </cell>
          <cell r="G10">
            <v>12797197</v>
          </cell>
          <cell r="H10">
            <v>1953760</v>
          </cell>
        </row>
        <row r="11">
          <cell r="A11" t="str">
            <v>0287</v>
          </cell>
          <cell r="B11" t="str">
            <v>石川　潔志　　　</v>
          </cell>
          <cell r="C11">
            <v>1813600</v>
          </cell>
          <cell r="D11">
            <v>2141280</v>
          </cell>
          <cell r="E11">
            <v>3954880</v>
          </cell>
          <cell r="F11">
            <v>8598065</v>
          </cell>
          <cell r="G11">
            <v>12552945</v>
          </cell>
          <cell r="H11">
            <v>1829430</v>
          </cell>
        </row>
        <row r="12">
          <cell r="A12" t="str">
            <v>0206</v>
          </cell>
          <cell r="B12" t="str">
            <v>高橋　勝　　　　</v>
          </cell>
          <cell r="C12">
            <v>1844470</v>
          </cell>
          <cell r="D12">
            <v>2126140</v>
          </cell>
          <cell r="E12">
            <v>3970610</v>
          </cell>
          <cell r="F12">
            <v>7816813</v>
          </cell>
          <cell r="G12">
            <v>11787423</v>
          </cell>
          <cell r="H12">
            <v>1746010</v>
          </cell>
        </row>
        <row r="13">
          <cell r="A13" t="str">
            <v>0437</v>
          </cell>
          <cell r="B13" t="str">
            <v>森井　敏之　　　</v>
          </cell>
          <cell r="C13">
            <v>1833800</v>
          </cell>
          <cell r="D13">
            <v>2086940</v>
          </cell>
          <cell r="E13">
            <v>3920740</v>
          </cell>
          <cell r="F13">
            <v>7151874</v>
          </cell>
          <cell r="G13">
            <v>11072614</v>
          </cell>
          <cell r="H13">
            <v>1871770</v>
          </cell>
        </row>
        <row r="14">
          <cell r="A14" t="str">
            <v>0218</v>
          </cell>
          <cell r="B14" t="str">
            <v>瀬野　嘉津吉　　</v>
          </cell>
          <cell r="C14">
            <v>1799730</v>
          </cell>
          <cell r="D14">
            <v>2081550</v>
          </cell>
          <cell r="E14">
            <v>3881280</v>
          </cell>
          <cell r="F14">
            <v>7499650</v>
          </cell>
          <cell r="G14">
            <v>11380930</v>
          </cell>
          <cell r="H14">
            <v>1843970</v>
          </cell>
        </row>
        <row r="15">
          <cell r="A15" t="str">
            <v>0238</v>
          </cell>
          <cell r="B15" t="str">
            <v>梅木　栄　　　　</v>
          </cell>
          <cell r="C15">
            <v>1646480</v>
          </cell>
          <cell r="D15">
            <v>2074610</v>
          </cell>
          <cell r="E15">
            <v>3721090</v>
          </cell>
          <cell r="F15">
            <v>7103216</v>
          </cell>
          <cell r="G15">
            <v>10824306</v>
          </cell>
          <cell r="H15">
            <v>1860730</v>
          </cell>
        </row>
        <row r="16">
          <cell r="A16" t="str">
            <v>0230</v>
          </cell>
          <cell r="B16" t="str">
            <v>鳴尾　浩　　　　</v>
          </cell>
          <cell r="C16">
            <v>1843920</v>
          </cell>
          <cell r="D16">
            <v>2070340</v>
          </cell>
          <cell r="E16">
            <v>3914260</v>
          </cell>
          <cell r="F16">
            <v>7435995</v>
          </cell>
          <cell r="G16">
            <v>11350255</v>
          </cell>
          <cell r="H16">
            <v>1976260</v>
          </cell>
        </row>
        <row r="17">
          <cell r="A17" t="str">
            <v>0191</v>
          </cell>
          <cell r="B17" t="str">
            <v>松田　市三　　　</v>
          </cell>
          <cell r="C17">
            <v>1848830</v>
          </cell>
          <cell r="D17">
            <v>2062710</v>
          </cell>
          <cell r="E17">
            <v>3911540</v>
          </cell>
          <cell r="F17">
            <v>7268060</v>
          </cell>
          <cell r="G17">
            <v>11179600</v>
          </cell>
          <cell r="H17">
            <v>1949120</v>
          </cell>
        </row>
        <row r="18">
          <cell r="A18" t="str">
            <v>3562</v>
          </cell>
          <cell r="B18" t="str">
            <v>守田　博康　　　</v>
          </cell>
          <cell r="C18">
            <v>0</v>
          </cell>
          <cell r="D18">
            <v>2060000</v>
          </cell>
          <cell r="E18">
            <v>2060000</v>
          </cell>
          <cell r="F18">
            <v>7656527</v>
          </cell>
          <cell r="G18">
            <v>9716527</v>
          </cell>
          <cell r="H18">
            <v>1691760</v>
          </cell>
        </row>
        <row r="19">
          <cell r="A19" t="str">
            <v>0231</v>
          </cell>
          <cell r="B19" t="str">
            <v>高橋　正信　　　</v>
          </cell>
          <cell r="C19">
            <v>1926490</v>
          </cell>
          <cell r="D19">
            <v>2048090</v>
          </cell>
          <cell r="E19">
            <v>3974580</v>
          </cell>
          <cell r="F19">
            <v>7338903</v>
          </cell>
          <cell r="G19">
            <v>11313483</v>
          </cell>
          <cell r="H19">
            <v>1865940</v>
          </cell>
        </row>
        <row r="20">
          <cell r="A20" t="str">
            <v>0288</v>
          </cell>
          <cell r="B20" t="str">
            <v>立浪　東吾　　　</v>
          </cell>
          <cell r="C20">
            <v>1834820</v>
          </cell>
          <cell r="D20">
            <v>2040920</v>
          </cell>
          <cell r="E20">
            <v>3875740</v>
          </cell>
          <cell r="F20">
            <v>7962674</v>
          </cell>
          <cell r="G20">
            <v>11838414</v>
          </cell>
          <cell r="H20">
            <v>1747760</v>
          </cell>
        </row>
        <row r="21">
          <cell r="A21" t="str">
            <v>0188</v>
          </cell>
          <cell r="B21" t="str">
            <v>渡辺　武久　　　</v>
          </cell>
          <cell r="C21">
            <v>1738980</v>
          </cell>
          <cell r="D21">
            <v>2037460</v>
          </cell>
          <cell r="E21">
            <v>3776440</v>
          </cell>
          <cell r="F21">
            <v>7624030</v>
          </cell>
          <cell r="G21">
            <v>11400470</v>
          </cell>
          <cell r="H21">
            <v>1739980</v>
          </cell>
        </row>
        <row r="22">
          <cell r="A22" t="str">
            <v>0229</v>
          </cell>
          <cell r="B22" t="str">
            <v>岩田　襄　　　　</v>
          </cell>
          <cell r="C22">
            <v>1712000</v>
          </cell>
          <cell r="D22">
            <v>2032460</v>
          </cell>
          <cell r="E22">
            <v>3744460</v>
          </cell>
          <cell r="F22">
            <v>7346592</v>
          </cell>
          <cell r="G22">
            <v>11091052</v>
          </cell>
          <cell r="H22">
            <v>1736460</v>
          </cell>
        </row>
        <row r="23">
          <cell r="A23" t="str">
            <v>2164</v>
          </cell>
          <cell r="B23" t="str">
            <v>芳松　恒男　　　</v>
          </cell>
          <cell r="C23">
            <v>1784380</v>
          </cell>
          <cell r="D23">
            <v>2024190</v>
          </cell>
          <cell r="E23">
            <v>3808570</v>
          </cell>
          <cell r="F23">
            <v>7068912</v>
          </cell>
          <cell r="G23">
            <v>10877482</v>
          </cell>
          <cell r="H23">
            <v>1815490</v>
          </cell>
        </row>
        <row r="24">
          <cell r="A24" t="str">
            <v>0143</v>
          </cell>
          <cell r="B24" t="str">
            <v>河野　哲也　　　</v>
          </cell>
          <cell r="C24">
            <v>1972010</v>
          </cell>
          <cell r="D24">
            <v>2023050</v>
          </cell>
          <cell r="E24">
            <v>3995060</v>
          </cell>
          <cell r="F24">
            <v>7684709</v>
          </cell>
          <cell r="G24">
            <v>11679769</v>
          </cell>
          <cell r="H24">
            <v>1773730</v>
          </cell>
        </row>
        <row r="25">
          <cell r="A25" t="str">
            <v>0271</v>
          </cell>
          <cell r="B25" t="str">
            <v>芦田　喜朗　　　</v>
          </cell>
          <cell r="C25">
            <v>1727960</v>
          </cell>
          <cell r="D25">
            <v>2022560</v>
          </cell>
          <cell r="E25">
            <v>3750520</v>
          </cell>
          <cell r="F25">
            <v>7089549</v>
          </cell>
          <cell r="G25">
            <v>10840069</v>
          </cell>
          <cell r="H25">
            <v>1727990</v>
          </cell>
        </row>
        <row r="26">
          <cell r="A26" t="str">
            <v>0369</v>
          </cell>
          <cell r="B26" t="str">
            <v>三木　譲治　　　</v>
          </cell>
          <cell r="C26">
            <v>1599270</v>
          </cell>
          <cell r="D26">
            <v>2006630</v>
          </cell>
          <cell r="E26">
            <v>3605900</v>
          </cell>
          <cell r="F26">
            <v>8137047</v>
          </cell>
          <cell r="G26">
            <v>11742947</v>
          </cell>
          <cell r="H26">
            <v>1714360</v>
          </cell>
        </row>
        <row r="27">
          <cell r="A27" t="str">
            <v>0257</v>
          </cell>
          <cell r="B27" t="str">
            <v>溝口　実　　　　</v>
          </cell>
          <cell r="C27">
            <v>1688640</v>
          </cell>
          <cell r="D27">
            <v>1997550</v>
          </cell>
          <cell r="E27">
            <v>3686190</v>
          </cell>
          <cell r="F27">
            <v>7017586</v>
          </cell>
          <cell r="G27">
            <v>10703776</v>
          </cell>
          <cell r="H27">
            <v>1710150</v>
          </cell>
        </row>
        <row r="28">
          <cell r="A28" t="str">
            <v>0276</v>
          </cell>
          <cell r="B28" t="str">
            <v>楢崎　治彦　　　</v>
          </cell>
          <cell r="C28">
            <v>1662340</v>
          </cell>
          <cell r="D28">
            <v>1985510</v>
          </cell>
          <cell r="E28">
            <v>3647850</v>
          </cell>
          <cell r="F28">
            <v>7115290</v>
          </cell>
          <cell r="G28">
            <v>10763140</v>
          </cell>
          <cell r="H28">
            <v>1777010</v>
          </cell>
        </row>
        <row r="29">
          <cell r="A29" t="str">
            <v>0219</v>
          </cell>
          <cell r="B29" t="str">
            <v>三宅　敏文　　　</v>
          </cell>
          <cell r="C29">
            <v>1789360</v>
          </cell>
          <cell r="D29">
            <v>1970020</v>
          </cell>
          <cell r="E29">
            <v>3759380</v>
          </cell>
          <cell r="F29">
            <v>7618649</v>
          </cell>
          <cell r="G29">
            <v>11378029</v>
          </cell>
          <cell r="H29">
            <v>1323050</v>
          </cell>
        </row>
        <row r="30">
          <cell r="A30" t="str">
            <v>0436</v>
          </cell>
          <cell r="B30" t="str">
            <v>白石　俊介　　　</v>
          </cell>
          <cell r="C30">
            <v>1679030</v>
          </cell>
          <cell r="D30">
            <v>1968700</v>
          </cell>
          <cell r="E30">
            <v>3647730</v>
          </cell>
          <cell r="F30">
            <v>8356068</v>
          </cell>
          <cell r="G30">
            <v>12003798</v>
          </cell>
          <cell r="H30">
            <v>1681980</v>
          </cell>
        </row>
        <row r="31">
          <cell r="A31" t="str">
            <v>0513</v>
          </cell>
          <cell r="B31" t="str">
            <v>田中　正昭　　　</v>
          </cell>
          <cell r="C31">
            <v>1711130</v>
          </cell>
          <cell r="D31">
            <v>1962000</v>
          </cell>
          <cell r="E31">
            <v>3673130</v>
          </cell>
          <cell r="F31">
            <v>6776811</v>
          </cell>
          <cell r="G31">
            <v>10449941</v>
          </cell>
          <cell r="H31">
            <v>1752010</v>
          </cell>
        </row>
        <row r="32">
          <cell r="A32" t="str">
            <v>0141</v>
          </cell>
          <cell r="B32" t="str">
            <v>石飛　喜一　　　</v>
          </cell>
          <cell r="C32">
            <v>1674650</v>
          </cell>
          <cell r="D32">
            <v>1959700</v>
          </cell>
          <cell r="E32">
            <v>3634350</v>
          </cell>
          <cell r="F32">
            <v>7079474</v>
          </cell>
          <cell r="G32">
            <v>10713824</v>
          </cell>
          <cell r="H32">
            <v>1695550</v>
          </cell>
        </row>
        <row r="33">
          <cell r="A33" t="str">
            <v>1932</v>
          </cell>
          <cell r="B33" t="str">
            <v>川崎　隆　　　　</v>
          </cell>
          <cell r="C33">
            <v>1726410</v>
          </cell>
          <cell r="D33">
            <v>1957280</v>
          </cell>
          <cell r="E33">
            <v>3683690</v>
          </cell>
          <cell r="F33">
            <v>6863271</v>
          </cell>
          <cell r="G33">
            <v>10546961</v>
          </cell>
          <cell r="H33">
            <v>1755460</v>
          </cell>
        </row>
        <row r="34">
          <cell r="A34" t="str">
            <v>0509</v>
          </cell>
          <cell r="B34" t="str">
            <v>辻野　隆志　　　</v>
          </cell>
          <cell r="C34">
            <v>1705470</v>
          </cell>
          <cell r="D34">
            <v>1955570</v>
          </cell>
          <cell r="E34">
            <v>3661040</v>
          </cell>
          <cell r="F34">
            <v>6715729</v>
          </cell>
          <cell r="G34">
            <v>10376769</v>
          </cell>
          <cell r="H34">
            <v>1770870</v>
          </cell>
        </row>
        <row r="35">
          <cell r="A35" t="str">
            <v>0209</v>
          </cell>
          <cell r="B35" t="str">
            <v>谷元　茂　　　　</v>
          </cell>
          <cell r="C35">
            <v>1582950</v>
          </cell>
          <cell r="D35">
            <v>1953740</v>
          </cell>
          <cell r="E35">
            <v>3536690</v>
          </cell>
          <cell r="F35">
            <v>7219360</v>
          </cell>
          <cell r="G35">
            <v>10756050</v>
          </cell>
          <cell r="H35">
            <v>1771120</v>
          </cell>
        </row>
        <row r="36">
          <cell r="A36" t="str">
            <v>0359</v>
          </cell>
          <cell r="B36" t="str">
            <v>小幡　宏政　　　</v>
          </cell>
          <cell r="C36">
            <v>1707670</v>
          </cell>
          <cell r="D36">
            <v>1948470</v>
          </cell>
          <cell r="E36">
            <v>3656140</v>
          </cell>
          <cell r="F36">
            <v>7073544</v>
          </cell>
          <cell r="G36">
            <v>10729684</v>
          </cell>
          <cell r="H36">
            <v>1764510</v>
          </cell>
        </row>
        <row r="37">
          <cell r="A37" t="str">
            <v>0168</v>
          </cell>
          <cell r="B37" t="str">
            <v>棟保　恵介　　　</v>
          </cell>
          <cell r="C37">
            <v>1808950</v>
          </cell>
          <cell r="D37">
            <v>1932750</v>
          </cell>
          <cell r="E37">
            <v>3741700</v>
          </cell>
          <cell r="F37">
            <v>7563009</v>
          </cell>
          <cell r="G37">
            <v>11304709</v>
          </cell>
          <cell r="H37">
            <v>1685010</v>
          </cell>
        </row>
        <row r="38">
          <cell r="A38" t="str">
            <v>0312</v>
          </cell>
          <cell r="B38" t="str">
            <v>寺坂　武雄　　　</v>
          </cell>
          <cell r="C38">
            <v>1439650</v>
          </cell>
          <cell r="D38">
            <v>1897910</v>
          </cell>
          <cell r="E38">
            <v>3337560</v>
          </cell>
          <cell r="F38">
            <v>6725238</v>
          </cell>
          <cell r="G38">
            <v>10062798</v>
          </cell>
          <cell r="H38">
            <v>1371210</v>
          </cell>
        </row>
        <row r="39">
          <cell r="A39" t="str">
            <v>0228</v>
          </cell>
          <cell r="B39" t="str">
            <v>潮先　邦宏　　　</v>
          </cell>
          <cell r="C39">
            <v>1677230</v>
          </cell>
          <cell r="D39">
            <v>1874060</v>
          </cell>
          <cell r="E39">
            <v>3551290</v>
          </cell>
          <cell r="F39">
            <v>8252607</v>
          </cell>
          <cell r="G39">
            <v>11803897</v>
          </cell>
          <cell r="H39">
            <v>1686160</v>
          </cell>
        </row>
        <row r="40">
          <cell r="A40" t="str">
            <v>0226</v>
          </cell>
          <cell r="B40" t="str">
            <v>西原　昌則　　　</v>
          </cell>
          <cell r="C40">
            <v>1625140</v>
          </cell>
          <cell r="D40">
            <v>1844420</v>
          </cell>
          <cell r="E40">
            <v>3469560</v>
          </cell>
          <cell r="F40">
            <v>6702443</v>
          </cell>
          <cell r="G40">
            <v>10172003</v>
          </cell>
          <cell r="H40">
            <v>1559210</v>
          </cell>
        </row>
        <row r="41">
          <cell r="A41" t="str">
            <v>0136</v>
          </cell>
          <cell r="B41" t="str">
            <v>山本　達雄　　　</v>
          </cell>
          <cell r="C41">
            <v>1590770</v>
          </cell>
          <cell r="D41">
            <v>1844330</v>
          </cell>
          <cell r="E41">
            <v>3435100</v>
          </cell>
          <cell r="F41">
            <v>6402875</v>
          </cell>
          <cell r="G41">
            <v>9837975</v>
          </cell>
          <cell r="H41">
            <v>1575730</v>
          </cell>
        </row>
        <row r="42">
          <cell r="A42" t="str">
            <v>0250</v>
          </cell>
          <cell r="B42" t="str">
            <v>永原　孝美　　　</v>
          </cell>
          <cell r="C42">
            <v>1433100</v>
          </cell>
          <cell r="D42">
            <v>1832910</v>
          </cell>
          <cell r="E42">
            <v>3266010</v>
          </cell>
          <cell r="F42">
            <v>7005183</v>
          </cell>
          <cell r="G42">
            <v>10271193</v>
          </cell>
          <cell r="H42">
            <v>1722360</v>
          </cell>
        </row>
        <row r="43">
          <cell r="A43" t="str">
            <v>0440</v>
          </cell>
          <cell r="B43" t="str">
            <v>森川　伸矢　　　</v>
          </cell>
          <cell r="C43">
            <v>1595250</v>
          </cell>
          <cell r="D43">
            <v>1824360</v>
          </cell>
          <cell r="E43">
            <v>3419610</v>
          </cell>
          <cell r="F43">
            <v>6396747</v>
          </cell>
          <cell r="G43">
            <v>9816357</v>
          </cell>
          <cell r="H43">
            <v>1652290</v>
          </cell>
        </row>
        <row r="44">
          <cell r="A44" t="str">
            <v>0213</v>
          </cell>
          <cell r="B44" t="str">
            <v>曽我　英雄　　　</v>
          </cell>
          <cell r="C44">
            <v>1645530</v>
          </cell>
          <cell r="D44">
            <v>1806090</v>
          </cell>
          <cell r="E44">
            <v>3451620</v>
          </cell>
          <cell r="F44">
            <v>7148584</v>
          </cell>
          <cell r="G44">
            <v>10600204</v>
          </cell>
          <cell r="H44">
            <v>1625000</v>
          </cell>
        </row>
        <row r="45">
          <cell r="A45" t="str">
            <v>0327</v>
          </cell>
          <cell r="B45" t="str">
            <v>竹重　範之　　　</v>
          </cell>
          <cell r="C45">
            <v>1585150</v>
          </cell>
          <cell r="D45">
            <v>1802390</v>
          </cell>
          <cell r="E45">
            <v>3387540</v>
          </cell>
          <cell r="F45">
            <v>7926705</v>
          </cell>
          <cell r="G45">
            <v>11314245</v>
          </cell>
          <cell r="H45">
            <v>1638830</v>
          </cell>
        </row>
        <row r="46">
          <cell r="A46" t="str">
            <v>0892</v>
          </cell>
          <cell r="B46" t="str">
            <v>小坂　晴良　　　</v>
          </cell>
          <cell r="C46">
            <v>1563040</v>
          </cell>
          <cell r="D46">
            <v>1798240</v>
          </cell>
          <cell r="E46">
            <v>3361280</v>
          </cell>
          <cell r="F46">
            <v>6277760</v>
          </cell>
          <cell r="G46">
            <v>9639040</v>
          </cell>
          <cell r="H46">
            <v>1630010</v>
          </cell>
        </row>
        <row r="47">
          <cell r="A47" t="str">
            <v>0647</v>
          </cell>
          <cell r="B47" t="str">
            <v>仲田　哲雄　　　</v>
          </cell>
          <cell r="C47">
            <v>1583930</v>
          </cell>
          <cell r="D47">
            <v>1797370</v>
          </cell>
          <cell r="E47">
            <v>3381300</v>
          </cell>
          <cell r="F47">
            <v>6883907</v>
          </cell>
          <cell r="G47">
            <v>10265207</v>
          </cell>
          <cell r="H47">
            <v>1691730</v>
          </cell>
        </row>
        <row r="48">
          <cell r="A48" t="str">
            <v>0236</v>
          </cell>
          <cell r="B48" t="str">
            <v>馬場　孝　　　　</v>
          </cell>
          <cell r="C48">
            <v>1553010</v>
          </cell>
          <cell r="D48">
            <v>1794950</v>
          </cell>
          <cell r="E48">
            <v>3347960</v>
          </cell>
          <cell r="F48">
            <v>6404860</v>
          </cell>
          <cell r="G48">
            <v>9752820</v>
          </cell>
          <cell r="H48">
            <v>1534000</v>
          </cell>
        </row>
        <row r="49">
          <cell r="A49" t="str">
            <v>0225</v>
          </cell>
          <cell r="B49" t="str">
            <v>堀江　正裕　　　</v>
          </cell>
          <cell r="C49">
            <v>1356330</v>
          </cell>
          <cell r="D49">
            <v>1790290</v>
          </cell>
          <cell r="E49">
            <v>3146620</v>
          </cell>
          <cell r="F49">
            <v>6576718</v>
          </cell>
          <cell r="G49">
            <v>9723338</v>
          </cell>
          <cell r="H49">
            <v>1775430</v>
          </cell>
        </row>
        <row r="50">
          <cell r="A50" t="str">
            <v>0239</v>
          </cell>
          <cell r="B50" t="str">
            <v>細川　武彦　　　</v>
          </cell>
          <cell r="C50">
            <v>1436600</v>
          </cell>
          <cell r="D50">
            <v>1781670</v>
          </cell>
          <cell r="E50">
            <v>3218270</v>
          </cell>
          <cell r="F50">
            <v>5821964</v>
          </cell>
          <cell r="G50">
            <v>9040234</v>
          </cell>
          <cell r="H50">
            <v>1477730</v>
          </cell>
        </row>
        <row r="51">
          <cell r="A51" t="str">
            <v>0337</v>
          </cell>
          <cell r="B51" t="str">
            <v>竹沢　章好　　　</v>
          </cell>
          <cell r="C51">
            <v>1651690</v>
          </cell>
          <cell r="D51">
            <v>1781000</v>
          </cell>
          <cell r="E51">
            <v>3432690</v>
          </cell>
          <cell r="F51">
            <v>6699031</v>
          </cell>
          <cell r="G51">
            <v>10131721</v>
          </cell>
          <cell r="H51">
            <v>1576570</v>
          </cell>
        </row>
        <row r="52">
          <cell r="A52" t="str">
            <v>0326</v>
          </cell>
          <cell r="B52" t="str">
            <v>宇田　義貴　　　</v>
          </cell>
          <cell r="C52">
            <v>1452370</v>
          </cell>
          <cell r="D52">
            <v>1771190</v>
          </cell>
          <cell r="E52">
            <v>3223560</v>
          </cell>
          <cell r="F52">
            <v>6504262</v>
          </cell>
          <cell r="G52">
            <v>9727822</v>
          </cell>
          <cell r="H52">
            <v>1493440</v>
          </cell>
        </row>
        <row r="53">
          <cell r="A53" t="str">
            <v>0300</v>
          </cell>
          <cell r="B53" t="str">
            <v>湯沢　修　　　　</v>
          </cell>
          <cell r="C53">
            <v>1339290</v>
          </cell>
          <cell r="D53">
            <v>1761180</v>
          </cell>
          <cell r="E53">
            <v>3100470</v>
          </cell>
          <cell r="F53">
            <v>6375129</v>
          </cell>
          <cell r="G53">
            <v>9475599</v>
          </cell>
          <cell r="H53">
            <v>1457530</v>
          </cell>
        </row>
        <row r="54">
          <cell r="A54" t="str">
            <v>0753</v>
          </cell>
          <cell r="B54" t="str">
            <v>榎本　茂雄　　　</v>
          </cell>
          <cell r="C54">
            <v>1616950</v>
          </cell>
          <cell r="D54">
            <v>1753950</v>
          </cell>
          <cell r="E54">
            <v>3370900</v>
          </cell>
          <cell r="F54">
            <v>6492247</v>
          </cell>
          <cell r="G54">
            <v>9863147</v>
          </cell>
          <cell r="H54">
            <v>1569790</v>
          </cell>
        </row>
        <row r="55">
          <cell r="A55" t="str">
            <v>0192</v>
          </cell>
          <cell r="B55" t="str">
            <v>尾花　研次　　　</v>
          </cell>
          <cell r="C55">
            <v>1475130</v>
          </cell>
          <cell r="D55">
            <v>1747360</v>
          </cell>
          <cell r="E55">
            <v>3222490</v>
          </cell>
          <cell r="F55">
            <v>6850896</v>
          </cell>
          <cell r="G55">
            <v>10073386</v>
          </cell>
          <cell r="H55">
            <v>1724170</v>
          </cell>
        </row>
        <row r="56">
          <cell r="A56" t="str">
            <v>0138</v>
          </cell>
          <cell r="B56" t="str">
            <v>原　敬一　　　　</v>
          </cell>
          <cell r="C56">
            <v>1755730</v>
          </cell>
          <cell r="D56">
            <v>1745250</v>
          </cell>
          <cell r="E56">
            <v>3500980</v>
          </cell>
          <cell r="F56">
            <v>6563050</v>
          </cell>
          <cell r="G56">
            <v>10064030</v>
          </cell>
          <cell r="H56">
            <v>1548190</v>
          </cell>
        </row>
        <row r="57">
          <cell r="A57" t="str">
            <v>0255</v>
          </cell>
          <cell r="B57" t="str">
            <v>佐々木　重忠　　</v>
          </cell>
          <cell r="C57">
            <v>1530620</v>
          </cell>
          <cell r="D57">
            <v>1742720</v>
          </cell>
          <cell r="E57">
            <v>3273340</v>
          </cell>
          <cell r="F57">
            <v>6427559</v>
          </cell>
          <cell r="G57">
            <v>9700899</v>
          </cell>
          <cell r="H57">
            <v>1537510</v>
          </cell>
        </row>
        <row r="58">
          <cell r="A58" t="str">
            <v>0259</v>
          </cell>
          <cell r="B58" t="str">
            <v>高石　正三　　　</v>
          </cell>
          <cell r="C58">
            <v>1454150</v>
          </cell>
          <cell r="D58">
            <v>1738450</v>
          </cell>
          <cell r="E58">
            <v>3192600</v>
          </cell>
          <cell r="F58">
            <v>6254917</v>
          </cell>
          <cell r="G58">
            <v>9447517</v>
          </cell>
          <cell r="H58">
            <v>1485700</v>
          </cell>
        </row>
        <row r="59">
          <cell r="A59" t="str">
            <v>0282</v>
          </cell>
          <cell r="B59" t="str">
            <v>高橋　勇次　　　</v>
          </cell>
          <cell r="C59">
            <v>1565240</v>
          </cell>
          <cell r="D59">
            <v>1737650</v>
          </cell>
          <cell r="E59">
            <v>3302890</v>
          </cell>
          <cell r="F59">
            <v>6479888</v>
          </cell>
          <cell r="G59">
            <v>9782778</v>
          </cell>
          <cell r="H59">
            <v>1588420</v>
          </cell>
        </row>
        <row r="60">
          <cell r="A60" t="str">
            <v>0105</v>
          </cell>
          <cell r="B60" t="str">
            <v>井原　進　　　　</v>
          </cell>
          <cell r="C60">
            <v>1396970</v>
          </cell>
          <cell r="D60">
            <v>1733350</v>
          </cell>
          <cell r="E60">
            <v>3130320</v>
          </cell>
          <cell r="F60">
            <v>6479924</v>
          </cell>
          <cell r="G60">
            <v>9610244</v>
          </cell>
          <cell r="H60">
            <v>1631470</v>
          </cell>
        </row>
        <row r="61">
          <cell r="A61" t="str">
            <v>0211</v>
          </cell>
          <cell r="B61" t="str">
            <v>辻　昭成　　　　</v>
          </cell>
          <cell r="C61">
            <v>1376760</v>
          </cell>
          <cell r="D61">
            <v>1731050</v>
          </cell>
          <cell r="E61">
            <v>3107810</v>
          </cell>
          <cell r="F61">
            <v>6402672</v>
          </cell>
          <cell r="G61">
            <v>9510482</v>
          </cell>
          <cell r="H61">
            <v>1574800</v>
          </cell>
        </row>
        <row r="62">
          <cell r="A62" t="str">
            <v>0263</v>
          </cell>
          <cell r="B62" t="str">
            <v>重富　常男　　　</v>
          </cell>
          <cell r="C62">
            <v>1417130</v>
          </cell>
          <cell r="D62">
            <v>1724470</v>
          </cell>
          <cell r="E62">
            <v>3141600</v>
          </cell>
          <cell r="F62">
            <v>6254131</v>
          </cell>
          <cell r="G62">
            <v>9395731</v>
          </cell>
          <cell r="H62">
            <v>1439540</v>
          </cell>
        </row>
        <row r="63">
          <cell r="A63" t="str">
            <v>0404</v>
          </cell>
          <cell r="B63" t="str">
            <v>佐藤　精一　　　</v>
          </cell>
          <cell r="C63">
            <v>1509050</v>
          </cell>
          <cell r="D63">
            <v>1723440</v>
          </cell>
          <cell r="E63">
            <v>3232490</v>
          </cell>
          <cell r="F63">
            <v>6241016</v>
          </cell>
          <cell r="G63">
            <v>9473506</v>
          </cell>
          <cell r="H63">
            <v>1388660</v>
          </cell>
        </row>
        <row r="64">
          <cell r="A64" t="str">
            <v>0224</v>
          </cell>
          <cell r="B64" t="str">
            <v>杉本　保男　　　</v>
          </cell>
          <cell r="C64">
            <v>1191500</v>
          </cell>
          <cell r="D64">
            <v>1722600</v>
          </cell>
          <cell r="E64">
            <v>2914100</v>
          </cell>
          <cell r="F64">
            <v>6624205</v>
          </cell>
          <cell r="G64">
            <v>9538305</v>
          </cell>
          <cell r="H64">
            <v>1688410</v>
          </cell>
        </row>
        <row r="65">
          <cell r="A65" t="str">
            <v>0200</v>
          </cell>
          <cell r="B65" t="str">
            <v>山崎　邦和　　　</v>
          </cell>
          <cell r="C65">
            <v>1430750</v>
          </cell>
          <cell r="D65">
            <v>1716460</v>
          </cell>
          <cell r="E65">
            <v>3147210</v>
          </cell>
          <cell r="F65">
            <v>6541265</v>
          </cell>
          <cell r="G65">
            <v>9688475</v>
          </cell>
          <cell r="H65">
            <v>1693620</v>
          </cell>
        </row>
        <row r="66">
          <cell r="A66" t="str">
            <v>0710</v>
          </cell>
          <cell r="B66" t="str">
            <v>野本　宏　　　　</v>
          </cell>
          <cell r="C66">
            <v>1372240</v>
          </cell>
          <cell r="D66">
            <v>1713950</v>
          </cell>
          <cell r="E66">
            <v>3086190</v>
          </cell>
          <cell r="F66">
            <v>5744979</v>
          </cell>
          <cell r="G66">
            <v>8831169</v>
          </cell>
          <cell r="H66">
            <v>1360720</v>
          </cell>
        </row>
        <row r="67">
          <cell r="A67" t="str">
            <v>2341</v>
          </cell>
          <cell r="B67" t="str">
            <v>高柳　勝三　　　</v>
          </cell>
          <cell r="C67">
            <v>1429620</v>
          </cell>
          <cell r="D67">
            <v>1712530</v>
          </cell>
          <cell r="E67">
            <v>3142150</v>
          </cell>
          <cell r="F67">
            <v>6153896</v>
          </cell>
          <cell r="G67">
            <v>9296046</v>
          </cell>
          <cell r="H67">
            <v>1590790</v>
          </cell>
        </row>
        <row r="68">
          <cell r="A68" t="str">
            <v>0193</v>
          </cell>
          <cell r="B68" t="str">
            <v>安倍　誠　　　　</v>
          </cell>
          <cell r="C68">
            <v>1689620</v>
          </cell>
          <cell r="D68">
            <v>1708810</v>
          </cell>
          <cell r="E68">
            <v>3398430</v>
          </cell>
          <cell r="F68">
            <v>7366167</v>
          </cell>
          <cell r="G68">
            <v>10764597</v>
          </cell>
          <cell r="H68">
            <v>1886920</v>
          </cell>
        </row>
        <row r="69">
          <cell r="A69" t="str">
            <v>0134</v>
          </cell>
          <cell r="B69" t="str">
            <v>寺本　悦朗　　　</v>
          </cell>
          <cell r="C69">
            <v>1536960</v>
          </cell>
          <cell r="D69">
            <v>1704010</v>
          </cell>
          <cell r="E69">
            <v>3240970</v>
          </cell>
          <cell r="F69">
            <v>7367109</v>
          </cell>
          <cell r="G69">
            <v>10608079</v>
          </cell>
          <cell r="H69">
            <v>1614460</v>
          </cell>
        </row>
        <row r="70">
          <cell r="A70" t="str">
            <v>0221</v>
          </cell>
          <cell r="B70" t="str">
            <v>広瀬　武夫　　　</v>
          </cell>
          <cell r="C70">
            <v>1633410</v>
          </cell>
          <cell r="D70">
            <v>1698090</v>
          </cell>
          <cell r="E70">
            <v>3331500</v>
          </cell>
          <cell r="F70">
            <v>7309935</v>
          </cell>
          <cell r="G70">
            <v>10641435</v>
          </cell>
          <cell r="H70">
            <v>1268510</v>
          </cell>
        </row>
        <row r="71">
          <cell r="A71" t="str">
            <v>0237</v>
          </cell>
          <cell r="B71" t="str">
            <v>矢野　勲　　　　</v>
          </cell>
          <cell r="C71">
            <v>1781080</v>
          </cell>
          <cell r="D71">
            <v>1695510</v>
          </cell>
          <cell r="E71">
            <v>3476590</v>
          </cell>
          <cell r="F71">
            <v>6869716</v>
          </cell>
          <cell r="G71">
            <v>10346306</v>
          </cell>
          <cell r="H71">
            <v>1720300</v>
          </cell>
        </row>
        <row r="72">
          <cell r="A72" t="str">
            <v>0335</v>
          </cell>
          <cell r="B72" t="str">
            <v>井沢　明　　　　</v>
          </cell>
          <cell r="C72">
            <v>1422310</v>
          </cell>
          <cell r="D72">
            <v>1694370</v>
          </cell>
          <cell r="E72">
            <v>3116680</v>
          </cell>
          <cell r="F72">
            <v>6392011</v>
          </cell>
          <cell r="G72">
            <v>9508691</v>
          </cell>
          <cell r="H72">
            <v>1516440</v>
          </cell>
        </row>
        <row r="73">
          <cell r="A73" t="str">
            <v>0382</v>
          </cell>
          <cell r="B73" t="str">
            <v>前橋　信志　　　</v>
          </cell>
          <cell r="C73">
            <v>1460610</v>
          </cell>
          <cell r="D73">
            <v>1685640</v>
          </cell>
          <cell r="E73">
            <v>3146250</v>
          </cell>
          <cell r="F73">
            <v>6550392</v>
          </cell>
          <cell r="G73">
            <v>9696642</v>
          </cell>
          <cell r="H73">
            <v>1622450</v>
          </cell>
        </row>
        <row r="74">
          <cell r="A74" t="str">
            <v>0517</v>
          </cell>
          <cell r="B74" t="str">
            <v>南　佳治　　　　</v>
          </cell>
          <cell r="C74">
            <v>1452430</v>
          </cell>
          <cell r="D74">
            <v>1681430</v>
          </cell>
          <cell r="E74">
            <v>3133860</v>
          </cell>
          <cell r="F74">
            <v>6115740</v>
          </cell>
          <cell r="G74">
            <v>9249600</v>
          </cell>
          <cell r="H74">
            <v>1178970</v>
          </cell>
        </row>
        <row r="75">
          <cell r="A75" t="str">
            <v>0286</v>
          </cell>
          <cell r="B75" t="str">
            <v>長崎　昌平　　　</v>
          </cell>
          <cell r="C75">
            <v>1904330</v>
          </cell>
          <cell r="D75">
            <v>1679860</v>
          </cell>
          <cell r="E75">
            <v>3584190</v>
          </cell>
          <cell r="F75">
            <v>7202205</v>
          </cell>
          <cell r="G75">
            <v>10786395</v>
          </cell>
          <cell r="H75">
            <v>1843650</v>
          </cell>
        </row>
        <row r="76">
          <cell r="A76" t="str">
            <v>0247</v>
          </cell>
          <cell r="B76" t="str">
            <v>佐和　勉　　　　</v>
          </cell>
          <cell r="C76">
            <v>1407240</v>
          </cell>
          <cell r="D76">
            <v>1672670</v>
          </cell>
          <cell r="E76">
            <v>3079910</v>
          </cell>
          <cell r="F76">
            <v>6330257</v>
          </cell>
          <cell r="G76">
            <v>9410167</v>
          </cell>
          <cell r="H76">
            <v>1500900</v>
          </cell>
        </row>
        <row r="77">
          <cell r="A77" t="str">
            <v>0552</v>
          </cell>
          <cell r="B77" t="str">
            <v>山田　善二　　　</v>
          </cell>
          <cell r="C77">
            <v>1452370</v>
          </cell>
          <cell r="D77">
            <v>1670240</v>
          </cell>
          <cell r="E77">
            <v>3122610</v>
          </cell>
          <cell r="F77">
            <v>6360054</v>
          </cell>
          <cell r="G77">
            <v>9482664</v>
          </cell>
          <cell r="H77">
            <v>1494840</v>
          </cell>
        </row>
        <row r="78">
          <cell r="A78" t="str">
            <v>3401</v>
          </cell>
          <cell r="B78" t="str">
            <v>伊藤　善清　　　</v>
          </cell>
          <cell r="C78">
            <v>1363510</v>
          </cell>
          <cell r="D78">
            <v>1663210</v>
          </cell>
          <cell r="E78">
            <v>3026720</v>
          </cell>
          <cell r="F78">
            <v>6043454</v>
          </cell>
          <cell r="G78">
            <v>9070174</v>
          </cell>
          <cell r="H78">
            <v>1421400</v>
          </cell>
        </row>
        <row r="79">
          <cell r="A79" t="str">
            <v>0131</v>
          </cell>
          <cell r="B79" t="str">
            <v>沢本　武　　　　</v>
          </cell>
          <cell r="C79">
            <v>1513770</v>
          </cell>
          <cell r="D79">
            <v>1652600</v>
          </cell>
          <cell r="E79">
            <v>3166370</v>
          </cell>
          <cell r="F79">
            <v>6376384</v>
          </cell>
          <cell r="G79">
            <v>9542754</v>
          </cell>
          <cell r="H79">
            <v>1516820</v>
          </cell>
        </row>
        <row r="80">
          <cell r="A80" t="str">
            <v>0217</v>
          </cell>
          <cell r="B80" t="str">
            <v>灰野　努　　　　</v>
          </cell>
          <cell r="C80">
            <v>1383720</v>
          </cell>
          <cell r="D80">
            <v>1649800</v>
          </cell>
          <cell r="E80">
            <v>3033520</v>
          </cell>
          <cell r="F80">
            <v>6929609</v>
          </cell>
          <cell r="G80">
            <v>9963129</v>
          </cell>
          <cell r="H80">
            <v>1346370</v>
          </cell>
        </row>
        <row r="81">
          <cell r="A81" t="str">
            <v>0360</v>
          </cell>
          <cell r="B81" t="str">
            <v>浅野　健治　　　</v>
          </cell>
          <cell r="C81">
            <v>1460010</v>
          </cell>
          <cell r="D81">
            <v>1649230</v>
          </cell>
          <cell r="E81">
            <v>3109240</v>
          </cell>
          <cell r="F81">
            <v>6222352</v>
          </cell>
          <cell r="G81">
            <v>9331592</v>
          </cell>
          <cell r="H81">
            <v>1432760</v>
          </cell>
        </row>
        <row r="82">
          <cell r="A82" t="str">
            <v>0139</v>
          </cell>
          <cell r="B82" t="str">
            <v>浜田　哲男　　　</v>
          </cell>
          <cell r="C82">
            <v>1321110</v>
          </cell>
          <cell r="D82">
            <v>1636260</v>
          </cell>
          <cell r="E82">
            <v>2957370</v>
          </cell>
          <cell r="F82">
            <v>6206355</v>
          </cell>
          <cell r="G82">
            <v>9163725</v>
          </cell>
          <cell r="H82">
            <v>1628510</v>
          </cell>
        </row>
        <row r="83">
          <cell r="A83" t="str">
            <v>0279</v>
          </cell>
          <cell r="B83" t="str">
            <v>落合　嘉彦　　　</v>
          </cell>
          <cell r="C83">
            <v>1277330</v>
          </cell>
          <cell r="D83">
            <v>1633500</v>
          </cell>
          <cell r="E83">
            <v>2910830</v>
          </cell>
          <cell r="F83">
            <v>5978154</v>
          </cell>
          <cell r="G83">
            <v>8888984</v>
          </cell>
          <cell r="H83">
            <v>1461960</v>
          </cell>
        </row>
        <row r="84">
          <cell r="A84" t="str">
            <v>0510</v>
          </cell>
          <cell r="B84" t="str">
            <v>平　精一郎　　　</v>
          </cell>
          <cell r="C84">
            <v>1330490</v>
          </cell>
          <cell r="D84">
            <v>1633080</v>
          </cell>
          <cell r="E84">
            <v>2963570</v>
          </cell>
          <cell r="F84">
            <v>6262014</v>
          </cell>
          <cell r="G84">
            <v>9225584</v>
          </cell>
          <cell r="H84">
            <v>1375100</v>
          </cell>
        </row>
        <row r="85">
          <cell r="A85" t="str">
            <v>0562</v>
          </cell>
          <cell r="B85" t="str">
            <v>柴本　茂太郎　　</v>
          </cell>
          <cell r="C85">
            <v>1347620</v>
          </cell>
          <cell r="D85">
            <v>1628930</v>
          </cell>
          <cell r="E85">
            <v>2976550</v>
          </cell>
          <cell r="F85">
            <v>5481052</v>
          </cell>
          <cell r="G85">
            <v>8457602</v>
          </cell>
          <cell r="H85">
            <v>1181570</v>
          </cell>
        </row>
        <row r="86">
          <cell r="A86" t="str">
            <v>0103</v>
          </cell>
          <cell r="B86" t="str">
            <v>篠田　昌作　　　</v>
          </cell>
          <cell r="C86">
            <v>1474310</v>
          </cell>
          <cell r="D86">
            <v>1623370</v>
          </cell>
          <cell r="E86">
            <v>3097680</v>
          </cell>
          <cell r="F86">
            <v>6624410</v>
          </cell>
          <cell r="G86">
            <v>9722090</v>
          </cell>
          <cell r="H86">
            <v>1479610</v>
          </cell>
        </row>
        <row r="87">
          <cell r="A87" t="str">
            <v>0383</v>
          </cell>
          <cell r="B87" t="str">
            <v>江口　三代治　　</v>
          </cell>
          <cell r="C87">
            <v>1271270</v>
          </cell>
          <cell r="D87">
            <v>1613440</v>
          </cell>
          <cell r="E87">
            <v>2884710</v>
          </cell>
          <cell r="F87">
            <v>5820686</v>
          </cell>
          <cell r="G87">
            <v>8705396</v>
          </cell>
          <cell r="H87">
            <v>1494840</v>
          </cell>
        </row>
        <row r="88">
          <cell r="A88" t="str">
            <v>0447</v>
          </cell>
          <cell r="B88" t="str">
            <v>紀井　忠　　　　</v>
          </cell>
          <cell r="C88">
            <v>1420900</v>
          </cell>
          <cell r="D88">
            <v>1605990</v>
          </cell>
          <cell r="E88">
            <v>3026890</v>
          </cell>
          <cell r="F88">
            <v>6324621</v>
          </cell>
          <cell r="G88">
            <v>9351511</v>
          </cell>
          <cell r="H88">
            <v>1441060</v>
          </cell>
        </row>
        <row r="89">
          <cell r="A89" t="str">
            <v>0362</v>
          </cell>
          <cell r="B89" t="str">
            <v>伊藤　正観　　　</v>
          </cell>
          <cell r="C89">
            <v>1330970</v>
          </cell>
          <cell r="D89">
            <v>1604970</v>
          </cell>
          <cell r="E89">
            <v>2935940</v>
          </cell>
          <cell r="F89">
            <v>6606647</v>
          </cell>
          <cell r="G89">
            <v>9542587</v>
          </cell>
          <cell r="H89">
            <v>1200640</v>
          </cell>
        </row>
        <row r="90">
          <cell r="A90" t="str">
            <v>0512</v>
          </cell>
          <cell r="B90" t="str">
            <v>二宮　健寿　　　</v>
          </cell>
          <cell r="C90">
            <v>1467960</v>
          </cell>
          <cell r="D90">
            <v>1604330</v>
          </cell>
          <cell r="E90">
            <v>3072290</v>
          </cell>
          <cell r="F90">
            <v>5774870</v>
          </cell>
          <cell r="G90">
            <v>8847160</v>
          </cell>
          <cell r="H90">
            <v>1330730</v>
          </cell>
        </row>
        <row r="91">
          <cell r="A91" t="str">
            <v>0325</v>
          </cell>
          <cell r="B91" t="str">
            <v>徳永　昭一　　　</v>
          </cell>
          <cell r="C91">
            <v>1417150</v>
          </cell>
          <cell r="D91">
            <v>1599220</v>
          </cell>
          <cell r="E91">
            <v>3016370</v>
          </cell>
          <cell r="F91">
            <v>6545526</v>
          </cell>
          <cell r="G91">
            <v>9561896</v>
          </cell>
          <cell r="H91">
            <v>1438860</v>
          </cell>
        </row>
        <row r="92">
          <cell r="A92" t="str">
            <v>0222</v>
          </cell>
          <cell r="B92" t="str">
            <v>村上　博義　　　</v>
          </cell>
          <cell r="C92">
            <v>1441890</v>
          </cell>
          <cell r="D92">
            <v>1592320</v>
          </cell>
          <cell r="E92">
            <v>3034210</v>
          </cell>
          <cell r="F92">
            <v>6632820</v>
          </cell>
          <cell r="G92">
            <v>9667030</v>
          </cell>
          <cell r="H92">
            <v>1677670</v>
          </cell>
        </row>
        <row r="93">
          <cell r="A93" t="str">
            <v>1628</v>
          </cell>
          <cell r="B93" t="str">
            <v>伊沢　正男　　　</v>
          </cell>
          <cell r="C93">
            <v>1362880</v>
          </cell>
          <cell r="D93">
            <v>1588520</v>
          </cell>
          <cell r="E93">
            <v>2951400</v>
          </cell>
          <cell r="F93">
            <v>6358688</v>
          </cell>
          <cell r="G93">
            <v>9310088</v>
          </cell>
          <cell r="H93">
            <v>1357580</v>
          </cell>
        </row>
        <row r="94">
          <cell r="A94" t="str">
            <v>0502</v>
          </cell>
          <cell r="B94" t="str">
            <v>林田　真純　　　</v>
          </cell>
          <cell r="C94">
            <v>1458530</v>
          </cell>
          <cell r="D94">
            <v>1584300</v>
          </cell>
          <cell r="E94">
            <v>3042830</v>
          </cell>
          <cell r="F94">
            <v>6057088</v>
          </cell>
          <cell r="G94">
            <v>9099918</v>
          </cell>
          <cell r="H94">
            <v>1442810</v>
          </cell>
        </row>
        <row r="95">
          <cell r="A95" t="str">
            <v>0210</v>
          </cell>
          <cell r="B95" t="str">
            <v>塩崎　芳永　　　</v>
          </cell>
          <cell r="C95">
            <v>1285910</v>
          </cell>
          <cell r="D95">
            <v>1580460</v>
          </cell>
          <cell r="E95">
            <v>2866370</v>
          </cell>
          <cell r="F95">
            <v>6236274</v>
          </cell>
          <cell r="G95">
            <v>9102644</v>
          </cell>
          <cell r="H95">
            <v>1422000</v>
          </cell>
        </row>
        <row r="96">
          <cell r="A96" t="str">
            <v>0368</v>
          </cell>
          <cell r="B96" t="str">
            <v>佐々木　茂　　　</v>
          </cell>
          <cell r="C96">
            <v>1447210</v>
          </cell>
          <cell r="D96">
            <v>1580040</v>
          </cell>
          <cell r="E96">
            <v>3027250</v>
          </cell>
          <cell r="F96">
            <v>6146624</v>
          </cell>
          <cell r="G96">
            <v>9173874</v>
          </cell>
          <cell r="H96">
            <v>1397190</v>
          </cell>
        </row>
        <row r="97">
          <cell r="A97" t="str">
            <v>0199</v>
          </cell>
          <cell r="B97" t="str">
            <v>大谷　弘志　　　</v>
          </cell>
          <cell r="C97">
            <v>1291810</v>
          </cell>
          <cell r="D97">
            <v>1578990</v>
          </cell>
          <cell r="E97">
            <v>2870800</v>
          </cell>
          <cell r="F97">
            <v>6060899</v>
          </cell>
          <cell r="G97">
            <v>8931699</v>
          </cell>
          <cell r="H97">
            <v>1416830</v>
          </cell>
        </row>
        <row r="98">
          <cell r="A98" t="str">
            <v>0187</v>
          </cell>
          <cell r="B98" t="str">
            <v>岡田　健之助　　</v>
          </cell>
          <cell r="C98">
            <v>1324280</v>
          </cell>
          <cell r="D98">
            <v>1572240</v>
          </cell>
          <cell r="E98">
            <v>2896520</v>
          </cell>
          <cell r="F98">
            <v>6030821</v>
          </cell>
          <cell r="G98">
            <v>8927341</v>
          </cell>
          <cell r="H98">
            <v>1295590</v>
          </cell>
        </row>
        <row r="99">
          <cell r="A99" t="str">
            <v>2752</v>
          </cell>
          <cell r="B99" t="str">
            <v>斯波　恵四郎　　</v>
          </cell>
          <cell r="C99">
            <v>1540900</v>
          </cell>
          <cell r="D99">
            <v>1568170</v>
          </cell>
          <cell r="E99">
            <v>3109070</v>
          </cell>
          <cell r="F99">
            <v>6084050</v>
          </cell>
          <cell r="G99">
            <v>9193120</v>
          </cell>
          <cell r="H99">
            <v>1352160</v>
          </cell>
        </row>
        <row r="100">
          <cell r="A100" t="str">
            <v>0501</v>
          </cell>
          <cell r="B100" t="str">
            <v>久保　善孝　　　</v>
          </cell>
          <cell r="C100">
            <v>1360230</v>
          </cell>
          <cell r="D100">
            <v>1558330</v>
          </cell>
          <cell r="E100">
            <v>2918560</v>
          </cell>
          <cell r="F100">
            <v>5934769</v>
          </cell>
          <cell r="G100">
            <v>8853329</v>
          </cell>
          <cell r="H100">
            <v>1288910</v>
          </cell>
        </row>
        <row r="101">
          <cell r="A101" t="str">
            <v>0246</v>
          </cell>
          <cell r="B101" t="str">
            <v>窪川　孝一　　　</v>
          </cell>
          <cell r="C101">
            <v>1322890</v>
          </cell>
          <cell r="D101">
            <v>1556720</v>
          </cell>
          <cell r="E101">
            <v>2879610</v>
          </cell>
          <cell r="F101">
            <v>7007056</v>
          </cell>
          <cell r="G101">
            <v>9886666</v>
          </cell>
          <cell r="H101">
            <v>1486690</v>
          </cell>
        </row>
        <row r="102">
          <cell r="A102" t="str">
            <v>0616</v>
          </cell>
          <cell r="B102" t="str">
            <v>土本　政樹　　　</v>
          </cell>
          <cell r="C102">
            <v>1219920</v>
          </cell>
          <cell r="D102">
            <v>1549190</v>
          </cell>
          <cell r="E102">
            <v>2769110</v>
          </cell>
          <cell r="F102">
            <v>5451453</v>
          </cell>
          <cell r="G102">
            <v>8220563</v>
          </cell>
          <cell r="H102">
            <v>1383390</v>
          </cell>
        </row>
        <row r="103">
          <cell r="A103" t="str">
            <v>2576</v>
          </cell>
          <cell r="B103" t="str">
            <v>藤井　凉二　　　</v>
          </cell>
          <cell r="C103">
            <v>1389880</v>
          </cell>
          <cell r="D103">
            <v>1543790</v>
          </cell>
          <cell r="E103">
            <v>2933670</v>
          </cell>
          <cell r="F103">
            <v>5889050</v>
          </cell>
          <cell r="G103">
            <v>8822720</v>
          </cell>
          <cell r="H103">
            <v>1414700</v>
          </cell>
        </row>
        <row r="104">
          <cell r="A104" t="str">
            <v>0147</v>
          </cell>
          <cell r="B104" t="str">
            <v>高添　広一　　　</v>
          </cell>
          <cell r="C104">
            <v>1421120</v>
          </cell>
          <cell r="D104">
            <v>1542360</v>
          </cell>
          <cell r="E104">
            <v>2963480</v>
          </cell>
          <cell r="F104">
            <v>6182827</v>
          </cell>
          <cell r="G104">
            <v>9146307</v>
          </cell>
          <cell r="H104">
            <v>1392760</v>
          </cell>
        </row>
        <row r="105">
          <cell r="A105" t="str">
            <v>0328</v>
          </cell>
          <cell r="B105" t="str">
            <v>坂本　賢太郎　　</v>
          </cell>
          <cell r="C105">
            <v>1365820</v>
          </cell>
          <cell r="D105">
            <v>1539240</v>
          </cell>
          <cell r="E105">
            <v>2905060</v>
          </cell>
          <cell r="F105">
            <v>5888162</v>
          </cell>
          <cell r="G105">
            <v>8793222</v>
          </cell>
          <cell r="H105">
            <v>1381170</v>
          </cell>
        </row>
        <row r="106">
          <cell r="A106" t="str">
            <v>0270</v>
          </cell>
          <cell r="B106" t="str">
            <v>廣田　雅昭　　　</v>
          </cell>
          <cell r="C106">
            <v>1391950</v>
          </cell>
          <cell r="D106">
            <v>1529980</v>
          </cell>
          <cell r="E106">
            <v>2921930</v>
          </cell>
          <cell r="F106">
            <v>6197600</v>
          </cell>
          <cell r="G106">
            <v>9119530</v>
          </cell>
          <cell r="H106">
            <v>1403690</v>
          </cell>
        </row>
        <row r="107">
          <cell r="A107" t="str">
            <v>0372</v>
          </cell>
          <cell r="B107" t="str">
            <v>草野　恵一　　　</v>
          </cell>
          <cell r="C107">
            <v>1343530</v>
          </cell>
          <cell r="D107">
            <v>1529550</v>
          </cell>
          <cell r="E107">
            <v>2873080</v>
          </cell>
          <cell r="F107">
            <v>5614701</v>
          </cell>
          <cell r="G107">
            <v>8487781</v>
          </cell>
          <cell r="H107">
            <v>1288570</v>
          </cell>
        </row>
        <row r="108">
          <cell r="A108" t="str">
            <v>0283</v>
          </cell>
          <cell r="B108" t="str">
            <v>須藤　秀治　　　</v>
          </cell>
          <cell r="C108">
            <v>1484170</v>
          </cell>
          <cell r="D108">
            <v>1528450</v>
          </cell>
          <cell r="E108">
            <v>3012620</v>
          </cell>
          <cell r="F108">
            <v>6082222</v>
          </cell>
          <cell r="G108">
            <v>9094842</v>
          </cell>
          <cell r="H108">
            <v>1356160</v>
          </cell>
        </row>
        <row r="109">
          <cell r="A109" t="str">
            <v>0333</v>
          </cell>
          <cell r="B109" t="str">
            <v>勝部　芳三　　　</v>
          </cell>
          <cell r="C109">
            <v>1265460</v>
          </cell>
          <cell r="D109">
            <v>1528170</v>
          </cell>
          <cell r="E109">
            <v>2793630</v>
          </cell>
          <cell r="F109">
            <v>5294397</v>
          </cell>
          <cell r="G109">
            <v>8088027</v>
          </cell>
          <cell r="H109">
            <v>1387210</v>
          </cell>
        </row>
        <row r="110">
          <cell r="A110" t="str">
            <v>0554</v>
          </cell>
          <cell r="B110" t="str">
            <v>森下　一広　　　</v>
          </cell>
          <cell r="C110">
            <v>1345010</v>
          </cell>
          <cell r="D110">
            <v>1527190</v>
          </cell>
          <cell r="E110">
            <v>2872200</v>
          </cell>
          <cell r="F110">
            <v>5732117</v>
          </cell>
          <cell r="G110">
            <v>8604317</v>
          </cell>
          <cell r="H110">
            <v>1366820</v>
          </cell>
        </row>
        <row r="111">
          <cell r="A111" t="str">
            <v>0363</v>
          </cell>
          <cell r="B111" t="str">
            <v>南　志郎　　　　</v>
          </cell>
          <cell r="C111">
            <v>1315340</v>
          </cell>
          <cell r="D111">
            <v>1518250</v>
          </cell>
          <cell r="E111">
            <v>2833590</v>
          </cell>
          <cell r="F111">
            <v>6034212</v>
          </cell>
          <cell r="G111">
            <v>8867802</v>
          </cell>
          <cell r="H111">
            <v>1350060</v>
          </cell>
        </row>
        <row r="112">
          <cell r="A112" t="str">
            <v>0313</v>
          </cell>
          <cell r="B112" t="str">
            <v>田村　定　　　　</v>
          </cell>
          <cell r="C112">
            <v>1169810</v>
          </cell>
          <cell r="D112">
            <v>1514560</v>
          </cell>
          <cell r="E112">
            <v>2684370</v>
          </cell>
          <cell r="F112">
            <v>5563315</v>
          </cell>
          <cell r="G112">
            <v>8247685</v>
          </cell>
          <cell r="H112">
            <v>1375040</v>
          </cell>
        </row>
        <row r="113">
          <cell r="A113" t="str">
            <v>0732</v>
          </cell>
          <cell r="B113" t="str">
            <v>類家　知行　　　</v>
          </cell>
          <cell r="C113">
            <v>1329130</v>
          </cell>
          <cell r="D113">
            <v>1513650</v>
          </cell>
          <cell r="E113">
            <v>2842780</v>
          </cell>
          <cell r="F113">
            <v>5116357</v>
          </cell>
          <cell r="G113">
            <v>7959137</v>
          </cell>
          <cell r="H113">
            <v>1497580</v>
          </cell>
        </row>
        <row r="114">
          <cell r="A114" t="str">
            <v>0985</v>
          </cell>
          <cell r="B114" t="str">
            <v>含本　一雄　　　</v>
          </cell>
          <cell r="C114">
            <v>1317840</v>
          </cell>
          <cell r="D114">
            <v>1510900</v>
          </cell>
          <cell r="E114">
            <v>2828740</v>
          </cell>
          <cell r="F114">
            <v>5535476</v>
          </cell>
          <cell r="G114">
            <v>8364216</v>
          </cell>
          <cell r="H114">
            <v>1370260</v>
          </cell>
        </row>
        <row r="115">
          <cell r="A115" t="str">
            <v>0442</v>
          </cell>
          <cell r="B115" t="str">
            <v>宮原　広行　　　</v>
          </cell>
          <cell r="C115">
            <v>1267850</v>
          </cell>
          <cell r="D115">
            <v>1506550</v>
          </cell>
          <cell r="E115">
            <v>2774400</v>
          </cell>
          <cell r="F115">
            <v>5914371</v>
          </cell>
          <cell r="G115">
            <v>8688771</v>
          </cell>
          <cell r="H115">
            <v>1347510</v>
          </cell>
        </row>
        <row r="116">
          <cell r="A116" t="str">
            <v>0521</v>
          </cell>
          <cell r="B116" t="str">
            <v>山田　広幸　　　</v>
          </cell>
          <cell r="C116">
            <v>1237860</v>
          </cell>
          <cell r="D116">
            <v>1506550</v>
          </cell>
          <cell r="E116">
            <v>2744410</v>
          </cell>
          <cell r="F116">
            <v>5868600</v>
          </cell>
          <cell r="G116">
            <v>8613010</v>
          </cell>
          <cell r="H116">
            <v>1476640</v>
          </cell>
        </row>
        <row r="117">
          <cell r="A117" t="str">
            <v>2738</v>
          </cell>
          <cell r="B117" t="str">
            <v>佐伯　征慶　　　</v>
          </cell>
          <cell r="C117">
            <v>1311190</v>
          </cell>
          <cell r="D117">
            <v>1505710</v>
          </cell>
          <cell r="E117">
            <v>2816900</v>
          </cell>
          <cell r="F117">
            <v>6349132</v>
          </cell>
          <cell r="G117">
            <v>9166032</v>
          </cell>
          <cell r="H117">
            <v>1370370</v>
          </cell>
        </row>
        <row r="118">
          <cell r="A118" t="str">
            <v>0314</v>
          </cell>
          <cell r="B118" t="str">
            <v>河野　仁　　　　</v>
          </cell>
          <cell r="C118">
            <v>1262260</v>
          </cell>
          <cell r="D118">
            <v>1500060</v>
          </cell>
          <cell r="E118">
            <v>2762320</v>
          </cell>
          <cell r="F118">
            <v>5566576</v>
          </cell>
          <cell r="G118">
            <v>8328896</v>
          </cell>
          <cell r="H118">
            <v>1346000</v>
          </cell>
        </row>
        <row r="119">
          <cell r="A119" t="str">
            <v>0386</v>
          </cell>
          <cell r="B119" t="str">
            <v>中泉　博昭　　　</v>
          </cell>
          <cell r="C119">
            <v>1291280</v>
          </cell>
          <cell r="D119">
            <v>1489330</v>
          </cell>
          <cell r="E119">
            <v>2780610</v>
          </cell>
          <cell r="F119">
            <v>5278534</v>
          </cell>
          <cell r="G119">
            <v>8059144</v>
          </cell>
          <cell r="H119">
            <v>1280720</v>
          </cell>
        </row>
        <row r="120">
          <cell r="A120" t="str">
            <v>0232</v>
          </cell>
          <cell r="B120" t="str">
            <v>中尾　忠玄　　　</v>
          </cell>
          <cell r="C120">
            <v>1235610</v>
          </cell>
          <cell r="D120">
            <v>1487350</v>
          </cell>
          <cell r="E120">
            <v>2722960</v>
          </cell>
          <cell r="F120">
            <v>5794771</v>
          </cell>
          <cell r="G120">
            <v>8517731</v>
          </cell>
          <cell r="H120">
            <v>1381170</v>
          </cell>
        </row>
        <row r="121">
          <cell r="A121" t="str">
            <v>0699</v>
          </cell>
          <cell r="B121" t="str">
            <v>土橋　直樹　　　</v>
          </cell>
          <cell r="C121">
            <v>1301550</v>
          </cell>
          <cell r="D121">
            <v>1487060</v>
          </cell>
          <cell r="E121">
            <v>2788610</v>
          </cell>
          <cell r="F121">
            <v>5593739</v>
          </cell>
          <cell r="G121">
            <v>8382349</v>
          </cell>
          <cell r="H121">
            <v>1354910</v>
          </cell>
        </row>
        <row r="122">
          <cell r="A122" t="str">
            <v>0731</v>
          </cell>
          <cell r="B122" t="str">
            <v>萩原　庸介　　　</v>
          </cell>
          <cell r="C122">
            <v>1282820</v>
          </cell>
          <cell r="D122">
            <v>1486440</v>
          </cell>
          <cell r="E122">
            <v>2769260</v>
          </cell>
          <cell r="F122">
            <v>5438942</v>
          </cell>
          <cell r="G122">
            <v>8208202</v>
          </cell>
          <cell r="H122">
            <v>1213050</v>
          </cell>
        </row>
        <row r="123">
          <cell r="A123" t="str">
            <v>0124</v>
          </cell>
          <cell r="B123" t="str">
            <v>上垣内　勲　　　</v>
          </cell>
          <cell r="C123">
            <v>1467040</v>
          </cell>
          <cell r="D123">
            <v>1482370</v>
          </cell>
          <cell r="E123">
            <v>2949410</v>
          </cell>
          <cell r="F123">
            <v>6387325</v>
          </cell>
          <cell r="G123">
            <v>9336735</v>
          </cell>
          <cell r="H123">
            <v>1333840</v>
          </cell>
        </row>
        <row r="124">
          <cell r="A124" t="str">
            <v>0245</v>
          </cell>
          <cell r="B124" t="str">
            <v>小谷　弘宣　　　</v>
          </cell>
          <cell r="C124">
            <v>1184240</v>
          </cell>
          <cell r="D124">
            <v>1478470</v>
          </cell>
          <cell r="E124">
            <v>2662710</v>
          </cell>
          <cell r="F124">
            <v>5744330</v>
          </cell>
          <cell r="G124">
            <v>8407040</v>
          </cell>
          <cell r="H124">
            <v>1484930</v>
          </cell>
        </row>
        <row r="125">
          <cell r="A125" t="str">
            <v>0345</v>
          </cell>
          <cell r="B125" t="str">
            <v>竹内　茂　　　　</v>
          </cell>
          <cell r="C125">
            <v>1299710</v>
          </cell>
          <cell r="D125">
            <v>1476400</v>
          </cell>
          <cell r="E125">
            <v>2776110</v>
          </cell>
          <cell r="F125">
            <v>6013850</v>
          </cell>
          <cell r="G125">
            <v>8789960</v>
          </cell>
          <cell r="H125">
            <v>1009260</v>
          </cell>
        </row>
        <row r="126">
          <cell r="A126" t="str">
            <v>0388</v>
          </cell>
          <cell r="B126" t="str">
            <v>日比野　豊博　　</v>
          </cell>
          <cell r="C126">
            <v>1301130</v>
          </cell>
          <cell r="D126">
            <v>1473820</v>
          </cell>
          <cell r="E126">
            <v>2774950</v>
          </cell>
          <cell r="F126">
            <v>6505398</v>
          </cell>
          <cell r="G126">
            <v>9280348</v>
          </cell>
          <cell r="H126">
            <v>1322470</v>
          </cell>
        </row>
        <row r="127">
          <cell r="A127" t="str">
            <v>0151</v>
          </cell>
          <cell r="B127" t="str">
            <v>倉島　広衛　　　</v>
          </cell>
          <cell r="C127">
            <v>1286180</v>
          </cell>
          <cell r="D127">
            <v>1473000</v>
          </cell>
          <cell r="E127">
            <v>2759180</v>
          </cell>
          <cell r="F127">
            <v>5702303</v>
          </cell>
          <cell r="G127">
            <v>8461483</v>
          </cell>
          <cell r="H127">
            <v>1304120</v>
          </cell>
        </row>
        <row r="128">
          <cell r="A128" t="str">
            <v>0172</v>
          </cell>
          <cell r="B128" t="str">
            <v>広井　力　　　　</v>
          </cell>
          <cell r="C128">
            <v>1298790</v>
          </cell>
          <cell r="D128">
            <v>1471630</v>
          </cell>
          <cell r="E128">
            <v>2770420</v>
          </cell>
          <cell r="F128">
            <v>5159450</v>
          </cell>
          <cell r="G128">
            <v>7929870</v>
          </cell>
          <cell r="H128">
            <v>1222640</v>
          </cell>
        </row>
        <row r="129">
          <cell r="A129" t="str">
            <v>1635</v>
          </cell>
          <cell r="B129" t="str">
            <v>立石　洋一　　　</v>
          </cell>
          <cell r="C129">
            <v>1268110</v>
          </cell>
          <cell r="D129">
            <v>1468270</v>
          </cell>
          <cell r="E129">
            <v>2736380</v>
          </cell>
          <cell r="F129">
            <v>5702738</v>
          </cell>
          <cell r="G129">
            <v>8439118</v>
          </cell>
          <cell r="H129">
            <v>1294580</v>
          </cell>
        </row>
        <row r="130">
          <cell r="A130" t="str">
            <v>0387</v>
          </cell>
          <cell r="B130" t="str">
            <v>村田　健蔵　　　</v>
          </cell>
          <cell r="C130">
            <v>1301020</v>
          </cell>
          <cell r="D130">
            <v>1462650</v>
          </cell>
          <cell r="E130">
            <v>2763670</v>
          </cell>
          <cell r="F130">
            <v>6743118</v>
          </cell>
          <cell r="G130">
            <v>9506788</v>
          </cell>
          <cell r="H130">
            <v>1335330</v>
          </cell>
        </row>
        <row r="131">
          <cell r="A131" t="str">
            <v>0384</v>
          </cell>
          <cell r="B131" t="str">
            <v>平野　正雄　　　</v>
          </cell>
          <cell r="C131">
            <v>1344970</v>
          </cell>
          <cell r="D131">
            <v>1462460</v>
          </cell>
          <cell r="E131">
            <v>2807430</v>
          </cell>
          <cell r="F131">
            <v>5839500</v>
          </cell>
          <cell r="G131">
            <v>8646930</v>
          </cell>
          <cell r="H131">
            <v>1331470</v>
          </cell>
        </row>
        <row r="132">
          <cell r="A132" t="str">
            <v>0194</v>
          </cell>
          <cell r="B132" t="str">
            <v>安藤　幸重　　　</v>
          </cell>
          <cell r="C132">
            <v>1278200</v>
          </cell>
          <cell r="D132">
            <v>1457890</v>
          </cell>
          <cell r="E132">
            <v>2736090</v>
          </cell>
          <cell r="F132">
            <v>5674019</v>
          </cell>
          <cell r="G132">
            <v>8410109</v>
          </cell>
          <cell r="H132">
            <v>1330730</v>
          </cell>
        </row>
        <row r="133">
          <cell r="A133" t="str">
            <v>0348</v>
          </cell>
          <cell r="B133" t="str">
            <v>鈴東　勝弌　　　</v>
          </cell>
          <cell r="C133">
            <v>1430730</v>
          </cell>
          <cell r="D133">
            <v>1455600</v>
          </cell>
          <cell r="E133">
            <v>2886330</v>
          </cell>
          <cell r="F133">
            <v>6118970</v>
          </cell>
          <cell r="G133">
            <v>9005300</v>
          </cell>
          <cell r="H133">
            <v>1436890</v>
          </cell>
        </row>
        <row r="134">
          <cell r="A134" t="str">
            <v>0628</v>
          </cell>
          <cell r="B134" t="str">
            <v>染谷　豊　　　　</v>
          </cell>
          <cell r="C134">
            <v>1206860</v>
          </cell>
          <cell r="D134">
            <v>1449290</v>
          </cell>
          <cell r="E134">
            <v>2656150</v>
          </cell>
          <cell r="F134">
            <v>5613442</v>
          </cell>
          <cell r="G134">
            <v>8269592</v>
          </cell>
          <cell r="H134">
            <v>1300450</v>
          </cell>
        </row>
        <row r="135">
          <cell r="A135" t="str">
            <v>0149</v>
          </cell>
          <cell r="B135" t="str">
            <v>保坂　光徳　　　</v>
          </cell>
          <cell r="C135">
            <v>1283040</v>
          </cell>
          <cell r="D135">
            <v>1448950</v>
          </cell>
          <cell r="E135">
            <v>2731990</v>
          </cell>
          <cell r="F135">
            <v>5490813</v>
          </cell>
          <cell r="G135">
            <v>8222803</v>
          </cell>
          <cell r="H135">
            <v>1303890</v>
          </cell>
        </row>
        <row r="136">
          <cell r="A136" t="str">
            <v>0315</v>
          </cell>
          <cell r="B136" t="str">
            <v>三谷　貞夫　　　</v>
          </cell>
          <cell r="C136">
            <v>1325960</v>
          </cell>
          <cell r="D136">
            <v>1442950</v>
          </cell>
          <cell r="E136">
            <v>2768910</v>
          </cell>
          <cell r="F136">
            <v>5923186</v>
          </cell>
          <cell r="G136">
            <v>8692096</v>
          </cell>
          <cell r="H136">
            <v>1317600</v>
          </cell>
        </row>
        <row r="137">
          <cell r="A137" t="str">
            <v>1933</v>
          </cell>
          <cell r="B137" t="str">
            <v>生駒　元博　　　</v>
          </cell>
          <cell r="C137">
            <v>1170610</v>
          </cell>
          <cell r="D137">
            <v>1440600</v>
          </cell>
          <cell r="E137">
            <v>2611210</v>
          </cell>
          <cell r="F137">
            <v>5471948</v>
          </cell>
          <cell r="G137">
            <v>8083158</v>
          </cell>
          <cell r="H137">
            <v>1289320</v>
          </cell>
        </row>
        <row r="138">
          <cell r="A138" t="str">
            <v>0844</v>
          </cell>
          <cell r="B138" t="str">
            <v>井上　明好　　　</v>
          </cell>
          <cell r="C138">
            <v>1365210</v>
          </cell>
          <cell r="D138">
            <v>1438640</v>
          </cell>
          <cell r="E138">
            <v>2803850</v>
          </cell>
          <cell r="F138">
            <v>5783984</v>
          </cell>
          <cell r="G138">
            <v>8587834</v>
          </cell>
          <cell r="H138">
            <v>1290900</v>
          </cell>
        </row>
        <row r="139">
          <cell r="A139" t="str">
            <v>0556</v>
          </cell>
          <cell r="B139" t="str">
            <v>津村　泰秀　　　</v>
          </cell>
          <cell r="C139">
            <v>1267260</v>
          </cell>
          <cell r="D139">
            <v>1436300</v>
          </cell>
          <cell r="E139">
            <v>2703560</v>
          </cell>
          <cell r="F139">
            <v>5619804</v>
          </cell>
          <cell r="G139">
            <v>8323364</v>
          </cell>
          <cell r="H139">
            <v>1288770</v>
          </cell>
        </row>
        <row r="140">
          <cell r="A140" t="str">
            <v>0457</v>
          </cell>
          <cell r="B140" t="str">
            <v>島田　清功　　　</v>
          </cell>
          <cell r="C140">
            <v>1193330</v>
          </cell>
          <cell r="D140">
            <v>1433210</v>
          </cell>
          <cell r="E140">
            <v>2626540</v>
          </cell>
          <cell r="F140">
            <v>5106189</v>
          </cell>
          <cell r="G140">
            <v>7732729</v>
          </cell>
          <cell r="H140">
            <v>1251900</v>
          </cell>
        </row>
        <row r="141">
          <cell r="A141" t="str">
            <v>0839</v>
          </cell>
          <cell r="B141" t="str">
            <v>坂口　孝文　　　</v>
          </cell>
          <cell r="C141">
            <v>1232600</v>
          </cell>
          <cell r="D141">
            <v>1428500</v>
          </cell>
          <cell r="E141">
            <v>2661100</v>
          </cell>
          <cell r="F141">
            <v>1584440</v>
          </cell>
          <cell r="G141">
            <v>4245540</v>
          </cell>
          <cell r="H141">
            <v>1278490</v>
          </cell>
        </row>
        <row r="142">
          <cell r="A142" t="str">
            <v>0715</v>
          </cell>
          <cell r="B142" t="str">
            <v>西田　隆吉　　　</v>
          </cell>
          <cell r="C142">
            <v>1271780</v>
          </cell>
          <cell r="D142">
            <v>1426760</v>
          </cell>
          <cell r="E142">
            <v>2698540</v>
          </cell>
          <cell r="F142">
            <v>5639278</v>
          </cell>
          <cell r="G142">
            <v>8337818</v>
          </cell>
          <cell r="H142">
            <v>1170860</v>
          </cell>
        </row>
        <row r="143">
          <cell r="A143" t="str">
            <v>0733</v>
          </cell>
          <cell r="B143" t="str">
            <v>阿部　武實　　　</v>
          </cell>
          <cell r="C143">
            <v>1304090</v>
          </cell>
          <cell r="D143">
            <v>1422210</v>
          </cell>
          <cell r="E143">
            <v>2726300</v>
          </cell>
          <cell r="F143">
            <v>5555566</v>
          </cell>
          <cell r="G143">
            <v>8281866</v>
          </cell>
          <cell r="H143">
            <v>1357980</v>
          </cell>
        </row>
        <row r="144">
          <cell r="A144" t="str">
            <v>0851</v>
          </cell>
          <cell r="B144" t="str">
            <v>早川　昇　　　　</v>
          </cell>
          <cell r="C144">
            <v>1236320</v>
          </cell>
          <cell r="D144">
            <v>1418040</v>
          </cell>
          <cell r="E144">
            <v>2654360</v>
          </cell>
          <cell r="F144">
            <v>5261177</v>
          </cell>
          <cell r="G144">
            <v>7915537</v>
          </cell>
          <cell r="H144">
            <v>1289320</v>
          </cell>
        </row>
        <row r="145">
          <cell r="A145" t="str">
            <v>0701</v>
          </cell>
          <cell r="B145" t="str">
            <v>米久　正行　　　</v>
          </cell>
          <cell r="C145">
            <v>1212620</v>
          </cell>
          <cell r="D145">
            <v>1416830</v>
          </cell>
          <cell r="E145">
            <v>2629450</v>
          </cell>
          <cell r="F145">
            <v>5488909</v>
          </cell>
          <cell r="G145">
            <v>8118359</v>
          </cell>
          <cell r="H145">
            <v>1271340</v>
          </cell>
        </row>
        <row r="146">
          <cell r="A146" t="str">
            <v>0361</v>
          </cell>
          <cell r="B146" t="str">
            <v>渡辺　真祥　　　</v>
          </cell>
          <cell r="C146">
            <v>1256290</v>
          </cell>
          <cell r="D146">
            <v>1415940</v>
          </cell>
          <cell r="E146">
            <v>2672230</v>
          </cell>
          <cell r="F146">
            <v>5904221</v>
          </cell>
          <cell r="G146">
            <v>8576451</v>
          </cell>
          <cell r="H146">
            <v>1273960</v>
          </cell>
        </row>
        <row r="147">
          <cell r="A147" t="str">
            <v>0201</v>
          </cell>
          <cell r="B147" t="str">
            <v>高橋　重光　　　</v>
          </cell>
          <cell r="C147">
            <v>1112330</v>
          </cell>
          <cell r="D147">
            <v>1414760</v>
          </cell>
          <cell r="E147">
            <v>2527090</v>
          </cell>
          <cell r="F147">
            <v>6268130</v>
          </cell>
          <cell r="G147">
            <v>8795220</v>
          </cell>
          <cell r="H147">
            <v>1419670</v>
          </cell>
        </row>
        <row r="148">
          <cell r="A148" t="str">
            <v>0838</v>
          </cell>
          <cell r="B148" t="str">
            <v>久保田　敬三　　</v>
          </cell>
          <cell r="C148">
            <v>1175830</v>
          </cell>
          <cell r="D148">
            <v>1413440</v>
          </cell>
          <cell r="E148">
            <v>2589270</v>
          </cell>
          <cell r="F148">
            <v>4764558</v>
          </cell>
          <cell r="G148">
            <v>7353828</v>
          </cell>
          <cell r="H148">
            <v>1189870</v>
          </cell>
        </row>
        <row r="149">
          <cell r="A149" t="str">
            <v>0248</v>
          </cell>
          <cell r="B149" t="str">
            <v>高井　征政　　　</v>
          </cell>
          <cell r="C149">
            <v>1233780</v>
          </cell>
          <cell r="D149">
            <v>1413390</v>
          </cell>
          <cell r="E149">
            <v>2647170</v>
          </cell>
          <cell r="F149">
            <v>5693296</v>
          </cell>
          <cell r="G149">
            <v>8340466</v>
          </cell>
          <cell r="H149">
            <v>1249430</v>
          </cell>
        </row>
        <row r="150">
          <cell r="A150" t="str">
            <v>1629</v>
          </cell>
          <cell r="B150" t="str">
            <v>渡辺　信夫　　　</v>
          </cell>
          <cell r="C150">
            <v>1074150</v>
          </cell>
          <cell r="D150">
            <v>1409990</v>
          </cell>
          <cell r="E150">
            <v>2484140</v>
          </cell>
          <cell r="F150">
            <v>5614950</v>
          </cell>
          <cell r="G150">
            <v>8099090</v>
          </cell>
          <cell r="H150">
            <v>1268620</v>
          </cell>
        </row>
        <row r="151">
          <cell r="A151" t="str">
            <v>1429</v>
          </cell>
          <cell r="B151" t="str">
            <v>奥田　正　　　　</v>
          </cell>
          <cell r="C151">
            <v>1094230</v>
          </cell>
          <cell r="D151">
            <v>1404140</v>
          </cell>
          <cell r="E151">
            <v>2498370</v>
          </cell>
          <cell r="F151">
            <v>4925819</v>
          </cell>
          <cell r="G151">
            <v>7424189</v>
          </cell>
          <cell r="H151">
            <v>1274930</v>
          </cell>
        </row>
        <row r="152">
          <cell r="A152" t="str">
            <v>0154</v>
          </cell>
          <cell r="B152" t="str">
            <v>文字　正義　　　</v>
          </cell>
          <cell r="C152">
            <v>1371940</v>
          </cell>
          <cell r="D152">
            <v>1400770</v>
          </cell>
          <cell r="E152">
            <v>2772710</v>
          </cell>
          <cell r="F152">
            <v>5873060</v>
          </cell>
          <cell r="G152">
            <v>8645770</v>
          </cell>
          <cell r="H152">
            <v>1284740</v>
          </cell>
        </row>
        <row r="153">
          <cell r="A153" t="str">
            <v>0970</v>
          </cell>
          <cell r="B153" t="str">
            <v>大谷　雅英　　　</v>
          </cell>
          <cell r="C153">
            <v>1217810</v>
          </cell>
          <cell r="D153">
            <v>1397630</v>
          </cell>
          <cell r="E153">
            <v>2615440</v>
          </cell>
          <cell r="F153">
            <v>5299402</v>
          </cell>
          <cell r="G153">
            <v>7914842</v>
          </cell>
          <cell r="H153">
            <v>1194450</v>
          </cell>
        </row>
        <row r="154">
          <cell r="A154" t="str">
            <v>0629</v>
          </cell>
          <cell r="B154" t="str">
            <v>小林　和男　　　</v>
          </cell>
          <cell r="C154">
            <v>1206760</v>
          </cell>
          <cell r="D154">
            <v>1397100</v>
          </cell>
          <cell r="E154">
            <v>2603860</v>
          </cell>
          <cell r="F154">
            <v>4996955</v>
          </cell>
          <cell r="G154">
            <v>7600815</v>
          </cell>
          <cell r="H154">
            <v>1312860</v>
          </cell>
        </row>
        <row r="155">
          <cell r="A155" t="str">
            <v>0724</v>
          </cell>
          <cell r="B155" t="str">
            <v>宮川　秀樹　　　</v>
          </cell>
          <cell r="C155">
            <v>1213090</v>
          </cell>
          <cell r="D155">
            <v>1396280</v>
          </cell>
          <cell r="E155">
            <v>2609370</v>
          </cell>
          <cell r="F155">
            <v>5261414</v>
          </cell>
          <cell r="G155">
            <v>7870784</v>
          </cell>
          <cell r="H155">
            <v>1312080</v>
          </cell>
        </row>
        <row r="156">
          <cell r="A156" t="str">
            <v>0274</v>
          </cell>
          <cell r="B156" t="str">
            <v>楠瀬　雅裕　　　</v>
          </cell>
          <cell r="C156">
            <v>1314180</v>
          </cell>
          <cell r="D156">
            <v>1395380</v>
          </cell>
          <cell r="E156">
            <v>2709560</v>
          </cell>
          <cell r="F156">
            <v>5664328</v>
          </cell>
          <cell r="G156">
            <v>8373888</v>
          </cell>
          <cell r="H156">
            <v>1216700</v>
          </cell>
        </row>
        <row r="157">
          <cell r="A157" t="str">
            <v>1071</v>
          </cell>
          <cell r="B157" t="str">
            <v>山内　秀樹　　　</v>
          </cell>
          <cell r="C157">
            <v>1233920</v>
          </cell>
          <cell r="D157">
            <v>1394680</v>
          </cell>
          <cell r="E157">
            <v>2628600</v>
          </cell>
          <cell r="F157">
            <v>5572722</v>
          </cell>
          <cell r="G157">
            <v>8201322</v>
          </cell>
          <cell r="H157">
            <v>1274180</v>
          </cell>
        </row>
        <row r="158">
          <cell r="A158" t="str">
            <v>0711</v>
          </cell>
          <cell r="B158" t="str">
            <v>上村　春樹　　　</v>
          </cell>
          <cell r="C158">
            <v>1174360</v>
          </cell>
          <cell r="D158">
            <v>1391990</v>
          </cell>
          <cell r="E158">
            <v>2566350</v>
          </cell>
          <cell r="F158">
            <v>5149356</v>
          </cell>
          <cell r="G158">
            <v>7715706</v>
          </cell>
          <cell r="H158">
            <v>1208240</v>
          </cell>
        </row>
        <row r="159">
          <cell r="A159" t="str">
            <v>0522</v>
          </cell>
          <cell r="B159" t="str">
            <v>国金　達　　　　</v>
          </cell>
          <cell r="C159">
            <v>1302460</v>
          </cell>
          <cell r="D159">
            <v>1389910</v>
          </cell>
          <cell r="E159">
            <v>2692370</v>
          </cell>
          <cell r="F159">
            <v>5669406</v>
          </cell>
          <cell r="G159">
            <v>8361776</v>
          </cell>
          <cell r="H159">
            <v>1250560</v>
          </cell>
        </row>
        <row r="160">
          <cell r="A160" t="str">
            <v>2917</v>
          </cell>
          <cell r="B160" t="str">
            <v>上田　一奉　　　</v>
          </cell>
          <cell r="C160">
            <v>1285750</v>
          </cell>
          <cell r="D160">
            <v>1385970</v>
          </cell>
          <cell r="E160">
            <v>2671720</v>
          </cell>
          <cell r="F160">
            <v>5865010</v>
          </cell>
          <cell r="G160">
            <v>8536730</v>
          </cell>
          <cell r="H160">
            <v>1251500</v>
          </cell>
        </row>
        <row r="161">
          <cell r="A161" t="str">
            <v>0389</v>
          </cell>
          <cell r="B161" t="str">
            <v>兼光　健司　　　</v>
          </cell>
          <cell r="C161">
            <v>1222750</v>
          </cell>
          <cell r="D161">
            <v>1385040</v>
          </cell>
          <cell r="E161">
            <v>2607790</v>
          </cell>
          <cell r="F161">
            <v>5585801</v>
          </cell>
          <cell r="G161">
            <v>8193591</v>
          </cell>
          <cell r="H161">
            <v>1264580</v>
          </cell>
        </row>
        <row r="162">
          <cell r="A162" t="str">
            <v>0549</v>
          </cell>
          <cell r="B162" t="str">
            <v>佐藤　敏夫　　　</v>
          </cell>
          <cell r="C162">
            <v>1131960</v>
          </cell>
          <cell r="D162">
            <v>1383570</v>
          </cell>
          <cell r="E162">
            <v>2515530</v>
          </cell>
          <cell r="F162">
            <v>6273369</v>
          </cell>
          <cell r="G162">
            <v>8788899</v>
          </cell>
          <cell r="H162">
            <v>1226370</v>
          </cell>
        </row>
        <row r="163">
          <cell r="A163" t="str">
            <v>0557</v>
          </cell>
          <cell r="B163" t="str">
            <v>中村　貞實　　　</v>
          </cell>
          <cell r="C163">
            <v>1148000</v>
          </cell>
          <cell r="D163">
            <v>1382340</v>
          </cell>
          <cell r="E163">
            <v>2530340</v>
          </cell>
          <cell r="F163">
            <v>5518120</v>
          </cell>
          <cell r="G163">
            <v>8048460</v>
          </cell>
          <cell r="H163">
            <v>1302460</v>
          </cell>
        </row>
        <row r="164">
          <cell r="A164" t="str">
            <v>0207</v>
          </cell>
          <cell r="B164" t="str">
            <v>戸田　勝美　　　</v>
          </cell>
          <cell r="C164">
            <v>1572980</v>
          </cell>
          <cell r="D164">
            <v>1378030</v>
          </cell>
          <cell r="E164">
            <v>2951010</v>
          </cell>
          <cell r="F164">
            <v>6248460</v>
          </cell>
          <cell r="G164">
            <v>9199470</v>
          </cell>
          <cell r="H164">
            <v>1570140</v>
          </cell>
        </row>
        <row r="165">
          <cell r="A165" t="str">
            <v>0334</v>
          </cell>
          <cell r="B165" t="str">
            <v>宇高　正　　　　</v>
          </cell>
          <cell r="C165">
            <v>1274270</v>
          </cell>
          <cell r="D165">
            <v>1377670</v>
          </cell>
          <cell r="E165">
            <v>2651940</v>
          </cell>
          <cell r="F165">
            <v>5499048</v>
          </cell>
          <cell r="G165">
            <v>8150988</v>
          </cell>
          <cell r="H165">
            <v>1180440</v>
          </cell>
        </row>
        <row r="166">
          <cell r="A166" t="str">
            <v>0558</v>
          </cell>
          <cell r="B166" t="str">
            <v>福田　和寿　　　</v>
          </cell>
          <cell r="C166">
            <v>1202850</v>
          </cell>
          <cell r="D166">
            <v>1377330</v>
          </cell>
          <cell r="E166">
            <v>2580180</v>
          </cell>
          <cell r="F166">
            <v>5494283</v>
          </cell>
          <cell r="G166">
            <v>8074463</v>
          </cell>
          <cell r="H166">
            <v>1318180</v>
          </cell>
        </row>
        <row r="167">
          <cell r="A167" t="str">
            <v>1088</v>
          </cell>
          <cell r="B167" t="str">
            <v>村田　恭平　　　</v>
          </cell>
          <cell r="C167">
            <v>1199360</v>
          </cell>
          <cell r="D167">
            <v>1377170</v>
          </cell>
          <cell r="E167">
            <v>2576530</v>
          </cell>
          <cell r="F167">
            <v>5172558</v>
          </cell>
          <cell r="G167">
            <v>7749088</v>
          </cell>
          <cell r="H167">
            <v>1196240</v>
          </cell>
        </row>
        <row r="168">
          <cell r="A168" t="str">
            <v>2038</v>
          </cell>
          <cell r="B168" t="str">
            <v>竹内　克美　　　</v>
          </cell>
          <cell r="C168">
            <v>1063330</v>
          </cell>
          <cell r="D168">
            <v>1377170</v>
          </cell>
          <cell r="E168">
            <v>2440500</v>
          </cell>
          <cell r="F168">
            <v>5183008</v>
          </cell>
          <cell r="G168">
            <v>7623508</v>
          </cell>
          <cell r="H168">
            <v>1176950</v>
          </cell>
        </row>
        <row r="169">
          <cell r="A169" t="str">
            <v>0989</v>
          </cell>
          <cell r="B169" t="str">
            <v>矢田　英樹　　　</v>
          </cell>
          <cell r="C169">
            <v>1205520</v>
          </cell>
          <cell r="D169">
            <v>1377170</v>
          </cell>
          <cell r="E169">
            <v>2582690</v>
          </cell>
          <cell r="F169">
            <v>5149941</v>
          </cell>
          <cell r="G169">
            <v>7732631</v>
          </cell>
          <cell r="H169">
            <v>1196240</v>
          </cell>
        </row>
        <row r="170">
          <cell r="A170" t="str">
            <v>0700</v>
          </cell>
          <cell r="B170" t="str">
            <v>赤阪　幹夫　　　</v>
          </cell>
          <cell r="C170">
            <v>1207210</v>
          </cell>
          <cell r="D170">
            <v>1376530</v>
          </cell>
          <cell r="E170">
            <v>2583740</v>
          </cell>
          <cell r="F170">
            <v>5432928</v>
          </cell>
          <cell r="G170">
            <v>8016668</v>
          </cell>
          <cell r="H170">
            <v>1179460</v>
          </cell>
        </row>
        <row r="171">
          <cell r="A171" t="str">
            <v>0505</v>
          </cell>
          <cell r="B171" t="str">
            <v>勝間田　寛　　　</v>
          </cell>
          <cell r="C171">
            <v>1200380</v>
          </cell>
          <cell r="D171">
            <v>1372920</v>
          </cell>
          <cell r="E171">
            <v>2573300</v>
          </cell>
          <cell r="F171">
            <v>5558773</v>
          </cell>
          <cell r="G171">
            <v>8132073</v>
          </cell>
          <cell r="H171">
            <v>1235280</v>
          </cell>
        </row>
        <row r="172">
          <cell r="A172" t="str">
            <v>0403</v>
          </cell>
          <cell r="B172" t="str">
            <v>余田　源太郎　　</v>
          </cell>
          <cell r="C172">
            <v>1336370</v>
          </cell>
          <cell r="D172">
            <v>1372440</v>
          </cell>
          <cell r="E172">
            <v>2708810</v>
          </cell>
          <cell r="F172">
            <v>5858954</v>
          </cell>
          <cell r="G172">
            <v>8567764</v>
          </cell>
          <cell r="H172">
            <v>1313090</v>
          </cell>
        </row>
        <row r="173">
          <cell r="A173" t="str">
            <v>1851</v>
          </cell>
          <cell r="B173" t="str">
            <v>鹿沼　富士雄　　</v>
          </cell>
          <cell r="C173">
            <v>1057990</v>
          </cell>
          <cell r="D173">
            <v>1368520</v>
          </cell>
          <cell r="E173">
            <v>2426510</v>
          </cell>
          <cell r="F173">
            <v>5101239</v>
          </cell>
          <cell r="G173">
            <v>7527749</v>
          </cell>
          <cell r="H173">
            <v>1191810</v>
          </cell>
        </row>
        <row r="174">
          <cell r="A174" t="str">
            <v>0441</v>
          </cell>
          <cell r="B174" t="str">
            <v>吉岡　久生　　　</v>
          </cell>
          <cell r="C174">
            <v>1166830</v>
          </cell>
          <cell r="D174">
            <v>1368380</v>
          </cell>
          <cell r="E174">
            <v>2535210</v>
          </cell>
          <cell r="F174">
            <v>5262079</v>
          </cell>
          <cell r="G174">
            <v>7797289</v>
          </cell>
          <cell r="H174">
            <v>1172490</v>
          </cell>
        </row>
        <row r="175">
          <cell r="A175" t="str">
            <v>0574</v>
          </cell>
          <cell r="B175" t="str">
            <v>武藤　隆　　　　</v>
          </cell>
          <cell r="C175">
            <v>1092060</v>
          </cell>
          <cell r="D175">
            <v>1364720</v>
          </cell>
          <cell r="E175">
            <v>2456780</v>
          </cell>
          <cell r="F175">
            <v>5192681</v>
          </cell>
          <cell r="G175">
            <v>7649461</v>
          </cell>
          <cell r="H175">
            <v>1274010</v>
          </cell>
        </row>
        <row r="176">
          <cell r="A176" t="str">
            <v>0174</v>
          </cell>
          <cell r="B176" t="str">
            <v>菅原　啓　　　　</v>
          </cell>
          <cell r="C176">
            <v>1089030</v>
          </cell>
          <cell r="D176">
            <v>1362880</v>
          </cell>
          <cell r="E176">
            <v>2451910</v>
          </cell>
          <cell r="F176">
            <v>5123270</v>
          </cell>
          <cell r="G176">
            <v>7575180</v>
          </cell>
          <cell r="H176">
            <v>1235570</v>
          </cell>
        </row>
        <row r="177">
          <cell r="A177" t="str">
            <v>2585</v>
          </cell>
          <cell r="B177" t="str">
            <v>中川　克人　　　</v>
          </cell>
          <cell r="C177">
            <v>1199220</v>
          </cell>
          <cell r="D177">
            <v>1357890</v>
          </cell>
          <cell r="E177">
            <v>2557110</v>
          </cell>
          <cell r="F177">
            <v>5429586</v>
          </cell>
          <cell r="G177">
            <v>7986696</v>
          </cell>
          <cell r="H177">
            <v>1200340</v>
          </cell>
        </row>
        <row r="178">
          <cell r="A178" t="str">
            <v>0180</v>
          </cell>
          <cell r="B178" t="str">
            <v>森川　真久　　　</v>
          </cell>
          <cell r="C178">
            <v>1610320</v>
          </cell>
          <cell r="D178">
            <v>1350490</v>
          </cell>
          <cell r="E178">
            <v>2960810</v>
          </cell>
          <cell r="F178">
            <v>6276519</v>
          </cell>
          <cell r="G178">
            <v>9237329</v>
          </cell>
          <cell r="H178">
            <v>1235640</v>
          </cell>
        </row>
        <row r="179">
          <cell r="A179" t="str">
            <v>0630</v>
          </cell>
          <cell r="B179" t="str">
            <v>小畑　昇一　　　</v>
          </cell>
          <cell r="C179">
            <v>1073840</v>
          </cell>
          <cell r="D179">
            <v>1349720</v>
          </cell>
          <cell r="E179">
            <v>2423560</v>
          </cell>
          <cell r="F179">
            <v>4942858</v>
          </cell>
          <cell r="G179">
            <v>7366418</v>
          </cell>
          <cell r="H179">
            <v>1190780</v>
          </cell>
        </row>
        <row r="180">
          <cell r="A180" t="str">
            <v>0445</v>
          </cell>
          <cell r="B180" t="str">
            <v>大中　嘉昭　　　</v>
          </cell>
          <cell r="C180">
            <v>1291120</v>
          </cell>
          <cell r="D180">
            <v>1345250</v>
          </cell>
          <cell r="E180">
            <v>2636370</v>
          </cell>
          <cell r="F180">
            <v>6039625</v>
          </cell>
          <cell r="G180">
            <v>8675995</v>
          </cell>
          <cell r="H180">
            <v>1164190</v>
          </cell>
        </row>
        <row r="181">
          <cell r="A181" t="str">
            <v>0408</v>
          </cell>
          <cell r="B181" t="str">
            <v>鈴木　信男　　　</v>
          </cell>
          <cell r="C181">
            <v>1096180</v>
          </cell>
          <cell r="D181">
            <v>1345210</v>
          </cell>
          <cell r="E181">
            <v>2441390</v>
          </cell>
          <cell r="F181">
            <v>5311813</v>
          </cell>
          <cell r="G181">
            <v>7753203</v>
          </cell>
          <cell r="H181">
            <v>1170430</v>
          </cell>
        </row>
        <row r="182">
          <cell r="A182" t="str">
            <v>0515</v>
          </cell>
          <cell r="B182" t="str">
            <v>鍋石　典夫　　　</v>
          </cell>
          <cell r="C182">
            <v>1087490</v>
          </cell>
          <cell r="D182">
            <v>1344190</v>
          </cell>
          <cell r="E182">
            <v>2431680</v>
          </cell>
          <cell r="F182">
            <v>5305639</v>
          </cell>
          <cell r="G182">
            <v>7737319</v>
          </cell>
          <cell r="H182">
            <v>1230300</v>
          </cell>
        </row>
        <row r="183">
          <cell r="A183" t="str">
            <v>1070</v>
          </cell>
          <cell r="B183" t="str">
            <v>中村　弘　　　　</v>
          </cell>
          <cell r="C183">
            <v>1048100</v>
          </cell>
          <cell r="D183">
            <v>1343710</v>
          </cell>
          <cell r="E183">
            <v>2391810</v>
          </cell>
          <cell r="F183">
            <v>5295299</v>
          </cell>
          <cell r="G183">
            <v>7687109</v>
          </cell>
          <cell r="H183">
            <v>1101480</v>
          </cell>
        </row>
        <row r="184">
          <cell r="A184" t="str">
            <v>0529</v>
          </cell>
          <cell r="B184" t="str">
            <v>善家　邦夫　　　</v>
          </cell>
          <cell r="C184">
            <v>1077910</v>
          </cell>
          <cell r="D184">
            <v>1337510</v>
          </cell>
          <cell r="E184">
            <v>2415420</v>
          </cell>
          <cell r="F184">
            <v>4696241</v>
          </cell>
          <cell r="G184">
            <v>7111661</v>
          </cell>
          <cell r="H184">
            <v>1104160</v>
          </cell>
        </row>
        <row r="185">
          <cell r="A185" t="str">
            <v>0452</v>
          </cell>
          <cell r="B185" t="str">
            <v>山本　辰夫　　　</v>
          </cell>
          <cell r="C185">
            <v>1148150</v>
          </cell>
          <cell r="D185">
            <v>1337510</v>
          </cell>
          <cell r="E185">
            <v>2485660</v>
          </cell>
          <cell r="F185">
            <v>5262199</v>
          </cell>
          <cell r="G185">
            <v>7747859</v>
          </cell>
          <cell r="H185">
            <v>1177020</v>
          </cell>
        </row>
        <row r="186">
          <cell r="A186" t="str">
            <v>0347</v>
          </cell>
          <cell r="B186" t="str">
            <v>角　悟　　　　　</v>
          </cell>
          <cell r="C186">
            <v>1140820</v>
          </cell>
          <cell r="D186">
            <v>1329540</v>
          </cell>
          <cell r="E186">
            <v>2470360</v>
          </cell>
          <cell r="F186">
            <v>5085594</v>
          </cell>
          <cell r="G186">
            <v>7555954</v>
          </cell>
          <cell r="H186">
            <v>1279760</v>
          </cell>
        </row>
        <row r="187">
          <cell r="A187" t="str">
            <v>0451</v>
          </cell>
          <cell r="B187" t="str">
            <v>森重　俊美　　　</v>
          </cell>
          <cell r="C187">
            <v>1085020</v>
          </cell>
          <cell r="D187">
            <v>1324630</v>
          </cell>
          <cell r="E187">
            <v>2409650</v>
          </cell>
          <cell r="F187">
            <v>5330596</v>
          </cell>
          <cell r="G187">
            <v>7740246</v>
          </cell>
          <cell r="H187">
            <v>1188580</v>
          </cell>
        </row>
        <row r="188">
          <cell r="A188" t="str">
            <v>0208</v>
          </cell>
          <cell r="B188" t="str">
            <v>中本　賢治郎　　</v>
          </cell>
          <cell r="C188">
            <v>1241610</v>
          </cell>
          <cell r="D188">
            <v>1324240</v>
          </cell>
          <cell r="E188">
            <v>2565850</v>
          </cell>
          <cell r="F188">
            <v>5550625</v>
          </cell>
          <cell r="G188">
            <v>8116475</v>
          </cell>
          <cell r="H188">
            <v>1261950</v>
          </cell>
        </row>
        <row r="189">
          <cell r="A189" t="str">
            <v>1926</v>
          </cell>
          <cell r="B189" t="str">
            <v>高山　勝彦　　　</v>
          </cell>
          <cell r="C189">
            <v>1147170</v>
          </cell>
          <cell r="D189">
            <v>1320240</v>
          </cell>
          <cell r="E189">
            <v>2467410</v>
          </cell>
          <cell r="F189">
            <v>6044662</v>
          </cell>
          <cell r="G189">
            <v>8512072</v>
          </cell>
          <cell r="H189">
            <v>1167070</v>
          </cell>
        </row>
        <row r="190">
          <cell r="A190" t="str">
            <v>0722</v>
          </cell>
          <cell r="B190" t="str">
            <v>長沢　成夫　　　</v>
          </cell>
          <cell r="C190">
            <v>1050090</v>
          </cell>
          <cell r="D190">
            <v>1318130</v>
          </cell>
          <cell r="E190">
            <v>2368220</v>
          </cell>
          <cell r="F190">
            <v>5143477</v>
          </cell>
          <cell r="G190">
            <v>7511697</v>
          </cell>
          <cell r="H190">
            <v>1182770</v>
          </cell>
        </row>
        <row r="191">
          <cell r="A191" t="str">
            <v>0506</v>
          </cell>
          <cell r="B191" t="str">
            <v>岡村　廣　　　　</v>
          </cell>
          <cell r="C191">
            <v>1107860</v>
          </cell>
          <cell r="D191">
            <v>1315300</v>
          </cell>
          <cell r="E191">
            <v>2423160</v>
          </cell>
          <cell r="F191">
            <v>5658792</v>
          </cell>
          <cell r="G191">
            <v>8081952</v>
          </cell>
          <cell r="H191">
            <v>996190</v>
          </cell>
        </row>
        <row r="192">
          <cell r="A192" t="str">
            <v>0721</v>
          </cell>
          <cell r="B192" t="str">
            <v>印出　幸裕　　　</v>
          </cell>
          <cell r="C192">
            <v>1065730</v>
          </cell>
          <cell r="D192">
            <v>1314110</v>
          </cell>
          <cell r="E192">
            <v>2379840</v>
          </cell>
          <cell r="F192">
            <v>5100024</v>
          </cell>
          <cell r="G192">
            <v>7479864</v>
          </cell>
          <cell r="H192">
            <v>1071040</v>
          </cell>
        </row>
        <row r="193">
          <cell r="A193" t="str">
            <v>0158</v>
          </cell>
          <cell r="B193" t="str">
            <v>小林　深　　　　</v>
          </cell>
          <cell r="C193">
            <v>1012130</v>
          </cell>
          <cell r="D193">
            <v>1313930</v>
          </cell>
          <cell r="E193">
            <v>2326060</v>
          </cell>
          <cell r="F193">
            <v>4803640</v>
          </cell>
          <cell r="G193">
            <v>7129700</v>
          </cell>
          <cell r="H193">
            <v>1247100</v>
          </cell>
        </row>
        <row r="194">
          <cell r="A194" t="str">
            <v>0725</v>
          </cell>
          <cell r="B194" t="str">
            <v>青竹　泉　　　　</v>
          </cell>
          <cell r="C194">
            <v>1159160</v>
          </cell>
          <cell r="D194">
            <v>1312780</v>
          </cell>
          <cell r="E194">
            <v>2471940</v>
          </cell>
          <cell r="F194">
            <v>5525389</v>
          </cell>
          <cell r="G194">
            <v>7997329</v>
          </cell>
          <cell r="H194">
            <v>1044800</v>
          </cell>
        </row>
        <row r="195">
          <cell r="A195" t="str">
            <v>0980</v>
          </cell>
          <cell r="B195" t="str">
            <v>田中　嘉憲　　　</v>
          </cell>
          <cell r="C195">
            <v>1087920</v>
          </cell>
          <cell r="D195">
            <v>1312780</v>
          </cell>
          <cell r="E195">
            <v>2400700</v>
          </cell>
          <cell r="F195">
            <v>5149138</v>
          </cell>
          <cell r="G195">
            <v>7549838</v>
          </cell>
          <cell r="H195">
            <v>1124840</v>
          </cell>
        </row>
        <row r="196">
          <cell r="A196" t="str">
            <v>2009</v>
          </cell>
          <cell r="B196" t="str">
            <v>小笠原　豊彦　　</v>
          </cell>
          <cell r="C196">
            <v>1180880</v>
          </cell>
          <cell r="D196">
            <v>1310420</v>
          </cell>
          <cell r="E196">
            <v>2491300</v>
          </cell>
          <cell r="F196">
            <v>5049088</v>
          </cell>
          <cell r="G196">
            <v>7540388</v>
          </cell>
          <cell r="H196">
            <v>1200870</v>
          </cell>
        </row>
        <row r="197">
          <cell r="A197" t="str">
            <v>0560</v>
          </cell>
          <cell r="B197" t="str">
            <v>田中　壮一　　　</v>
          </cell>
          <cell r="C197">
            <v>1134000</v>
          </cell>
          <cell r="D197">
            <v>1309680</v>
          </cell>
          <cell r="E197">
            <v>2443680</v>
          </cell>
          <cell r="F197">
            <v>5105726</v>
          </cell>
          <cell r="G197">
            <v>7549406</v>
          </cell>
          <cell r="H197">
            <v>1197050</v>
          </cell>
        </row>
        <row r="198">
          <cell r="A198" t="str">
            <v>1701</v>
          </cell>
          <cell r="B198" t="str">
            <v>下久保　正人　　</v>
          </cell>
          <cell r="C198">
            <v>1092020</v>
          </cell>
          <cell r="D198">
            <v>1307530</v>
          </cell>
          <cell r="E198">
            <v>2399550</v>
          </cell>
          <cell r="F198">
            <v>4769257</v>
          </cell>
          <cell r="G198">
            <v>7168807</v>
          </cell>
          <cell r="H198">
            <v>1125620</v>
          </cell>
        </row>
        <row r="199">
          <cell r="A199" t="str">
            <v>1138</v>
          </cell>
          <cell r="B199" t="str">
            <v>杉原　操　　　　</v>
          </cell>
          <cell r="C199">
            <v>1192150</v>
          </cell>
          <cell r="D199">
            <v>1306280</v>
          </cell>
          <cell r="E199">
            <v>2498430</v>
          </cell>
          <cell r="F199">
            <v>5225743</v>
          </cell>
          <cell r="G199">
            <v>7724173</v>
          </cell>
          <cell r="H199">
            <v>1227510</v>
          </cell>
        </row>
        <row r="200">
          <cell r="A200" t="str">
            <v>0697</v>
          </cell>
          <cell r="B200" t="str">
            <v>坪川　正宏　　　</v>
          </cell>
          <cell r="C200">
            <v>1139500</v>
          </cell>
          <cell r="D200">
            <v>1304410</v>
          </cell>
          <cell r="E200">
            <v>2443910</v>
          </cell>
          <cell r="F200">
            <v>5145885</v>
          </cell>
          <cell r="G200">
            <v>7589795</v>
          </cell>
          <cell r="H200">
            <v>1150840</v>
          </cell>
        </row>
        <row r="201">
          <cell r="A201" t="str">
            <v>0398</v>
          </cell>
          <cell r="B201" t="str">
            <v>笹尾　正幸　　　</v>
          </cell>
          <cell r="C201">
            <v>1169210</v>
          </cell>
          <cell r="D201">
            <v>1304000</v>
          </cell>
          <cell r="E201">
            <v>2473210</v>
          </cell>
          <cell r="F201">
            <v>5057326</v>
          </cell>
          <cell r="G201">
            <v>7530536</v>
          </cell>
          <cell r="H201">
            <v>1211620</v>
          </cell>
        </row>
        <row r="202">
          <cell r="A202" t="str">
            <v>0419</v>
          </cell>
          <cell r="B202" t="str">
            <v>仁科　武志　　　</v>
          </cell>
          <cell r="C202">
            <v>1181250</v>
          </cell>
          <cell r="D202">
            <v>1302200</v>
          </cell>
          <cell r="E202">
            <v>2483450</v>
          </cell>
          <cell r="F202">
            <v>4958540</v>
          </cell>
          <cell r="G202">
            <v>7441990</v>
          </cell>
          <cell r="H202">
            <v>1210420</v>
          </cell>
        </row>
        <row r="203">
          <cell r="A203" t="str">
            <v>0148</v>
          </cell>
          <cell r="B203" t="str">
            <v>新見　政功　　　</v>
          </cell>
          <cell r="C203">
            <v>1189670</v>
          </cell>
          <cell r="D203">
            <v>1297940</v>
          </cell>
          <cell r="E203">
            <v>2487610</v>
          </cell>
          <cell r="F203">
            <v>5369112</v>
          </cell>
          <cell r="G203">
            <v>7856722</v>
          </cell>
          <cell r="H203">
            <v>1187470</v>
          </cell>
        </row>
        <row r="204">
          <cell r="A204" t="str">
            <v>0448</v>
          </cell>
          <cell r="B204" t="str">
            <v>鈴木　正人　　　</v>
          </cell>
          <cell r="C204">
            <v>1120270</v>
          </cell>
          <cell r="D204">
            <v>1296160</v>
          </cell>
          <cell r="E204">
            <v>2416430</v>
          </cell>
          <cell r="F204">
            <v>4757042</v>
          </cell>
          <cell r="G204">
            <v>7173472</v>
          </cell>
          <cell r="H204">
            <v>1116160</v>
          </cell>
        </row>
        <row r="205">
          <cell r="A205" t="str">
            <v>0956</v>
          </cell>
          <cell r="B205" t="str">
            <v>新妻　敬二郎　　</v>
          </cell>
          <cell r="C205">
            <v>1082410</v>
          </cell>
          <cell r="D205">
            <v>1294650</v>
          </cell>
          <cell r="E205">
            <v>2377060</v>
          </cell>
          <cell r="F205">
            <v>5023341</v>
          </cell>
          <cell r="G205">
            <v>7400401</v>
          </cell>
          <cell r="H205">
            <v>1197050</v>
          </cell>
        </row>
        <row r="206">
          <cell r="A206" t="str">
            <v>0166</v>
          </cell>
          <cell r="B206" t="str">
            <v>鎌田　善男　　　</v>
          </cell>
          <cell r="C206">
            <v>1157400</v>
          </cell>
          <cell r="D206">
            <v>1294440</v>
          </cell>
          <cell r="E206">
            <v>2451840</v>
          </cell>
          <cell r="F206">
            <v>4863539</v>
          </cell>
          <cell r="G206">
            <v>7315379</v>
          </cell>
          <cell r="H206">
            <v>1128150</v>
          </cell>
        </row>
        <row r="207">
          <cell r="A207" t="str">
            <v>0553</v>
          </cell>
          <cell r="B207" t="str">
            <v>甲斐　俊昭　　　</v>
          </cell>
          <cell r="C207">
            <v>1141980</v>
          </cell>
          <cell r="D207">
            <v>1293020</v>
          </cell>
          <cell r="E207">
            <v>2435000</v>
          </cell>
          <cell r="F207">
            <v>4529570</v>
          </cell>
          <cell r="G207">
            <v>6964570</v>
          </cell>
          <cell r="H207">
            <v>1237100</v>
          </cell>
        </row>
        <row r="208">
          <cell r="A208" t="str">
            <v>0137</v>
          </cell>
          <cell r="B208" t="str">
            <v>北川　広蔵　　　</v>
          </cell>
          <cell r="C208">
            <v>1198780</v>
          </cell>
          <cell r="D208">
            <v>1293000</v>
          </cell>
          <cell r="E208">
            <v>2491780</v>
          </cell>
          <cell r="F208">
            <v>5753599</v>
          </cell>
          <cell r="G208">
            <v>8245379</v>
          </cell>
          <cell r="H208">
            <v>1259760</v>
          </cell>
        </row>
        <row r="209">
          <cell r="A209" t="str">
            <v>0471</v>
          </cell>
          <cell r="B209" t="str">
            <v>阿部　利孝　　　</v>
          </cell>
          <cell r="C209">
            <v>1246550</v>
          </cell>
          <cell r="D209">
            <v>1290890</v>
          </cell>
          <cell r="E209">
            <v>2537440</v>
          </cell>
          <cell r="F209">
            <v>6080411</v>
          </cell>
          <cell r="G209">
            <v>8617851</v>
          </cell>
          <cell r="H209">
            <v>923400</v>
          </cell>
        </row>
        <row r="210">
          <cell r="A210" t="str">
            <v>1165</v>
          </cell>
          <cell r="B210" t="str">
            <v>名木橋　孝　　　</v>
          </cell>
          <cell r="C210">
            <v>1027910</v>
          </cell>
          <cell r="D210">
            <v>1289230</v>
          </cell>
          <cell r="E210">
            <v>2317140</v>
          </cell>
          <cell r="F210">
            <v>4943893</v>
          </cell>
          <cell r="G210">
            <v>7261033</v>
          </cell>
          <cell r="H210">
            <v>1153830</v>
          </cell>
        </row>
        <row r="211">
          <cell r="A211" t="str">
            <v>0834</v>
          </cell>
          <cell r="B211" t="str">
            <v>大谷　潤弥　　　</v>
          </cell>
          <cell r="C211">
            <v>1072380</v>
          </cell>
          <cell r="D211">
            <v>1288520</v>
          </cell>
          <cell r="E211">
            <v>2360900</v>
          </cell>
          <cell r="F211">
            <v>4899272</v>
          </cell>
          <cell r="G211">
            <v>7260172</v>
          </cell>
          <cell r="H211">
            <v>1178070</v>
          </cell>
        </row>
        <row r="212">
          <cell r="A212" t="str">
            <v>0284</v>
          </cell>
          <cell r="B212" t="str">
            <v>森田　光雄　　　</v>
          </cell>
          <cell r="C212">
            <v>1158040</v>
          </cell>
          <cell r="D212">
            <v>1284310</v>
          </cell>
          <cell r="E212">
            <v>2442350</v>
          </cell>
          <cell r="F212">
            <v>5464537</v>
          </cell>
          <cell r="G212">
            <v>7906887</v>
          </cell>
          <cell r="H212">
            <v>1178290</v>
          </cell>
        </row>
        <row r="213">
          <cell r="A213" t="str">
            <v>0726</v>
          </cell>
          <cell r="B213" t="str">
            <v>管野　淳一　　　</v>
          </cell>
          <cell r="C213">
            <v>1100380</v>
          </cell>
          <cell r="D213">
            <v>1284050</v>
          </cell>
          <cell r="E213">
            <v>2384430</v>
          </cell>
          <cell r="F213">
            <v>5215649</v>
          </cell>
          <cell r="G213">
            <v>7600079</v>
          </cell>
          <cell r="H213">
            <v>1171130</v>
          </cell>
        </row>
        <row r="214">
          <cell r="A214" t="str">
            <v>1854</v>
          </cell>
          <cell r="B214" t="str">
            <v>福原　裕明　　　</v>
          </cell>
          <cell r="C214">
            <v>1086220</v>
          </cell>
          <cell r="D214">
            <v>1281340</v>
          </cell>
          <cell r="E214">
            <v>2367560</v>
          </cell>
          <cell r="F214">
            <v>5121524</v>
          </cell>
          <cell r="G214">
            <v>7489084</v>
          </cell>
          <cell r="H214">
            <v>1127580</v>
          </cell>
        </row>
        <row r="215">
          <cell r="A215" t="str">
            <v>1080</v>
          </cell>
          <cell r="B215" t="str">
            <v>大木　茂則　　　</v>
          </cell>
          <cell r="C215">
            <v>1144950</v>
          </cell>
          <cell r="D215">
            <v>1281010</v>
          </cell>
          <cell r="E215">
            <v>2425960</v>
          </cell>
          <cell r="F215">
            <v>5225595</v>
          </cell>
          <cell r="G215">
            <v>7651555</v>
          </cell>
          <cell r="H215">
            <v>1173900</v>
          </cell>
        </row>
        <row r="216">
          <cell r="A216" t="str">
            <v>0747</v>
          </cell>
          <cell r="B216" t="str">
            <v>丹波　隆　　　　</v>
          </cell>
          <cell r="C216">
            <v>1086540</v>
          </cell>
          <cell r="D216">
            <v>1277320</v>
          </cell>
          <cell r="E216">
            <v>2363860</v>
          </cell>
          <cell r="F216">
            <v>5258856</v>
          </cell>
          <cell r="G216">
            <v>7622716</v>
          </cell>
          <cell r="H216">
            <v>1150020</v>
          </cell>
        </row>
        <row r="217">
          <cell r="A217" t="str">
            <v>1145</v>
          </cell>
          <cell r="B217" t="str">
            <v>大橋　昌弘　　　</v>
          </cell>
          <cell r="C217">
            <v>1053510</v>
          </cell>
          <cell r="D217">
            <v>1276190</v>
          </cell>
          <cell r="E217">
            <v>2329700</v>
          </cell>
          <cell r="F217">
            <v>4223154</v>
          </cell>
          <cell r="G217">
            <v>6552854</v>
          </cell>
          <cell r="H217">
            <v>1186260</v>
          </cell>
        </row>
        <row r="218">
          <cell r="A218" t="str">
            <v>0645</v>
          </cell>
          <cell r="B218" t="str">
            <v>野村　道雄　　　</v>
          </cell>
          <cell r="C218">
            <v>1137010</v>
          </cell>
          <cell r="D218">
            <v>1272800</v>
          </cell>
          <cell r="E218">
            <v>2409810</v>
          </cell>
          <cell r="F218">
            <v>6064068</v>
          </cell>
          <cell r="G218">
            <v>8473878</v>
          </cell>
          <cell r="H218">
            <v>1183470</v>
          </cell>
        </row>
        <row r="219">
          <cell r="A219" t="str">
            <v>0982</v>
          </cell>
          <cell r="B219" t="str">
            <v>鳴神　晋　　　　</v>
          </cell>
          <cell r="C219">
            <v>986680</v>
          </cell>
          <cell r="D219">
            <v>1271560</v>
          </cell>
          <cell r="E219">
            <v>2258240</v>
          </cell>
          <cell r="F219">
            <v>4816723</v>
          </cell>
          <cell r="G219">
            <v>7074963</v>
          </cell>
          <cell r="H219">
            <v>1187020</v>
          </cell>
        </row>
        <row r="220">
          <cell r="A220" t="str">
            <v>0714</v>
          </cell>
          <cell r="B220" t="str">
            <v>岡　博志　　　　</v>
          </cell>
          <cell r="C220">
            <v>1089450</v>
          </cell>
          <cell r="D220">
            <v>1271070</v>
          </cell>
          <cell r="E220">
            <v>2360520</v>
          </cell>
          <cell r="F220">
            <v>5094908</v>
          </cell>
          <cell r="G220">
            <v>7455428</v>
          </cell>
          <cell r="H220">
            <v>1182120</v>
          </cell>
        </row>
        <row r="221">
          <cell r="A221" t="str">
            <v>0406</v>
          </cell>
          <cell r="B221" t="str">
            <v>前川　英樹　　　</v>
          </cell>
          <cell r="C221">
            <v>1208190</v>
          </cell>
          <cell r="D221">
            <v>1268630</v>
          </cell>
          <cell r="E221">
            <v>2476820</v>
          </cell>
          <cell r="F221">
            <v>5556032</v>
          </cell>
          <cell r="G221">
            <v>8032852</v>
          </cell>
          <cell r="H221">
            <v>1271080</v>
          </cell>
        </row>
        <row r="222">
          <cell r="A222" t="str">
            <v>0396</v>
          </cell>
          <cell r="B222" t="str">
            <v>山根　政臣　　　</v>
          </cell>
          <cell r="C222">
            <v>1109610</v>
          </cell>
          <cell r="D222">
            <v>1267030</v>
          </cell>
          <cell r="E222">
            <v>2376640</v>
          </cell>
          <cell r="F222">
            <v>5328971</v>
          </cell>
          <cell r="G222">
            <v>7705611</v>
          </cell>
          <cell r="H222">
            <v>1062010</v>
          </cell>
        </row>
        <row r="223">
          <cell r="A223" t="str">
            <v>0405</v>
          </cell>
          <cell r="B223" t="str">
            <v>高橋　英雄　　　</v>
          </cell>
          <cell r="C223">
            <v>1092060</v>
          </cell>
          <cell r="D223">
            <v>1266300</v>
          </cell>
          <cell r="E223">
            <v>2358360</v>
          </cell>
          <cell r="F223">
            <v>5911985</v>
          </cell>
          <cell r="G223">
            <v>8270345</v>
          </cell>
          <cell r="H223">
            <v>1143020</v>
          </cell>
        </row>
        <row r="224">
          <cell r="A224" t="str">
            <v>1180</v>
          </cell>
          <cell r="B224" t="str">
            <v>村上　直紀　　　</v>
          </cell>
          <cell r="C224">
            <v>1064430</v>
          </cell>
          <cell r="D224">
            <v>1266240</v>
          </cell>
          <cell r="E224">
            <v>2330670</v>
          </cell>
          <cell r="F224">
            <v>4983978</v>
          </cell>
          <cell r="G224">
            <v>7314648</v>
          </cell>
          <cell r="H224">
            <v>1155480</v>
          </cell>
        </row>
        <row r="225">
          <cell r="A225" t="str">
            <v>1183</v>
          </cell>
          <cell r="B225" t="str">
            <v>吉岡　正晃　　　</v>
          </cell>
          <cell r="C225">
            <v>1044500</v>
          </cell>
          <cell r="D225">
            <v>1265610</v>
          </cell>
          <cell r="E225">
            <v>2310110</v>
          </cell>
          <cell r="F225">
            <v>4192549</v>
          </cell>
          <cell r="G225">
            <v>6502659</v>
          </cell>
          <cell r="H225">
            <v>1035640</v>
          </cell>
        </row>
        <row r="226">
          <cell r="A226" t="str">
            <v>0253</v>
          </cell>
          <cell r="B226" t="str">
            <v>澤田　正二　　　</v>
          </cell>
          <cell r="C226">
            <v>1140720</v>
          </cell>
          <cell r="D226">
            <v>1265400</v>
          </cell>
          <cell r="E226">
            <v>2406120</v>
          </cell>
          <cell r="F226">
            <v>5492269</v>
          </cell>
          <cell r="G226">
            <v>7898389</v>
          </cell>
          <cell r="H226">
            <v>913630</v>
          </cell>
        </row>
        <row r="227">
          <cell r="A227" t="str">
            <v>1146</v>
          </cell>
          <cell r="B227" t="str">
            <v>香月　一幸　　　</v>
          </cell>
          <cell r="C227">
            <v>1055700</v>
          </cell>
          <cell r="D227">
            <v>1264740</v>
          </cell>
          <cell r="E227">
            <v>2320440</v>
          </cell>
          <cell r="F227">
            <v>4757120</v>
          </cell>
          <cell r="G227">
            <v>7077560</v>
          </cell>
          <cell r="H227">
            <v>1143850</v>
          </cell>
        </row>
        <row r="228">
          <cell r="A228" t="str">
            <v>0366</v>
          </cell>
          <cell r="B228" t="str">
            <v>小笠原　繁行　　</v>
          </cell>
          <cell r="C228">
            <v>1125910</v>
          </cell>
          <cell r="D228">
            <v>1264300</v>
          </cell>
          <cell r="E228">
            <v>2390210</v>
          </cell>
          <cell r="F228">
            <v>5671466</v>
          </cell>
          <cell r="G228">
            <v>8061676</v>
          </cell>
          <cell r="H228">
            <v>1247360</v>
          </cell>
        </row>
        <row r="229">
          <cell r="A229" t="str">
            <v>1171</v>
          </cell>
          <cell r="B229" t="str">
            <v>平岡　正啓　　　</v>
          </cell>
          <cell r="C229">
            <v>1041970</v>
          </cell>
          <cell r="D229">
            <v>1262680</v>
          </cell>
          <cell r="E229">
            <v>2304650</v>
          </cell>
          <cell r="F229">
            <v>4591637</v>
          </cell>
          <cell r="G229">
            <v>6896287</v>
          </cell>
          <cell r="H229">
            <v>1154450</v>
          </cell>
        </row>
        <row r="230">
          <cell r="A230" t="str">
            <v>0127</v>
          </cell>
          <cell r="B230" t="str">
            <v>岡本　正治　　　</v>
          </cell>
          <cell r="C230">
            <v>1154770</v>
          </cell>
          <cell r="D230">
            <v>1262230</v>
          </cell>
          <cell r="E230">
            <v>2417000</v>
          </cell>
          <cell r="F230">
            <v>4807936</v>
          </cell>
          <cell r="G230">
            <v>7224936</v>
          </cell>
          <cell r="H230">
            <v>1164360</v>
          </cell>
        </row>
        <row r="231">
          <cell r="A231" t="str">
            <v>0993</v>
          </cell>
          <cell r="B231" t="str">
            <v>佐藤　宣之　　　</v>
          </cell>
          <cell r="C231">
            <v>1029150</v>
          </cell>
          <cell r="D231">
            <v>1262220</v>
          </cell>
          <cell r="E231">
            <v>2291370</v>
          </cell>
          <cell r="F231">
            <v>5069451</v>
          </cell>
          <cell r="G231">
            <v>7360821</v>
          </cell>
          <cell r="H231">
            <v>1113940</v>
          </cell>
        </row>
        <row r="232">
          <cell r="A232" t="str">
            <v>0470</v>
          </cell>
          <cell r="B232" t="str">
            <v>宇土　信義　　　</v>
          </cell>
          <cell r="C232">
            <v>955290</v>
          </cell>
          <cell r="D232">
            <v>1259400</v>
          </cell>
          <cell r="E232">
            <v>2214690</v>
          </cell>
          <cell r="F232">
            <v>5179343</v>
          </cell>
          <cell r="G232">
            <v>7394033</v>
          </cell>
          <cell r="H232">
            <v>1200340</v>
          </cell>
        </row>
        <row r="233">
          <cell r="A233" t="str">
            <v>0258</v>
          </cell>
          <cell r="B233" t="str">
            <v>前澤　敏和　　　</v>
          </cell>
          <cell r="C233">
            <v>1242990</v>
          </cell>
          <cell r="D233">
            <v>1258480</v>
          </cell>
          <cell r="E233">
            <v>2501470</v>
          </cell>
          <cell r="F233">
            <v>5342683</v>
          </cell>
          <cell r="G233">
            <v>7844153</v>
          </cell>
          <cell r="H233">
            <v>1154610</v>
          </cell>
        </row>
        <row r="234">
          <cell r="A234" t="str">
            <v>0519</v>
          </cell>
          <cell r="B234" t="str">
            <v>原田　恒　　　　</v>
          </cell>
          <cell r="C234">
            <v>1134500</v>
          </cell>
          <cell r="D234">
            <v>1258480</v>
          </cell>
          <cell r="E234">
            <v>2392980</v>
          </cell>
          <cell r="F234">
            <v>5378690</v>
          </cell>
          <cell r="G234">
            <v>7771670</v>
          </cell>
          <cell r="H234">
            <v>1196930</v>
          </cell>
        </row>
        <row r="235">
          <cell r="A235" t="str">
            <v>0617</v>
          </cell>
          <cell r="B235" t="str">
            <v>大坪　幹雄　　　</v>
          </cell>
          <cell r="C235">
            <v>1131800</v>
          </cell>
          <cell r="D235">
            <v>1257110</v>
          </cell>
          <cell r="E235">
            <v>2388910</v>
          </cell>
          <cell r="F235">
            <v>5053612</v>
          </cell>
          <cell r="G235">
            <v>7442522</v>
          </cell>
          <cell r="H235">
            <v>1169410</v>
          </cell>
        </row>
        <row r="236">
          <cell r="A236" t="str">
            <v>2592</v>
          </cell>
          <cell r="B236" t="str">
            <v>奥田　尚之　　　</v>
          </cell>
          <cell r="C236">
            <v>1129280</v>
          </cell>
          <cell r="D236">
            <v>1254500</v>
          </cell>
          <cell r="E236">
            <v>2383780</v>
          </cell>
          <cell r="F236">
            <v>5078124</v>
          </cell>
          <cell r="G236">
            <v>7461904</v>
          </cell>
          <cell r="H236">
            <v>1166050</v>
          </cell>
        </row>
        <row r="237">
          <cell r="A237" t="str">
            <v>1329</v>
          </cell>
          <cell r="B237" t="str">
            <v>中村　文秋　　　</v>
          </cell>
          <cell r="C237">
            <v>1104890</v>
          </cell>
          <cell r="D237">
            <v>1252100</v>
          </cell>
          <cell r="E237">
            <v>2356990</v>
          </cell>
          <cell r="F237">
            <v>4497141</v>
          </cell>
          <cell r="G237">
            <v>6854131</v>
          </cell>
          <cell r="H237">
            <v>1122810</v>
          </cell>
        </row>
        <row r="238">
          <cell r="A238" t="str">
            <v>0984</v>
          </cell>
          <cell r="B238" t="str">
            <v>樋口　典廷　　　</v>
          </cell>
          <cell r="C238">
            <v>1096120</v>
          </cell>
          <cell r="D238">
            <v>1251080</v>
          </cell>
          <cell r="E238">
            <v>2347200</v>
          </cell>
          <cell r="F238">
            <v>5101570</v>
          </cell>
          <cell r="G238">
            <v>7448770</v>
          </cell>
          <cell r="H238">
            <v>1125640</v>
          </cell>
        </row>
        <row r="239">
          <cell r="A239" t="str">
            <v>1087</v>
          </cell>
          <cell r="B239" t="str">
            <v>原田　栄治　　　</v>
          </cell>
          <cell r="C239">
            <v>1149220</v>
          </cell>
          <cell r="D239">
            <v>1248470</v>
          </cell>
          <cell r="E239">
            <v>2397690</v>
          </cell>
          <cell r="F239">
            <v>4765960</v>
          </cell>
          <cell r="G239">
            <v>7163650</v>
          </cell>
          <cell r="H239">
            <v>1184120</v>
          </cell>
        </row>
        <row r="240">
          <cell r="A240" t="str">
            <v>0478</v>
          </cell>
          <cell r="B240" t="str">
            <v>清水　友雄　　　</v>
          </cell>
          <cell r="C240">
            <v>1087320</v>
          </cell>
          <cell r="D240">
            <v>1248450</v>
          </cell>
          <cell r="E240">
            <v>2335770</v>
          </cell>
          <cell r="F240">
            <v>5249580</v>
          </cell>
          <cell r="G240">
            <v>7585350</v>
          </cell>
          <cell r="H240">
            <v>1145400</v>
          </cell>
        </row>
        <row r="241">
          <cell r="A241" t="str">
            <v>0331</v>
          </cell>
          <cell r="B241" t="str">
            <v>森本　宏　　　　</v>
          </cell>
          <cell r="C241">
            <v>1376570</v>
          </cell>
          <cell r="D241">
            <v>1248340</v>
          </cell>
          <cell r="E241">
            <v>2624910</v>
          </cell>
          <cell r="F241">
            <v>5423485</v>
          </cell>
          <cell r="G241">
            <v>8048395</v>
          </cell>
          <cell r="H241">
            <v>1188500</v>
          </cell>
        </row>
        <row r="242">
          <cell r="A242" t="str">
            <v>0555</v>
          </cell>
          <cell r="B242" t="str">
            <v>大隈　高志　　　</v>
          </cell>
          <cell r="C242">
            <v>1163110</v>
          </cell>
          <cell r="D242">
            <v>1247690</v>
          </cell>
          <cell r="E242">
            <v>2410800</v>
          </cell>
          <cell r="F242">
            <v>5010969</v>
          </cell>
          <cell r="G242">
            <v>7421769</v>
          </cell>
          <cell r="H242">
            <v>1097960</v>
          </cell>
        </row>
        <row r="243">
          <cell r="A243" t="str">
            <v>0983</v>
          </cell>
          <cell r="B243" t="str">
            <v>長谷川　俊　　　</v>
          </cell>
          <cell r="C243">
            <v>1040050</v>
          </cell>
          <cell r="D243">
            <v>1246810</v>
          </cell>
          <cell r="E243">
            <v>2286860</v>
          </cell>
          <cell r="F243">
            <v>4640830</v>
          </cell>
          <cell r="G243">
            <v>6927690</v>
          </cell>
          <cell r="H243">
            <v>1171610</v>
          </cell>
        </row>
        <row r="244">
          <cell r="A244" t="str">
            <v>0633</v>
          </cell>
          <cell r="B244" t="str">
            <v>盆野　富興　　　</v>
          </cell>
          <cell r="C244">
            <v>1231160</v>
          </cell>
          <cell r="D244">
            <v>1242780</v>
          </cell>
          <cell r="E244">
            <v>2473940</v>
          </cell>
          <cell r="F244">
            <v>4797800</v>
          </cell>
          <cell r="G244">
            <v>7271740</v>
          </cell>
          <cell r="H244">
            <v>1118180</v>
          </cell>
        </row>
        <row r="245">
          <cell r="A245" t="str">
            <v>0632</v>
          </cell>
          <cell r="B245" t="str">
            <v>大木　正　　　　</v>
          </cell>
          <cell r="C245">
            <v>1109350</v>
          </cell>
          <cell r="D245">
            <v>1242420</v>
          </cell>
          <cell r="E245">
            <v>2351770</v>
          </cell>
          <cell r="F245">
            <v>5181378</v>
          </cell>
          <cell r="G245">
            <v>7533148</v>
          </cell>
          <cell r="H245">
            <v>1138520</v>
          </cell>
        </row>
        <row r="246">
          <cell r="A246" t="str">
            <v>1163</v>
          </cell>
          <cell r="B246" t="str">
            <v>土肥　修市　　　</v>
          </cell>
          <cell r="C246">
            <v>1124290</v>
          </cell>
          <cell r="D246">
            <v>1242090</v>
          </cell>
          <cell r="E246">
            <v>2366380</v>
          </cell>
          <cell r="F246">
            <v>4596817</v>
          </cell>
          <cell r="G246">
            <v>6963197</v>
          </cell>
          <cell r="H246">
            <v>1075610</v>
          </cell>
        </row>
        <row r="247">
          <cell r="A247" t="str">
            <v>0979</v>
          </cell>
          <cell r="B247" t="str">
            <v>田中　康　　　　</v>
          </cell>
          <cell r="C247">
            <v>1023990</v>
          </cell>
          <cell r="D247">
            <v>1241500</v>
          </cell>
          <cell r="E247">
            <v>2265490</v>
          </cell>
          <cell r="F247">
            <v>4203074</v>
          </cell>
          <cell r="G247">
            <v>6468564</v>
          </cell>
          <cell r="H247">
            <v>1078150</v>
          </cell>
        </row>
        <row r="248">
          <cell r="A248" t="str">
            <v>0739</v>
          </cell>
          <cell r="B248" t="str">
            <v>寺坂　昌彦　　　</v>
          </cell>
          <cell r="C248">
            <v>1031790</v>
          </cell>
          <cell r="D248">
            <v>1237980</v>
          </cell>
          <cell r="E248">
            <v>2269770</v>
          </cell>
          <cell r="F248">
            <v>4885394</v>
          </cell>
          <cell r="G248">
            <v>7155164</v>
          </cell>
          <cell r="H248">
            <v>1133090</v>
          </cell>
        </row>
        <row r="249">
          <cell r="A249" t="str">
            <v>0992</v>
          </cell>
          <cell r="B249" t="str">
            <v>黒飛　智　　　　</v>
          </cell>
          <cell r="C249">
            <v>1059950</v>
          </cell>
          <cell r="D249">
            <v>1237630</v>
          </cell>
          <cell r="E249">
            <v>2297580</v>
          </cell>
          <cell r="F249">
            <v>4905400</v>
          </cell>
          <cell r="G249">
            <v>7202980</v>
          </cell>
          <cell r="H249">
            <v>1150840</v>
          </cell>
        </row>
        <row r="250">
          <cell r="A250" t="str">
            <v>0409</v>
          </cell>
          <cell r="B250" t="str">
            <v>五月女　光　　　</v>
          </cell>
          <cell r="C250">
            <v>1271440</v>
          </cell>
          <cell r="D250">
            <v>1237090</v>
          </cell>
          <cell r="E250">
            <v>2508530</v>
          </cell>
          <cell r="F250">
            <v>5413383</v>
          </cell>
          <cell r="G250">
            <v>7921913</v>
          </cell>
          <cell r="H250">
            <v>1317890</v>
          </cell>
        </row>
        <row r="251">
          <cell r="A251" t="str">
            <v>0393</v>
          </cell>
          <cell r="B251" t="str">
            <v>高橋　敏彦　　　</v>
          </cell>
          <cell r="C251">
            <v>993500</v>
          </cell>
          <cell r="D251">
            <v>1234170</v>
          </cell>
          <cell r="E251">
            <v>2227670</v>
          </cell>
          <cell r="F251">
            <v>4450995</v>
          </cell>
          <cell r="G251">
            <v>6678665</v>
          </cell>
          <cell r="H251">
            <v>1129600</v>
          </cell>
        </row>
        <row r="252">
          <cell r="A252" t="str">
            <v>0438</v>
          </cell>
          <cell r="B252" t="str">
            <v>島田　洋一　　　</v>
          </cell>
          <cell r="C252">
            <v>1114710</v>
          </cell>
          <cell r="D252">
            <v>1232340</v>
          </cell>
          <cell r="E252">
            <v>2347050</v>
          </cell>
          <cell r="F252">
            <v>5017888</v>
          </cell>
          <cell r="G252">
            <v>7364938</v>
          </cell>
          <cell r="H252">
            <v>1172070</v>
          </cell>
        </row>
        <row r="253">
          <cell r="A253" t="str">
            <v>1680</v>
          </cell>
          <cell r="B253" t="str">
            <v>酒井　洋和　　　</v>
          </cell>
          <cell r="C253">
            <v>1055070</v>
          </cell>
          <cell r="D253">
            <v>1231870</v>
          </cell>
          <cell r="E253">
            <v>2286940</v>
          </cell>
          <cell r="F253">
            <v>4901548</v>
          </cell>
          <cell r="G253">
            <v>7188488</v>
          </cell>
          <cell r="H253">
            <v>1084050</v>
          </cell>
        </row>
        <row r="254">
          <cell r="A254" t="str">
            <v>0129</v>
          </cell>
          <cell r="B254" t="str">
            <v>和田　邦太郎　　</v>
          </cell>
          <cell r="C254">
            <v>1153830</v>
          </cell>
          <cell r="D254">
            <v>1231260</v>
          </cell>
          <cell r="E254">
            <v>2385090</v>
          </cell>
          <cell r="F254">
            <v>5148920</v>
          </cell>
          <cell r="G254">
            <v>7534010</v>
          </cell>
          <cell r="H254">
            <v>1050280</v>
          </cell>
        </row>
        <row r="255">
          <cell r="A255" t="str">
            <v>0126</v>
          </cell>
          <cell r="B255" t="str">
            <v>井黒　博　　　　</v>
          </cell>
          <cell r="C255">
            <v>1119240</v>
          </cell>
          <cell r="D255">
            <v>1229280</v>
          </cell>
          <cell r="E255">
            <v>2348520</v>
          </cell>
          <cell r="F255">
            <v>4938200</v>
          </cell>
          <cell r="G255">
            <v>7286720</v>
          </cell>
          <cell r="H255">
            <v>1124460</v>
          </cell>
        </row>
        <row r="256">
          <cell r="A256" t="str">
            <v>0615</v>
          </cell>
          <cell r="B256" t="str">
            <v>飯田　省二　　　</v>
          </cell>
          <cell r="C256">
            <v>924520</v>
          </cell>
          <cell r="D256">
            <v>1227700</v>
          </cell>
          <cell r="E256">
            <v>2152220</v>
          </cell>
          <cell r="F256">
            <v>4974884</v>
          </cell>
          <cell r="G256">
            <v>7127104</v>
          </cell>
          <cell r="H256">
            <v>1170150</v>
          </cell>
        </row>
        <row r="257">
          <cell r="A257" t="str">
            <v>1483</v>
          </cell>
          <cell r="B257" t="str">
            <v>後藤　武司　　　</v>
          </cell>
          <cell r="C257">
            <v>1047610</v>
          </cell>
          <cell r="D257">
            <v>1225610</v>
          </cell>
          <cell r="E257">
            <v>2273220</v>
          </cell>
          <cell r="F257">
            <v>4068873</v>
          </cell>
          <cell r="G257">
            <v>6342093</v>
          </cell>
          <cell r="H257">
            <v>1139320</v>
          </cell>
        </row>
        <row r="258">
          <cell r="A258" t="str">
            <v>0518</v>
          </cell>
          <cell r="B258" t="str">
            <v>阿部　忠章　　　</v>
          </cell>
          <cell r="C258">
            <v>1149790</v>
          </cell>
          <cell r="D258">
            <v>1225410</v>
          </cell>
          <cell r="E258">
            <v>2375200</v>
          </cell>
          <cell r="F258">
            <v>5407641</v>
          </cell>
          <cell r="G258">
            <v>7782841</v>
          </cell>
          <cell r="H258">
            <v>1107790</v>
          </cell>
        </row>
        <row r="259">
          <cell r="A259" t="str">
            <v>2163</v>
          </cell>
          <cell r="B259" t="str">
            <v>森　郁　　　　　</v>
          </cell>
          <cell r="C259">
            <v>1132200</v>
          </cell>
          <cell r="D259">
            <v>1225190</v>
          </cell>
          <cell r="E259">
            <v>2357390</v>
          </cell>
          <cell r="F259">
            <v>4518964</v>
          </cell>
          <cell r="G259">
            <v>6876354</v>
          </cell>
          <cell r="H259">
            <v>1121370</v>
          </cell>
        </row>
        <row r="260">
          <cell r="A260" t="str">
            <v>0244</v>
          </cell>
          <cell r="B260" t="str">
            <v>松崎　茂長　　　</v>
          </cell>
          <cell r="C260">
            <v>1046770</v>
          </cell>
          <cell r="D260">
            <v>1217940</v>
          </cell>
          <cell r="E260">
            <v>2264710</v>
          </cell>
          <cell r="F260">
            <v>5680998</v>
          </cell>
          <cell r="G260">
            <v>7945708</v>
          </cell>
          <cell r="H260">
            <v>1119320</v>
          </cell>
        </row>
        <row r="261">
          <cell r="A261" t="str">
            <v>0170</v>
          </cell>
          <cell r="B261" t="str">
            <v>毛利　光男　　　</v>
          </cell>
          <cell r="C261">
            <v>1064950</v>
          </cell>
          <cell r="D261">
            <v>1214810</v>
          </cell>
          <cell r="E261">
            <v>2279760</v>
          </cell>
          <cell r="F261">
            <v>5128375</v>
          </cell>
          <cell r="G261">
            <v>7408135</v>
          </cell>
          <cell r="H261">
            <v>1091200</v>
          </cell>
        </row>
        <row r="262">
          <cell r="A262" t="str">
            <v>0185</v>
          </cell>
          <cell r="B262" t="str">
            <v>渡辺　信吾　　　</v>
          </cell>
          <cell r="C262">
            <v>1390490</v>
          </cell>
          <cell r="D262">
            <v>1213580</v>
          </cell>
          <cell r="E262">
            <v>2604070</v>
          </cell>
          <cell r="F262">
            <v>5665150</v>
          </cell>
          <cell r="G262">
            <v>8269220</v>
          </cell>
          <cell r="H262">
            <v>1110010</v>
          </cell>
        </row>
        <row r="263">
          <cell r="A263" t="str">
            <v>2342</v>
          </cell>
          <cell r="B263" t="str">
            <v>光藤　直文　　　</v>
          </cell>
          <cell r="C263">
            <v>1018050</v>
          </cell>
          <cell r="D263">
            <v>1212520</v>
          </cell>
          <cell r="E263">
            <v>2230570</v>
          </cell>
          <cell r="F263">
            <v>5187618</v>
          </cell>
          <cell r="G263">
            <v>7418188</v>
          </cell>
          <cell r="H263">
            <v>1079310</v>
          </cell>
        </row>
        <row r="264">
          <cell r="A264" t="str">
            <v>0708</v>
          </cell>
          <cell r="B264" t="str">
            <v>岩崎　隆典　　　</v>
          </cell>
          <cell r="C264">
            <v>999830</v>
          </cell>
          <cell r="D264">
            <v>1211890</v>
          </cell>
          <cell r="E264">
            <v>2211720</v>
          </cell>
          <cell r="F264">
            <v>5170184</v>
          </cell>
          <cell r="G264">
            <v>7381904</v>
          </cell>
          <cell r="H264">
            <v>1141870</v>
          </cell>
        </row>
        <row r="265">
          <cell r="A265" t="str">
            <v>0972</v>
          </cell>
          <cell r="B265" t="str">
            <v>貝増　豊　　　　</v>
          </cell>
          <cell r="C265">
            <v>1105550</v>
          </cell>
          <cell r="D265">
            <v>1211450</v>
          </cell>
          <cell r="E265">
            <v>2317000</v>
          </cell>
          <cell r="F265">
            <v>4359937</v>
          </cell>
          <cell r="G265">
            <v>6676937</v>
          </cell>
          <cell r="H265">
            <v>1149010</v>
          </cell>
        </row>
        <row r="266">
          <cell r="A266" t="str">
            <v>0568</v>
          </cell>
          <cell r="B266" t="str">
            <v>村上　睦男　　　</v>
          </cell>
          <cell r="C266">
            <v>1027910</v>
          </cell>
          <cell r="D266">
            <v>1211070</v>
          </cell>
          <cell r="E266">
            <v>2238980</v>
          </cell>
          <cell r="F266">
            <v>5053944</v>
          </cell>
          <cell r="G266">
            <v>7292924</v>
          </cell>
          <cell r="H266">
            <v>965750</v>
          </cell>
        </row>
        <row r="267">
          <cell r="A267" t="str">
            <v>1702</v>
          </cell>
          <cell r="B267" t="str">
            <v>村山　虎市　　　</v>
          </cell>
          <cell r="C267">
            <v>1079530</v>
          </cell>
          <cell r="D267">
            <v>1210370</v>
          </cell>
          <cell r="E267">
            <v>2289900</v>
          </cell>
          <cell r="F267">
            <v>4894794</v>
          </cell>
          <cell r="G267">
            <v>7184694</v>
          </cell>
          <cell r="H267">
            <v>1109170</v>
          </cell>
        </row>
        <row r="268">
          <cell r="A268" t="str">
            <v>0161</v>
          </cell>
          <cell r="B268" t="str">
            <v>竹村　福男　　　</v>
          </cell>
          <cell r="C268">
            <v>1087680</v>
          </cell>
          <cell r="D268">
            <v>1207790</v>
          </cell>
          <cell r="E268">
            <v>2295470</v>
          </cell>
          <cell r="F268">
            <v>5013342</v>
          </cell>
          <cell r="G268">
            <v>7308812</v>
          </cell>
          <cell r="H268">
            <v>1084880</v>
          </cell>
        </row>
        <row r="269">
          <cell r="A269" t="str">
            <v>0533</v>
          </cell>
          <cell r="B269" t="str">
            <v>藤倉　久雄　　　</v>
          </cell>
          <cell r="C269">
            <v>1015660</v>
          </cell>
          <cell r="D269">
            <v>1206140</v>
          </cell>
          <cell r="E269">
            <v>2221800</v>
          </cell>
          <cell r="F269">
            <v>4594142</v>
          </cell>
          <cell r="G269">
            <v>6815942</v>
          </cell>
          <cell r="H269">
            <v>962250</v>
          </cell>
        </row>
        <row r="270">
          <cell r="A270" t="str">
            <v>0981</v>
          </cell>
          <cell r="B270" t="str">
            <v>長浜　哲也　　　</v>
          </cell>
          <cell r="C270">
            <v>1050370</v>
          </cell>
          <cell r="D270">
            <v>1205710</v>
          </cell>
          <cell r="E270">
            <v>2256080</v>
          </cell>
          <cell r="F270">
            <v>5027444</v>
          </cell>
          <cell r="G270">
            <v>7283524</v>
          </cell>
          <cell r="H270">
            <v>1189720</v>
          </cell>
        </row>
        <row r="271">
          <cell r="A271" t="str">
            <v>1339</v>
          </cell>
          <cell r="B271" t="str">
            <v>福家　安彦　　　</v>
          </cell>
          <cell r="C271">
            <v>1040010</v>
          </cell>
          <cell r="D271">
            <v>1204690</v>
          </cell>
          <cell r="E271">
            <v>2244700</v>
          </cell>
          <cell r="F271">
            <v>4590542</v>
          </cell>
          <cell r="G271">
            <v>6835242</v>
          </cell>
          <cell r="H271">
            <v>1060130</v>
          </cell>
        </row>
        <row r="272">
          <cell r="A272" t="str">
            <v>1326</v>
          </cell>
          <cell r="B272" t="str">
            <v>竹原　豊士　　　</v>
          </cell>
          <cell r="C272">
            <v>1037000</v>
          </cell>
          <cell r="D272">
            <v>1203750</v>
          </cell>
          <cell r="E272">
            <v>2240750</v>
          </cell>
          <cell r="F272">
            <v>4752850</v>
          </cell>
          <cell r="G272">
            <v>6993600</v>
          </cell>
          <cell r="H272">
            <v>1115580</v>
          </cell>
        </row>
        <row r="273">
          <cell r="A273" t="str">
            <v>1312</v>
          </cell>
          <cell r="B273" t="str">
            <v>後藤　寛　　　　</v>
          </cell>
          <cell r="C273">
            <v>1065670</v>
          </cell>
          <cell r="D273">
            <v>1201890</v>
          </cell>
          <cell r="E273">
            <v>2267560</v>
          </cell>
          <cell r="F273">
            <v>4966677</v>
          </cell>
          <cell r="G273">
            <v>7234237</v>
          </cell>
          <cell r="H273">
            <v>1118140</v>
          </cell>
        </row>
        <row r="274">
          <cell r="A274" t="str">
            <v>1134</v>
          </cell>
          <cell r="B274" t="str">
            <v>深津　隆史　　　</v>
          </cell>
          <cell r="C274">
            <v>1017570</v>
          </cell>
          <cell r="D274">
            <v>1200970</v>
          </cell>
          <cell r="E274">
            <v>2218540</v>
          </cell>
          <cell r="F274">
            <v>4993734</v>
          </cell>
          <cell r="G274">
            <v>7212274</v>
          </cell>
          <cell r="H274">
            <v>1144670</v>
          </cell>
        </row>
        <row r="275">
          <cell r="A275" t="str">
            <v>0973</v>
          </cell>
          <cell r="B275" t="str">
            <v>鹿島　健司　　　</v>
          </cell>
          <cell r="C275">
            <v>1021890</v>
          </cell>
          <cell r="D275">
            <v>1199710</v>
          </cell>
          <cell r="E275">
            <v>2221600</v>
          </cell>
          <cell r="F275">
            <v>4989375</v>
          </cell>
          <cell r="G275">
            <v>7210975</v>
          </cell>
          <cell r="H275">
            <v>1149670</v>
          </cell>
        </row>
        <row r="276">
          <cell r="A276" t="str">
            <v>1328</v>
          </cell>
          <cell r="B276" t="str">
            <v>中島　啓次　　　</v>
          </cell>
          <cell r="C276">
            <v>981000</v>
          </cell>
          <cell r="D276">
            <v>1199090</v>
          </cell>
          <cell r="E276">
            <v>2180090</v>
          </cell>
          <cell r="F276">
            <v>4318748</v>
          </cell>
          <cell r="G276">
            <v>6498838</v>
          </cell>
          <cell r="H276">
            <v>1083950</v>
          </cell>
        </row>
        <row r="277">
          <cell r="A277" t="str">
            <v>1633</v>
          </cell>
          <cell r="B277" t="str">
            <v>片山　隆　　　　</v>
          </cell>
          <cell r="C277">
            <v>1069620</v>
          </cell>
          <cell r="D277">
            <v>1197080</v>
          </cell>
          <cell r="E277">
            <v>2266700</v>
          </cell>
          <cell r="F277">
            <v>5011438</v>
          </cell>
          <cell r="G277">
            <v>7278138</v>
          </cell>
          <cell r="H277">
            <v>1028910</v>
          </cell>
        </row>
        <row r="278">
          <cell r="A278" t="str">
            <v>2141</v>
          </cell>
          <cell r="B278" t="str">
            <v>西田　滋夫　　　</v>
          </cell>
          <cell r="C278">
            <v>911210</v>
          </cell>
          <cell r="D278">
            <v>1196250</v>
          </cell>
          <cell r="E278">
            <v>2107460</v>
          </cell>
          <cell r="F278">
            <v>3900988</v>
          </cell>
          <cell r="G278">
            <v>6008448</v>
          </cell>
          <cell r="H278">
            <v>1072560</v>
          </cell>
        </row>
        <row r="279">
          <cell r="A279" t="str">
            <v>1160</v>
          </cell>
          <cell r="B279" t="str">
            <v>丹村　治　　　　</v>
          </cell>
          <cell r="C279">
            <v>969500</v>
          </cell>
          <cell r="D279">
            <v>1194210</v>
          </cell>
          <cell r="E279">
            <v>2163710</v>
          </cell>
          <cell r="F279">
            <v>4738634</v>
          </cell>
          <cell r="G279">
            <v>6902344</v>
          </cell>
          <cell r="H279">
            <v>1091860</v>
          </cell>
        </row>
        <row r="280">
          <cell r="A280" t="str">
            <v>0181</v>
          </cell>
          <cell r="B280" t="str">
            <v>石見　昌彦　　　</v>
          </cell>
          <cell r="C280">
            <v>1275410</v>
          </cell>
          <cell r="D280">
            <v>1194070</v>
          </cell>
          <cell r="E280">
            <v>2469480</v>
          </cell>
          <cell r="F280">
            <v>5316751</v>
          </cell>
          <cell r="G280">
            <v>7786231</v>
          </cell>
          <cell r="H280">
            <v>1074370</v>
          </cell>
        </row>
        <row r="281">
          <cell r="A281" t="str">
            <v>0336</v>
          </cell>
          <cell r="B281" t="str">
            <v>金川　正行　　　</v>
          </cell>
          <cell r="C281">
            <v>1007610</v>
          </cell>
          <cell r="D281">
            <v>1189560</v>
          </cell>
          <cell r="E281">
            <v>2197170</v>
          </cell>
          <cell r="F281">
            <v>5091171</v>
          </cell>
          <cell r="G281">
            <v>7288341</v>
          </cell>
          <cell r="H281">
            <v>1061150</v>
          </cell>
        </row>
        <row r="282">
          <cell r="A282" t="str">
            <v>0729</v>
          </cell>
          <cell r="B282" t="str">
            <v>藁谷　吉男　　　</v>
          </cell>
          <cell r="C282">
            <v>1036270</v>
          </cell>
          <cell r="D282">
            <v>1188820</v>
          </cell>
          <cell r="E282">
            <v>2225090</v>
          </cell>
          <cell r="F282">
            <v>4847707</v>
          </cell>
          <cell r="G282">
            <v>7072797</v>
          </cell>
          <cell r="H282">
            <v>1075490</v>
          </cell>
        </row>
        <row r="283">
          <cell r="A283" t="str">
            <v>0551</v>
          </cell>
          <cell r="B283" t="str">
            <v>小川　勝久　　　</v>
          </cell>
          <cell r="C283">
            <v>1045390</v>
          </cell>
          <cell r="D283">
            <v>1188330</v>
          </cell>
          <cell r="E283">
            <v>2233720</v>
          </cell>
          <cell r="F283">
            <v>4933180</v>
          </cell>
          <cell r="G283">
            <v>7166900</v>
          </cell>
          <cell r="H283">
            <v>1037040</v>
          </cell>
        </row>
        <row r="284">
          <cell r="A284" t="str">
            <v>1632</v>
          </cell>
          <cell r="B284" t="str">
            <v>斉藤　好正　　　</v>
          </cell>
          <cell r="C284">
            <v>1003970</v>
          </cell>
          <cell r="D284">
            <v>1188120</v>
          </cell>
          <cell r="E284">
            <v>2192090</v>
          </cell>
          <cell r="F284">
            <v>4768800</v>
          </cell>
          <cell r="G284">
            <v>6960890</v>
          </cell>
          <cell r="H284">
            <v>1088800</v>
          </cell>
        </row>
        <row r="285">
          <cell r="A285" t="str">
            <v>0695</v>
          </cell>
          <cell r="B285" t="str">
            <v>吉村　明　　　　</v>
          </cell>
          <cell r="C285">
            <v>1012290</v>
          </cell>
          <cell r="D285">
            <v>1187630</v>
          </cell>
          <cell r="E285">
            <v>2199920</v>
          </cell>
          <cell r="F285">
            <v>5073862</v>
          </cell>
          <cell r="G285">
            <v>7273782</v>
          </cell>
          <cell r="H285">
            <v>1129550</v>
          </cell>
        </row>
        <row r="286">
          <cell r="A286" t="str">
            <v>0991</v>
          </cell>
          <cell r="B286" t="str">
            <v>沖崎　猛　　　　</v>
          </cell>
          <cell r="C286">
            <v>1056310</v>
          </cell>
          <cell r="D286">
            <v>1186560</v>
          </cell>
          <cell r="E286">
            <v>2242870</v>
          </cell>
          <cell r="F286">
            <v>4299562</v>
          </cell>
          <cell r="G286">
            <v>6542432</v>
          </cell>
          <cell r="H286">
            <v>990760</v>
          </cell>
        </row>
        <row r="287">
          <cell r="A287" t="str">
            <v>2040</v>
          </cell>
          <cell r="B287" t="str">
            <v>河合　良信　　　</v>
          </cell>
          <cell r="C287">
            <v>1046970</v>
          </cell>
          <cell r="D287">
            <v>1184260</v>
          </cell>
          <cell r="E287">
            <v>2231230</v>
          </cell>
          <cell r="F287">
            <v>4481190</v>
          </cell>
          <cell r="G287">
            <v>6712420</v>
          </cell>
          <cell r="H287">
            <v>1083910</v>
          </cell>
        </row>
        <row r="288">
          <cell r="A288" t="str">
            <v>1341</v>
          </cell>
          <cell r="B288" t="str">
            <v>堀内　晋　　　　</v>
          </cell>
          <cell r="C288">
            <v>1013080</v>
          </cell>
          <cell r="D288">
            <v>1184260</v>
          </cell>
          <cell r="E288">
            <v>2197340</v>
          </cell>
          <cell r="F288">
            <v>4349722</v>
          </cell>
          <cell r="G288">
            <v>6547062</v>
          </cell>
          <cell r="H288">
            <v>1083910</v>
          </cell>
        </row>
        <row r="289">
          <cell r="A289" t="str">
            <v>0504</v>
          </cell>
          <cell r="B289" t="str">
            <v>石井　照美　　　</v>
          </cell>
          <cell r="C289">
            <v>1056450</v>
          </cell>
          <cell r="D289">
            <v>1183440</v>
          </cell>
          <cell r="E289">
            <v>2239890</v>
          </cell>
          <cell r="F289">
            <v>4834308</v>
          </cell>
          <cell r="G289">
            <v>7074198</v>
          </cell>
          <cell r="H289">
            <v>1168860</v>
          </cell>
        </row>
        <row r="290">
          <cell r="A290" t="str">
            <v>2027</v>
          </cell>
          <cell r="B290" t="str">
            <v>高木　啓充　　　</v>
          </cell>
          <cell r="C290">
            <v>1053510</v>
          </cell>
          <cell r="D290">
            <v>1181350</v>
          </cell>
          <cell r="E290">
            <v>2234860</v>
          </cell>
          <cell r="F290">
            <v>4825434</v>
          </cell>
          <cell r="G290">
            <v>7060294</v>
          </cell>
          <cell r="H290">
            <v>1100630</v>
          </cell>
        </row>
        <row r="291">
          <cell r="A291" t="str">
            <v>0917</v>
          </cell>
          <cell r="B291" t="str">
            <v>辻　隆治　　　　</v>
          </cell>
          <cell r="C291">
            <v>1046040</v>
          </cell>
          <cell r="D291">
            <v>1180540</v>
          </cell>
          <cell r="E291">
            <v>2226580</v>
          </cell>
          <cell r="F291">
            <v>4535210</v>
          </cell>
          <cell r="G291">
            <v>6761790</v>
          </cell>
          <cell r="H291">
            <v>1164880</v>
          </cell>
        </row>
        <row r="292">
          <cell r="A292" t="str">
            <v>1315</v>
          </cell>
          <cell r="B292" t="str">
            <v>坂本　融司　　　</v>
          </cell>
          <cell r="C292">
            <v>1007940</v>
          </cell>
          <cell r="D292">
            <v>1178720</v>
          </cell>
          <cell r="E292">
            <v>2186660</v>
          </cell>
          <cell r="F292">
            <v>4744998</v>
          </cell>
          <cell r="G292">
            <v>6931658</v>
          </cell>
          <cell r="H292">
            <v>1095960</v>
          </cell>
        </row>
        <row r="293">
          <cell r="A293" t="str">
            <v>0450</v>
          </cell>
          <cell r="B293" t="str">
            <v>久松　正己　　　</v>
          </cell>
          <cell r="C293">
            <v>1019100</v>
          </cell>
          <cell r="D293">
            <v>1173570</v>
          </cell>
          <cell r="E293">
            <v>2192670</v>
          </cell>
          <cell r="F293">
            <v>4876167</v>
          </cell>
          <cell r="G293">
            <v>7068837</v>
          </cell>
          <cell r="H293">
            <v>1090930</v>
          </cell>
        </row>
        <row r="294">
          <cell r="A294" t="str">
            <v>1156</v>
          </cell>
          <cell r="B294" t="str">
            <v>杉江　正継　　　</v>
          </cell>
          <cell r="C294">
            <v>1033610</v>
          </cell>
          <cell r="D294">
            <v>1173150</v>
          </cell>
          <cell r="E294">
            <v>2206760</v>
          </cell>
          <cell r="F294">
            <v>5593959</v>
          </cell>
          <cell r="G294">
            <v>7800719</v>
          </cell>
          <cell r="H294">
            <v>1037040</v>
          </cell>
        </row>
        <row r="295">
          <cell r="A295" t="str">
            <v>0735</v>
          </cell>
          <cell r="B295" t="str">
            <v>猶原　孝正　　　</v>
          </cell>
          <cell r="C295">
            <v>928530</v>
          </cell>
          <cell r="D295">
            <v>1171600</v>
          </cell>
          <cell r="E295">
            <v>2100130</v>
          </cell>
          <cell r="F295">
            <v>4742698</v>
          </cell>
          <cell r="G295">
            <v>6842828</v>
          </cell>
          <cell r="H295">
            <v>1003160</v>
          </cell>
        </row>
        <row r="296">
          <cell r="A296" t="str">
            <v>1487</v>
          </cell>
          <cell r="B296" t="str">
            <v>佐藤　隆　　　　</v>
          </cell>
          <cell r="C296">
            <v>1022340</v>
          </cell>
          <cell r="D296">
            <v>1171210</v>
          </cell>
          <cell r="E296">
            <v>2193550</v>
          </cell>
          <cell r="F296">
            <v>4599742</v>
          </cell>
          <cell r="G296">
            <v>6793292</v>
          </cell>
          <cell r="H296">
            <v>1071960</v>
          </cell>
        </row>
        <row r="297">
          <cell r="A297" t="str">
            <v>0576</v>
          </cell>
          <cell r="B297" t="str">
            <v>神代　良介　　　</v>
          </cell>
          <cell r="C297">
            <v>1017330</v>
          </cell>
          <cell r="D297">
            <v>1168130</v>
          </cell>
          <cell r="E297">
            <v>2185460</v>
          </cell>
          <cell r="F297">
            <v>5124039</v>
          </cell>
          <cell r="G297">
            <v>7309499</v>
          </cell>
          <cell r="H297">
            <v>1124930</v>
          </cell>
        </row>
        <row r="298">
          <cell r="A298" t="str">
            <v>0511</v>
          </cell>
          <cell r="B298" t="str">
            <v>阿部　武彦　　　</v>
          </cell>
          <cell r="C298">
            <v>979870</v>
          </cell>
          <cell r="D298">
            <v>1166250</v>
          </cell>
          <cell r="E298">
            <v>2146120</v>
          </cell>
          <cell r="F298">
            <v>5245208</v>
          </cell>
          <cell r="G298">
            <v>7391328</v>
          </cell>
          <cell r="H298">
            <v>1030940</v>
          </cell>
        </row>
        <row r="299">
          <cell r="A299" t="str">
            <v>1484</v>
          </cell>
          <cell r="B299" t="str">
            <v>小室　博　　　　</v>
          </cell>
          <cell r="C299">
            <v>954060</v>
          </cell>
          <cell r="D299">
            <v>1164480</v>
          </cell>
          <cell r="E299">
            <v>2118540</v>
          </cell>
          <cell r="F299">
            <v>3851589</v>
          </cell>
          <cell r="G299">
            <v>5970129</v>
          </cell>
          <cell r="H299">
            <v>1044510</v>
          </cell>
        </row>
        <row r="300">
          <cell r="A300" t="str">
            <v>1148</v>
          </cell>
          <cell r="B300" t="str">
            <v>神田　哲　　　　</v>
          </cell>
          <cell r="C300">
            <v>1028770</v>
          </cell>
          <cell r="D300">
            <v>1164360</v>
          </cell>
          <cell r="E300">
            <v>2193130</v>
          </cell>
          <cell r="F300">
            <v>4700173</v>
          </cell>
          <cell r="G300">
            <v>6893303</v>
          </cell>
          <cell r="H300">
            <v>1078560</v>
          </cell>
        </row>
        <row r="301">
          <cell r="A301" t="str">
            <v>1164</v>
          </cell>
          <cell r="B301" t="str">
            <v>中山　健一　　　</v>
          </cell>
          <cell r="C301">
            <v>1000930</v>
          </cell>
          <cell r="D301">
            <v>1163960</v>
          </cell>
          <cell r="E301">
            <v>2164890</v>
          </cell>
          <cell r="F301">
            <v>4710420</v>
          </cell>
          <cell r="G301">
            <v>6875310</v>
          </cell>
          <cell r="H301">
            <v>1084050</v>
          </cell>
        </row>
        <row r="302">
          <cell r="A302" t="str">
            <v>1316</v>
          </cell>
          <cell r="B302" t="str">
            <v>佐藤　政弘　　　</v>
          </cell>
          <cell r="C302">
            <v>1020930</v>
          </cell>
          <cell r="D302">
            <v>1160990</v>
          </cell>
          <cell r="E302">
            <v>2181920</v>
          </cell>
          <cell r="F302">
            <v>4599135</v>
          </cell>
          <cell r="G302">
            <v>6781055</v>
          </cell>
          <cell r="H302">
            <v>1021670</v>
          </cell>
        </row>
        <row r="303">
          <cell r="A303" t="str">
            <v>1513</v>
          </cell>
          <cell r="B303" t="str">
            <v>三橋　克也　　　</v>
          </cell>
          <cell r="C303">
            <v>1016270</v>
          </cell>
          <cell r="D303">
            <v>1160990</v>
          </cell>
          <cell r="E303">
            <v>2177260</v>
          </cell>
          <cell r="F303">
            <v>5505174</v>
          </cell>
          <cell r="G303">
            <v>7682434</v>
          </cell>
          <cell r="H303">
            <v>1080720</v>
          </cell>
        </row>
        <row r="304">
          <cell r="A304" t="str">
            <v>2345</v>
          </cell>
          <cell r="B304" t="str">
            <v>横澤　紀夫　　　</v>
          </cell>
          <cell r="C304">
            <v>987590</v>
          </cell>
          <cell r="D304">
            <v>1159030</v>
          </cell>
          <cell r="E304">
            <v>2146620</v>
          </cell>
          <cell r="F304">
            <v>4128080</v>
          </cell>
          <cell r="G304">
            <v>6274700</v>
          </cell>
          <cell r="H304">
            <v>1077240</v>
          </cell>
        </row>
        <row r="305">
          <cell r="A305" t="str">
            <v>1634</v>
          </cell>
          <cell r="B305" t="str">
            <v>小林　清美　　　</v>
          </cell>
          <cell r="C305">
            <v>1014780</v>
          </cell>
          <cell r="D305">
            <v>1158850</v>
          </cell>
          <cell r="E305">
            <v>2173630</v>
          </cell>
          <cell r="F305">
            <v>4573870</v>
          </cell>
          <cell r="G305">
            <v>6747500</v>
          </cell>
          <cell r="H305">
            <v>1039360</v>
          </cell>
        </row>
        <row r="306">
          <cell r="A306" t="str">
            <v>2055</v>
          </cell>
          <cell r="B306" t="str">
            <v>岩井　泰生　　　</v>
          </cell>
          <cell r="C306">
            <v>989980</v>
          </cell>
          <cell r="D306">
            <v>1158270</v>
          </cell>
          <cell r="E306">
            <v>2148250</v>
          </cell>
          <cell r="F306">
            <v>4253624</v>
          </cell>
          <cell r="G306">
            <v>6401874</v>
          </cell>
          <cell r="H306">
            <v>1019270</v>
          </cell>
        </row>
        <row r="307">
          <cell r="A307" t="str">
            <v>0269</v>
          </cell>
          <cell r="B307" t="str">
            <v>伊勢田　英彦　　</v>
          </cell>
          <cell r="C307">
            <v>1114210</v>
          </cell>
          <cell r="D307">
            <v>1157290</v>
          </cell>
          <cell r="E307">
            <v>2271500</v>
          </cell>
          <cell r="F307">
            <v>6176273</v>
          </cell>
          <cell r="G307">
            <v>8447773</v>
          </cell>
          <cell r="H307">
            <v>1392800</v>
          </cell>
        </row>
        <row r="308">
          <cell r="A308" t="str">
            <v>1850</v>
          </cell>
          <cell r="B308" t="str">
            <v>岡田　敏夫　　　</v>
          </cell>
          <cell r="C308">
            <v>1024220</v>
          </cell>
          <cell r="D308">
            <v>1156530</v>
          </cell>
          <cell r="E308">
            <v>2180750</v>
          </cell>
          <cell r="F308">
            <v>4499010</v>
          </cell>
          <cell r="G308">
            <v>6679760</v>
          </cell>
          <cell r="H308">
            <v>1058540</v>
          </cell>
        </row>
        <row r="309">
          <cell r="A309" t="str">
            <v>0740</v>
          </cell>
          <cell r="B309" t="str">
            <v>橋口　義人　　　</v>
          </cell>
          <cell r="C309">
            <v>964990</v>
          </cell>
          <cell r="D309">
            <v>1155890</v>
          </cell>
          <cell r="E309">
            <v>2120880</v>
          </cell>
          <cell r="F309">
            <v>4760040</v>
          </cell>
          <cell r="G309">
            <v>6880920</v>
          </cell>
          <cell r="H309">
            <v>1017180</v>
          </cell>
        </row>
        <row r="310">
          <cell r="A310" t="str">
            <v>1710</v>
          </cell>
          <cell r="B310" t="str">
            <v>山本　英嗣　　　</v>
          </cell>
          <cell r="C310">
            <v>1023590</v>
          </cell>
          <cell r="D310">
            <v>1155890</v>
          </cell>
          <cell r="E310">
            <v>2179480</v>
          </cell>
          <cell r="F310">
            <v>4734945</v>
          </cell>
          <cell r="G310">
            <v>6914425</v>
          </cell>
          <cell r="H310">
            <v>1017180</v>
          </cell>
        </row>
        <row r="311">
          <cell r="A311" t="str">
            <v>1296</v>
          </cell>
          <cell r="B311" t="str">
            <v>東　暁廣　　　　</v>
          </cell>
          <cell r="C311">
            <v>1028130</v>
          </cell>
          <cell r="D311">
            <v>1153520</v>
          </cell>
          <cell r="E311">
            <v>2181650</v>
          </cell>
          <cell r="F311">
            <v>4362554</v>
          </cell>
          <cell r="G311">
            <v>6544204</v>
          </cell>
          <cell r="H311">
            <v>1057080</v>
          </cell>
        </row>
        <row r="312">
          <cell r="A312" t="str">
            <v>0705</v>
          </cell>
          <cell r="B312" t="str">
            <v>大本　豊　　　　</v>
          </cell>
          <cell r="C312">
            <v>890650</v>
          </cell>
          <cell r="D312">
            <v>1153050</v>
          </cell>
          <cell r="E312">
            <v>2043700</v>
          </cell>
          <cell r="F312">
            <v>4540273</v>
          </cell>
          <cell r="G312">
            <v>6583973</v>
          </cell>
          <cell r="H312">
            <v>1107590</v>
          </cell>
        </row>
        <row r="313">
          <cell r="A313" t="str">
            <v>2760</v>
          </cell>
          <cell r="B313" t="str">
            <v>大崎　士郎　　　</v>
          </cell>
          <cell r="C313">
            <v>1030750</v>
          </cell>
          <cell r="D313">
            <v>1151430</v>
          </cell>
          <cell r="E313">
            <v>2182180</v>
          </cell>
          <cell r="F313">
            <v>5573489</v>
          </cell>
          <cell r="G313">
            <v>7755669</v>
          </cell>
          <cell r="H313">
            <v>1028600</v>
          </cell>
        </row>
        <row r="314">
          <cell r="A314" t="str">
            <v>1465</v>
          </cell>
          <cell r="B314" t="str">
            <v>井上　秀昭　　　</v>
          </cell>
          <cell r="C314">
            <v>937130</v>
          </cell>
          <cell r="D314">
            <v>1150780</v>
          </cell>
          <cell r="E314">
            <v>2087910</v>
          </cell>
          <cell r="F314">
            <v>4501726</v>
          </cell>
          <cell r="G314">
            <v>6589636</v>
          </cell>
          <cell r="H314">
            <v>1053290</v>
          </cell>
        </row>
        <row r="315">
          <cell r="A315" t="str">
            <v>1747</v>
          </cell>
          <cell r="B315" t="str">
            <v>渡辺　晃　　　　</v>
          </cell>
          <cell r="C315">
            <v>957230</v>
          </cell>
          <cell r="D315">
            <v>1148590</v>
          </cell>
          <cell r="E315">
            <v>2105820</v>
          </cell>
          <cell r="F315">
            <v>4193123</v>
          </cell>
          <cell r="G315">
            <v>6298943</v>
          </cell>
          <cell r="H315">
            <v>1030490</v>
          </cell>
        </row>
        <row r="316">
          <cell r="A316" t="str">
            <v>1002</v>
          </cell>
          <cell r="B316" t="str">
            <v>垣添　芳也　　　</v>
          </cell>
          <cell r="C316">
            <v>1013870</v>
          </cell>
          <cell r="D316">
            <v>1147840</v>
          </cell>
          <cell r="E316">
            <v>2161710</v>
          </cell>
          <cell r="F316">
            <v>4611159</v>
          </cell>
          <cell r="G316">
            <v>6772869</v>
          </cell>
          <cell r="H316">
            <v>1049450</v>
          </cell>
        </row>
        <row r="317">
          <cell r="A317" t="str">
            <v>2343</v>
          </cell>
          <cell r="B317" t="str">
            <v>足立　吉平　　　</v>
          </cell>
          <cell r="C317">
            <v>1047680</v>
          </cell>
          <cell r="D317">
            <v>1147130</v>
          </cell>
          <cell r="E317">
            <v>2194810</v>
          </cell>
          <cell r="F317">
            <v>4815379</v>
          </cell>
          <cell r="G317">
            <v>7010189</v>
          </cell>
          <cell r="H317">
            <v>1056510</v>
          </cell>
        </row>
        <row r="318">
          <cell r="A318" t="str">
            <v>1176</v>
          </cell>
          <cell r="B318" t="str">
            <v>細川　博史　　　</v>
          </cell>
          <cell r="C318">
            <v>1052310</v>
          </cell>
          <cell r="D318">
            <v>1143690</v>
          </cell>
          <cell r="E318">
            <v>2196000</v>
          </cell>
          <cell r="F318">
            <v>4664698</v>
          </cell>
          <cell r="G318">
            <v>6860698</v>
          </cell>
          <cell r="H318">
            <v>1011010</v>
          </cell>
        </row>
        <row r="319">
          <cell r="A319" t="str">
            <v>0400</v>
          </cell>
          <cell r="B319" t="str">
            <v>大内山　優美　　</v>
          </cell>
          <cell r="C319">
            <v>1003510</v>
          </cell>
          <cell r="D319">
            <v>1143310</v>
          </cell>
          <cell r="E319">
            <v>2146820</v>
          </cell>
          <cell r="F319">
            <v>4984798</v>
          </cell>
          <cell r="G319">
            <v>7131618</v>
          </cell>
          <cell r="H319">
            <v>1100050</v>
          </cell>
        </row>
        <row r="320">
          <cell r="A320" t="str">
            <v>2344</v>
          </cell>
          <cell r="B320" t="str">
            <v>照岡　栄　　　　</v>
          </cell>
          <cell r="C320">
            <v>1030820</v>
          </cell>
          <cell r="D320">
            <v>1143310</v>
          </cell>
          <cell r="E320">
            <v>2174130</v>
          </cell>
          <cell r="F320">
            <v>4872247</v>
          </cell>
          <cell r="G320">
            <v>7046377</v>
          </cell>
          <cell r="H320">
            <v>1048940</v>
          </cell>
        </row>
        <row r="321">
          <cell r="A321" t="str">
            <v>2309</v>
          </cell>
          <cell r="B321" t="str">
            <v>田中　健一郎　　</v>
          </cell>
          <cell r="C321">
            <v>945060</v>
          </cell>
          <cell r="D321">
            <v>1143300</v>
          </cell>
          <cell r="E321">
            <v>2088360</v>
          </cell>
          <cell r="F321">
            <v>4542510</v>
          </cell>
          <cell r="G321">
            <v>6630870</v>
          </cell>
          <cell r="H321">
            <v>969840</v>
          </cell>
        </row>
        <row r="322">
          <cell r="A322" t="str">
            <v>1318</v>
          </cell>
          <cell r="B322" t="str">
            <v>篠　敏英　　　　</v>
          </cell>
          <cell r="C322">
            <v>1015000</v>
          </cell>
          <cell r="D322">
            <v>1142130</v>
          </cell>
          <cell r="E322">
            <v>2157130</v>
          </cell>
          <cell r="F322">
            <v>4763465</v>
          </cell>
          <cell r="G322">
            <v>6920595</v>
          </cell>
          <cell r="H322">
            <v>1009630</v>
          </cell>
        </row>
        <row r="323">
          <cell r="A323" t="str">
            <v>1321</v>
          </cell>
          <cell r="B323" t="str">
            <v>高倉　鉄也　　　</v>
          </cell>
          <cell r="C323">
            <v>1015000</v>
          </cell>
          <cell r="D323">
            <v>1139440</v>
          </cell>
          <cell r="E323">
            <v>2154440</v>
          </cell>
          <cell r="F323">
            <v>4895377</v>
          </cell>
          <cell r="G323">
            <v>7049817</v>
          </cell>
          <cell r="H323">
            <v>1044180</v>
          </cell>
        </row>
        <row r="324">
          <cell r="A324" t="str">
            <v>1162</v>
          </cell>
          <cell r="B324" t="str">
            <v>津田　圭二　　　</v>
          </cell>
          <cell r="C324">
            <v>1002700</v>
          </cell>
          <cell r="D324">
            <v>1138250</v>
          </cell>
          <cell r="E324">
            <v>2140950</v>
          </cell>
          <cell r="F324">
            <v>4925452</v>
          </cell>
          <cell r="G324">
            <v>7066402</v>
          </cell>
          <cell r="H324">
            <v>1027220</v>
          </cell>
        </row>
        <row r="325">
          <cell r="A325" t="str">
            <v>1311</v>
          </cell>
          <cell r="B325" t="str">
            <v>児玉　明彦　　　</v>
          </cell>
          <cell r="C325">
            <v>972030</v>
          </cell>
          <cell r="D325">
            <v>1137850</v>
          </cell>
          <cell r="E325">
            <v>2109880</v>
          </cell>
          <cell r="F325">
            <v>4338193</v>
          </cell>
          <cell r="G325">
            <v>6448073</v>
          </cell>
          <cell r="H325">
            <v>1001300</v>
          </cell>
        </row>
        <row r="326">
          <cell r="A326" t="str">
            <v>0966</v>
          </cell>
          <cell r="B326" t="str">
            <v>茨木　元治　　　</v>
          </cell>
          <cell r="C326">
            <v>1018140</v>
          </cell>
          <cell r="D326">
            <v>1136260</v>
          </cell>
          <cell r="E326">
            <v>2154400</v>
          </cell>
          <cell r="F326">
            <v>4663449</v>
          </cell>
          <cell r="G326">
            <v>6817849</v>
          </cell>
          <cell r="H326">
            <v>1042480</v>
          </cell>
        </row>
        <row r="327">
          <cell r="A327" t="str">
            <v>1515</v>
          </cell>
          <cell r="B327" t="str">
            <v>安則　和彦　　　</v>
          </cell>
          <cell r="C327">
            <v>994490</v>
          </cell>
          <cell r="D327">
            <v>1134530</v>
          </cell>
          <cell r="E327">
            <v>2129020</v>
          </cell>
          <cell r="F327">
            <v>4913565</v>
          </cell>
          <cell r="G327">
            <v>7042585</v>
          </cell>
          <cell r="H327">
            <v>1039680</v>
          </cell>
        </row>
        <row r="328">
          <cell r="A328" t="str">
            <v>1298</v>
          </cell>
          <cell r="B328" t="str">
            <v>安藤　幸二　　　</v>
          </cell>
          <cell r="C328">
            <v>1051630</v>
          </cell>
          <cell r="D328">
            <v>1134530</v>
          </cell>
          <cell r="E328">
            <v>2186160</v>
          </cell>
          <cell r="F328">
            <v>4559473</v>
          </cell>
          <cell r="G328">
            <v>6745633</v>
          </cell>
          <cell r="H328">
            <v>1039680</v>
          </cell>
        </row>
        <row r="329">
          <cell r="A329" t="str">
            <v>0622</v>
          </cell>
          <cell r="B329" t="str">
            <v>新才　俊行　　　</v>
          </cell>
          <cell r="C329">
            <v>1032390</v>
          </cell>
          <cell r="D329">
            <v>1133910</v>
          </cell>
          <cell r="E329">
            <v>2166300</v>
          </cell>
          <cell r="F329">
            <v>5710940</v>
          </cell>
          <cell r="G329">
            <v>7877240</v>
          </cell>
          <cell r="H329">
            <v>1053040</v>
          </cell>
        </row>
        <row r="330">
          <cell r="A330" t="str">
            <v>2165</v>
          </cell>
          <cell r="B330" t="str">
            <v>土居　宏志　　　</v>
          </cell>
          <cell r="C330">
            <v>996380</v>
          </cell>
          <cell r="D330">
            <v>1132360</v>
          </cell>
          <cell r="E330">
            <v>2128740</v>
          </cell>
          <cell r="F330">
            <v>4613064</v>
          </cell>
          <cell r="G330">
            <v>6741804</v>
          </cell>
          <cell r="H330">
            <v>1037690</v>
          </cell>
        </row>
        <row r="331">
          <cell r="A331" t="str">
            <v>0401</v>
          </cell>
          <cell r="B331" t="str">
            <v>小山　清住　　　</v>
          </cell>
          <cell r="C331">
            <v>1028090</v>
          </cell>
          <cell r="D331">
            <v>1130660</v>
          </cell>
          <cell r="E331">
            <v>2158750</v>
          </cell>
          <cell r="F331">
            <v>4764300</v>
          </cell>
          <cell r="G331">
            <v>6923050</v>
          </cell>
          <cell r="H331">
            <v>1052600</v>
          </cell>
        </row>
        <row r="332">
          <cell r="A332" t="str">
            <v>2887</v>
          </cell>
          <cell r="B332" t="str">
            <v>長谷川　豐秋　　</v>
          </cell>
          <cell r="C332">
            <v>976340</v>
          </cell>
          <cell r="D332">
            <v>1130140</v>
          </cell>
          <cell r="E332">
            <v>2106480</v>
          </cell>
          <cell r="F332">
            <v>5040882</v>
          </cell>
          <cell r="G332">
            <v>7147362</v>
          </cell>
          <cell r="H332">
            <v>1028360</v>
          </cell>
        </row>
        <row r="333">
          <cell r="A333" t="str">
            <v>0853</v>
          </cell>
          <cell r="B333" t="str">
            <v>吉村　晋一郎　　</v>
          </cell>
          <cell r="C333">
            <v>960080</v>
          </cell>
          <cell r="D333">
            <v>1129500</v>
          </cell>
          <cell r="E333">
            <v>2089580</v>
          </cell>
          <cell r="F333">
            <v>4535611</v>
          </cell>
          <cell r="G333">
            <v>6625191</v>
          </cell>
          <cell r="H333">
            <v>1035060</v>
          </cell>
        </row>
        <row r="334">
          <cell r="A334" t="str">
            <v>2004</v>
          </cell>
          <cell r="B334" t="str">
            <v>河村　雅典　　　</v>
          </cell>
          <cell r="C334">
            <v>1009900</v>
          </cell>
          <cell r="D334">
            <v>1129350</v>
          </cell>
          <cell r="E334">
            <v>2139250</v>
          </cell>
          <cell r="F334">
            <v>5045624</v>
          </cell>
          <cell r="G334">
            <v>7184874</v>
          </cell>
          <cell r="H334">
            <v>1013590</v>
          </cell>
        </row>
        <row r="335">
          <cell r="A335" t="str">
            <v>0416</v>
          </cell>
          <cell r="B335" t="str">
            <v>堀池　仁孝　　　</v>
          </cell>
          <cell r="C335">
            <v>812540</v>
          </cell>
          <cell r="D335">
            <v>1126870</v>
          </cell>
          <cell r="E335">
            <v>1939410</v>
          </cell>
          <cell r="F335">
            <v>4804758</v>
          </cell>
          <cell r="G335">
            <v>6744168</v>
          </cell>
          <cell r="H335">
            <v>1087530</v>
          </cell>
        </row>
        <row r="336">
          <cell r="A336" t="str">
            <v>0746</v>
          </cell>
          <cell r="B336" t="str">
            <v>飯田　政一　　　</v>
          </cell>
          <cell r="C336">
            <v>1006640</v>
          </cell>
          <cell r="D336">
            <v>1125320</v>
          </cell>
          <cell r="E336">
            <v>2131960</v>
          </cell>
          <cell r="F336">
            <v>4586066</v>
          </cell>
          <cell r="G336">
            <v>6718026</v>
          </cell>
          <cell r="H336">
            <v>1031230</v>
          </cell>
        </row>
        <row r="337">
          <cell r="A337" t="str">
            <v>0977</v>
          </cell>
          <cell r="B337" t="str">
            <v>芝　文男　　　　</v>
          </cell>
          <cell r="C337">
            <v>1020930</v>
          </cell>
          <cell r="D337">
            <v>1124700</v>
          </cell>
          <cell r="E337">
            <v>2145630</v>
          </cell>
          <cell r="F337">
            <v>4821818</v>
          </cell>
          <cell r="G337">
            <v>6967448</v>
          </cell>
          <cell r="H337">
            <v>1090080</v>
          </cell>
        </row>
        <row r="338">
          <cell r="A338" t="str">
            <v>0619</v>
          </cell>
          <cell r="B338" t="str">
            <v>池田　幸博　　　</v>
          </cell>
          <cell r="C338">
            <v>877920</v>
          </cell>
          <cell r="D338">
            <v>1122230</v>
          </cell>
          <cell r="E338">
            <v>2000150</v>
          </cell>
          <cell r="F338">
            <v>4555368</v>
          </cell>
          <cell r="G338">
            <v>6555518</v>
          </cell>
          <cell r="H338">
            <v>1008070</v>
          </cell>
        </row>
        <row r="339">
          <cell r="A339" t="str">
            <v>1846</v>
          </cell>
          <cell r="B339" t="str">
            <v>池田　浩巳　　　</v>
          </cell>
          <cell r="C339">
            <v>871590</v>
          </cell>
          <cell r="D339">
            <v>1121360</v>
          </cell>
          <cell r="E339">
            <v>1992950</v>
          </cell>
          <cell r="F339">
            <v>4266312</v>
          </cell>
          <cell r="G339">
            <v>6259262</v>
          </cell>
          <cell r="H339">
            <v>989360</v>
          </cell>
        </row>
        <row r="340">
          <cell r="A340" t="str">
            <v>1697</v>
          </cell>
          <cell r="B340" t="str">
            <v>加倉井　清三郎　</v>
          </cell>
          <cell r="C340">
            <v>847080</v>
          </cell>
          <cell r="D340">
            <v>1120800</v>
          </cell>
          <cell r="E340">
            <v>1967880</v>
          </cell>
          <cell r="F340">
            <v>4433801</v>
          </cell>
          <cell r="G340">
            <v>6401681</v>
          </cell>
          <cell r="H340">
            <v>1117380</v>
          </cell>
        </row>
        <row r="341">
          <cell r="A341" t="str">
            <v>1602</v>
          </cell>
          <cell r="B341" t="str">
            <v>平川　東光　　　</v>
          </cell>
          <cell r="C341">
            <v>957230</v>
          </cell>
          <cell r="D341">
            <v>1120790</v>
          </cell>
          <cell r="E341">
            <v>2078020</v>
          </cell>
          <cell r="F341">
            <v>4521435</v>
          </cell>
          <cell r="G341">
            <v>6599455</v>
          </cell>
          <cell r="H341">
            <v>1025820</v>
          </cell>
        </row>
        <row r="342">
          <cell r="A342" t="str">
            <v>2312</v>
          </cell>
          <cell r="B342" t="str">
            <v>樽木　利夫　　　</v>
          </cell>
          <cell r="C342">
            <v>985760</v>
          </cell>
          <cell r="D342">
            <v>1116800</v>
          </cell>
          <cell r="E342">
            <v>2102560</v>
          </cell>
          <cell r="F342">
            <v>5322396</v>
          </cell>
          <cell r="G342">
            <v>7424956</v>
          </cell>
          <cell r="H342">
            <v>1038820</v>
          </cell>
        </row>
        <row r="343">
          <cell r="A343" t="str">
            <v>2096</v>
          </cell>
          <cell r="B343" t="str">
            <v>森谷　邦男　　　</v>
          </cell>
          <cell r="C343">
            <v>913590</v>
          </cell>
          <cell r="D343">
            <v>1116800</v>
          </cell>
          <cell r="E343">
            <v>2030390</v>
          </cell>
          <cell r="F343">
            <v>4152072</v>
          </cell>
          <cell r="G343">
            <v>6182462</v>
          </cell>
          <cell r="H343">
            <v>947380</v>
          </cell>
        </row>
        <row r="344">
          <cell r="A344" t="str">
            <v>1495</v>
          </cell>
          <cell r="B344" t="str">
            <v>十河　恒人　　　</v>
          </cell>
          <cell r="C344">
            <v>974190</v>
          </cell>
          <cell r="D344">
            <v>1115690</v>
          </cell>
          <cell r="E344">
            <v>2089880</v>
          </cell>
          <cell r="F344">
            <v>4379476</v>
          </cell>
          <cell r="G344">
            <v>6469356</v>
          </cell>
          <cell r="H344">
            <v>965360</v>
          </cell>
        </row>
        <row r="345">
          <cell r="A345" t="str">
            <v>2157</v>
          </cell>
          <cell r="B345" t="str">
            <v>今村　進　　　　</v>
          </cell>
          <cell r="C345">
            <v>964990</v>
          </cell>
          <cell r="D345">
            <v>1114880</v>
          </cell>
          <cell r="E345">
            <v>2079870</v>
          </cell>
          <cell r="F345">
            <v>4541265</v>
          </cell>
          <cell r="G345">
            <v>6621135</v>
          </cell>
          <cell r="H345">
            <v>985540</v>
          </cell>
        </row>
        <row r="346">
          <cell r="A346" t="str">
            <v>1330</v>
          </cell>
          <cell r="B346" t="str">
            <v>中元　靖夫　　　</v>
          </cell>
          <cell r="C346">
            <v>938980</v>
          </cell>
          <cell r="D346">
            <v>1114880</v>
          </cell>
          <cell r="E346">
            <v>2053860</v>
          </cell>
          <cell r="F346">
            <v>4589197</v>
          </cell>
          <cell r="G346">
            <v>6643057</v>
          </cell>
          <cell r="H346">
            <v>1021670</v>
          </cell>
        </row>
        <row r="347">
          <cell r="A347" t="str">
            <v>1521</v>
          </cell>
          <cell r="B347" t="str">
            <v>和田　裕基　　　</v>
          </cell>
          <cell r="C347">
            <v>947010</v>
          </cell>
          <cell r="D347">
            <v>1112310</v>
          </cell>
          <cell r="E347">
            <v>2059320</v>
          </cell>
          <cell r="F347">
            <v>4199920</v>
          </cell>
          <cell r="G347">
            <v>6259240</v>
          </cell>
          <cell r="H347">
            <v>978820</v>
          </cell>
        </row>
        <row r="348">
          <cell r="A348" t="str">
            <v>1086</v>
          </cell>
          <cell r="B348" t="str">
            <v>竹村　守　　　　</v>
          </cell>
          <cell r="C348">
            <v>983510</v>
          </cell>
          <cell r="D348">
            <v>1112040</v>
          </cell>
          <cell r="E348">
            <v>2095550</v>
          </cell>
          <cell r="F348">
            <v>4752247</v>
          </cell>
          <cell r="G348">
            <v>6847797</v>
          </cell>
          <cell r="H348">
            <v>1020260</v>
          </cell>
        </row>
        <row r="349">
          <cell r="A349" t="str">
            <v>0523</v>
          </cell>
          <cell r="B349" t="str">
            <v>中　修一　　　　</v>
          </cell>
          <cell r="C349">
            <v>1073490</v>
          </cell>
          <cell r="D349">
            <v>1111970</v>
          </cell>
          <cell r="E349">
            <v>2185460</v>
          </cell>
          <cell r="F349">
            <v>5304508</v>
          </cell>
          <cell r="G349">
            <v>7489968</v>
          </cell>
          <cell r="H349">
            <v>1074920</v>
          </cell>
        </row>
        <row r="350">
          <cell r="A350" t="str">
            <v>0585</v>
          </cell>
          <cell r="B350" t="str">
            <v>赤部　達也　　　</v>
          </cell>
          <cell r="C350">
            <v>929620</v>
          </cell>
          <cell r="D350">
            <v>1110600</v>
          </cell>
          <cell r="E350">
            <v>2040220</v>
          </cell>
          <cell r="F350">
            <v>4239035</v>
          </cell>
          <cell r="G350">
            <v>6279255</v>
          </cell>
          <cell r="H350">
            <v>1014770</v>
          </cell>
        </row>
        <row r="351">
          <cell r="A351" t="str">
            <v>0411</v>
          </cell>
          <cell r="B351" t="str">
            <v>角　忠直　　　　</v>
          </cell>
          <cell r="C351">
            <v>1004630</v>
          </cell>
          <cell r="D351">
            <v>1110280</v>
          </cell>
          <cell r="E351">
            <v>2114910</v>
          </cell>
          <cell r="F351">
            <v>4747595</v>
          </cell>
          <cell r="G351">
            <v>6862505</v>
          </cell>
          <cell r="H351">
            <v>965310</v>
          </cell>
        </row>
        <row r="352">
          <cell r="A352" t="str">
            <v>0156</v>
          </cell>
          <cell r="B352" t="str">
            <v>木村　恵昭　　　</v>
          </cell>
          <cell r="C352">
            <v>1053530</v>
          </cell>
          <cell r="D352">
            <v>1108360</v>
          </cell>
          <cell r="E352">
            <v>2161890</v>
          </cell>
          <cell r="F352">
            <v>5337657</v>
          </cell>
          <cell r="G352">
            <v>7499547</v>
          </cell>
          <cell r="H352">
            <v>1082500</v>
          </cell>
        </row>
        <row r="353">
          <cell r="A353" t="str">
            <v>1640</v>
          </cell>
          <cell r="B353" t="str">
            <v>斎藤　光夫　　　</v>
          </cell>
          <cell r="C353">
            <v>952810</v>
          </cell>
          <cell r="D353">
            <v>1107350</v>
          </cell>
          <cell r="E353">
            <v>2060160</v>
          </cell>
          <cell r="F353">
            <v>4557813</v>
          </cell>
          <cell r="G353">
            <v>6617973</v>
          </cell>
          <cell r="H353">
            <v>1014780</v>
          </cell>
        </row>
        <row r="354">
          <cell r="A354" t="str">
            <v>1711</v>
          </cell>
          <cell r="B354" t="str">
            <v>井上　光雄　　　</v>
          </cell>
          <cell r="C354">
            <v>945060</v>
          </cell>
          <cell r="D354">
            <v>1107200</v>
          </cell>
          <cell r="E354">
            <v>2052260</v>
          </cell>
          <cell r="F354">
            <v>4183462</v>
          </cell>
          <cell r="G354">
            <v>6235722</v>
          </cell>
          <cell r="H354">
            <v>1030490</v>
          </cell>
        </row>
        <row r="355">
          <cell r="A355" t="str">
            <v>0477</v>
          </cell>
          <cell r="B355" t="str">
            <v>福家　稔　　　　</v>
          </cell>
          <cell r="C355">
            <v>995250</v>
          </cell>
          <cell r="D355">
            <v>1105930</v>
          </cell>
          <cell r="E355">
            <v>2101180</v>
          </cell>
          <cell r="F355">
            <v>4810612</v>
          </cell>
          <cell r="G355">
            <v>6911792</v>
          </cell>
          <cell r="H355">
            <v>1058660</v>
          </cell>
        </row>
        <row r="356">
          <cell r="A356" t="str">
            <v>0693</v>
          </cell>
          <cell r="B356" t="str">
            <v>竹島　設夫　　　</v>
          </cell>
          <cell r="C356">
            <v>1009320</v>
          </cell>
          <cell r="D356">
            <v>1102460</v>
          </cell>
          <cell r="E356">
            <v>2111780</v>
          </cell>
          <cell r="F356">
            <v>4631625</v>
          </cell>
          <cell r="G356">
            <v>6743405</v>
          </cell>
          <cell r="H356">
            <v>1011470</v>
          </cell>
        </row>
        <row r="357">
          <cell r="A357" t="str">
            <v>1473</v>
          </cell>
          <cell r="B357" t="str">
            <v>岡田　弘法　　　</v>
          </cell>
          <cell r="C357">
            <v>945780</v>
          </cell>
          <cell r="D357">
            <v>1102460</v>
          </cell>
          <cell r="E357">
            <v>2048240</v>
          </cell>
          <cell r="F357">
            <v>4647106</v>
          </cell>
          <cell r="G357">
            <v>6695346</v>
          </cell>
          <cell r="H357">
            <v>1026740</v>
          </cell>
        </row>
        <row r="358">
          <cell r="A358" t="str">
            <v>0638</v>
          </cell>
          <cell r="B358" t="str">
            <v>芳賀　治　　　　</v>
          </cell>
          <cell r="C358">
            <v>980430</v>
          </cell>
          <cell r="D358">
            <v>1102360</v>
          </cell>
          <cell r="E358">
            <v>2082790</v>
          </cell>
          <cell r="F358">
            <v>4555802</v>
          </cell>
          <cell r="G358">
            <v>6638592</v>
          </cell>
          <cell r="H358">
            <v>1050680</v>
          </cell>
        </row>
        <row r="359">
          <cell r="A359" t="str">
            <v>0994</v>
          </cell>
          <cell r="B359" t="str">
            <v>高松　悦司　　　</v>
          </cell>
          <cell r="C359">
            <v>987250</v>
          </cell>
          <cell r="D359">
            <v>1101950</v>
          </cell>
          <cell r="E359">
            <v>2089200</v>
          </cell>
          <cell r="F359">
            <v>4702099</v>
          </cell>
          <cell r="G359">
            <v>6791299</v>
          </cell>
          <cell r="H359">
            <v>1046100</v>
          </cell>
        </row>
        <row r="360">
          <cell r="A360" t="str">
            <v>1271</v>
          </cell>
          <cell r="B360" t="str">
            <v>佐藤　誠宏　　　</v>
          </cell>
          <cell r="C360">
            <v>938750</v>
          </cell>
          <cell r="D360">
            <v>1098460</v>
          </cell>
          <cell r="E360">
            <v>2037210</v>
          </cell>
          <cell r="F360">
            <v>4432449</v>
          </cell>
          <cell r="G360">
            <v>6469659</v>
          </cell>
          <cell r="H360">
            <v>958540</v>
          </cell>
        </row>
        <row r="361">
          <cell r="A361" t="str">
            <v>1344</v>
          </cell>
          <cell r="B361" t="str">
            <v>松田　文夫　　　</v>
          </cell>
          <cell r="C361">
            <v>1015000</v>
          </cell>
          <cell r="D361">
            <v>1097860</v>
          </cell>
          <cell r="E361">
            <v>2112860</v>
          </cell>
          <cell r="F361">
            <v>4886123</v>
          </cell>
          <cell r="G361">
            <v>6998983</v>
          </cell>
          <cell r="H361">
            <v>1007250</v>
          </cell>
        </row>
        <row r="362">
          <cell r="A362" t="str">
            <v>1121</v>
          </cell>
          <cell r="B362" t="str">
            <v>平間　幸雄　　　</v>
          </cell>
          <cell r="C362">
            <v>951980</v>
          </cell>
          <cell r="D362">
            <v>1097530</v>
          </cell>
          <cell r="E362">
            <v>2049510</v>
          </cell>
          <cell r="F362">
            <v>4704808</v>
          </cell>
          <cell r="G362">
            <v>6754318</v>
          </cell>
          <cell r="H362">
            <v>1006930</v>
          </cell>
        </row>
        <row r="363">
          <cell r="A363" t="str">
            <v>1300</v>
          </cell>
          <cell r="B363" t="str">
            <v>岩橋　俊樹　　　</v>
          </cell>
          <cell r="C363">
            <v>906790</v>
          </cell>
          <cell r="D363">
            <v>1096980</v>
          </cell>
          <cell r="E363">
            <v>2003770</v>
          </cell>
          <cell r="F363">
            <v>4197960</v>
          </cell>
          <cell r="G363">
            <v>6201730</v>
          </cell>
          <cell r="H363">
            <v>981800</v>
          </cell>
        </row>
        <row r="364">
          <cell r="A364" t="str">
            <v>0737</v>
          </cell>
          <cell r="B364" t="str">
            <v>天野　裕二　　　</v>
          </cell>
          <cell r="C364">
            <v>973590</v>
          </cell>
          <cell r="D364">
            <v>1096850</v>
          </cell>
          <cell r="E364">
            <v>2070440</v>
          </cell>
          <cell r="F364">
            <v>4467526</v>
          </cell>
          <cell r="G364">
            <v>6537966</v>
          </cell>
          <cell r="H364">
            <v>1054290</v>
          </cell>
        </row>
        <row r="365">
          <cell r="A365" t="str">
            <v>1356</v>
          </cell>
          <cell r="B365" t="str">
            <v>渡辺　憲治　　　</v>
          </cell>
          <cell r="C365">
            <v>871770</v>
          </cell>
          <cell r="D365">
            <v>1095270</v>
          </cell>
          <cell r="E365">
            <v>1967040</v>
          </cell>
          <cell r="F365">
            <v>4549236</v>
          </cell>
          <cell r="G365">
            <v>6516276</v>
          </cell>
          <cell r="H365">
            <v>1043930</v>
          </cell>
        </row>
        <row r="366">
          <cell r="A366" t="str">
            <v>1906</v>
          </cell>
          <cell r="B366" t="str">
            <v>服部　治正　　　</v>
          </cell>
          <cell r="C366">
            <v>827050</v>
          </cell>
          <cell r="D366">
            <v>1093830</v>
          </cell>
          <cell r="E366">
            <v>1920880</v>
          </cell>
          <cell r="F366">
            <v>3986080</v>
          </cell>
          <cell r="G366">
            <v>5906960</v>
          </cell>
          <cell r="H366">
            <v>965070</v>
          </cell>
        </row>
        <row r="367">
          <cell r="A367" t="str">
            <v>1172</v>
          </cell>
          <cell r="B367" t="str">
            <v>藤村　勝行　　　</v>
          </cell>
          <cell r="C367">
            <v>1003460</v>
          </cell>
          <cell r="D367">
            <v>1093130</v>
          </cell>
          <cell r="E367">
            <v>2096590</v>
          </cell>
          <cell r="F367">
            <v>4615334</v>
          </cell>
          <cell r="G367">
            <v>6711924</v>
          </cell>
          <cell r="H367">
            <v>1057080</v>
          </cell>
        </row>
        <row r="368">
          <cell r="A368" t="str">
            <v>1731</v>
          </cell>
          <cell r="B368" t="str">
            <v>難波　俊夫　　　</v>
          </cell>
          <cell r="C368">
            <v>1011590</v>
          </cell>
          <cell r="D368">
            <v>1092660</v>
          </cell>
          <cell r="E368">
            <v>2104250</v>
          </cell>
          <cell r="F368">
            <v>4539239</v>
          </cell>
          <cell r="G368">
            <v>6643489</v>
          </cell>
          <cell r="H368">
            <v>1058540</v>
          </cell>
        </row>
        <row r="369">
          <cell r="A369" t="str">
            <v>1497</v>
          </cell>
          <cell r="B369" t="str">
            <v>高橋　孝治　　　</v>
          </cell>
          <cell r="C369">
            <v>988690</v>
          </cell>
          <cell r="D369">
            <v>1092660</v>
          </cell>
          <cell r="E369">
            <v>2081350</v>
          </cell>
          <cell r="F369">
            <v>4753188</v>
          </cell>
          <cell r="G369">
            <v>6834538</v>
          </cell>
          <cell r="H369">
            <v>1041430</v>
          </cell>
        </row>
        <row r="370">
          <cell r="A370" t="str">
            <v>0285</v>
          </cell>
          <cell r="B370" t="str">
            <v>佐野　正七　　　</v>
          </cell>
          <cell r="C370">
            <v>935870</v>
          </cell>
          <cell r="D370">
            <v>1092340</v>
          </cell>
          <cell r="E370">
            <v>2028210</v>
          </cell>
          <cell r="F370">
            <v>4948351</v>
          </cell>
          <cell r="G370">
            <v>6976561</v>
          </cell>
          <cell r="H370">
            <v>935430</v>
          </cell>
        </row>
        <row r="371">
          <cell r="A371" t="str">
            <v>1500</v>
          </cell>
          <cell r="B371" t="str">
            <v>中島　茂生　　　</v>
          </cell>
          <cell r="C371">
            <v>935160</v>
          </cell>
          <cell r="D371">
            <v>1091740</v>
          </cell>
          <cell r="E371">
            <v>2026900</v>
          </cell>
          <cell r="F371">
            <v>3755175</v>
          </cell>
          <cell r="G371">
            <v>5782075</v>
          </cell>
          <cell r="H371">
            <v>1049450</v>
          </cell>
        </row>
        <row r="372">
          <cell r="A372" t="str">
            <v>0394</v>
          </cell>
          <cell r="B372" t="str">
            <v>日野山　泰弘　　</v>
          </cell>
          <cell r="C372">
            <v>954110</v>
          </cell>
          <cell r="D372">
            <v>1091340</v>
          </cell>
          <cell r="E372">
            <v>2045450</v>
          </cell>
          <cell r="F372">
            <v>4769291</v>
          </cell>
          <cell r="G372">
            <v>6814741</v>
          </cell>
          <cell r="H372">
            <v>1013470</v>
          </cell>
        </row>
        <row r="373">
          <cell r="A373" t="str">
            <v>0971</v>
          </cell>
          <cell r="B373" t="str">
            <v>岡田　淳史　　　</v>
          </cell>
          <cell r="C373">
            <v>976110</v>
          </cell>
          <cell r="D373">
            <v>1090610</v>
          </cell>
          <cell r="E373">
            <v>2066720</v>
          </cell>
          <cell r="F373">
            <v>4683450</v>
          </cell>
          <cell r="G373">
            <v>6750170</v>
          </cell>
          <cell r="H373">
            <v>1016460</v>
          </cell>
        </row>
        <row r="374">
          <cell r="A374" t="str">
            <v>2085</v>
          </cell>
          <cell r="B374" t="str">
            <v>山崎　修　　　　</v>
          </cell>
          <cell r="C374">
            <v>850610</v>
          </cell>
          <cell r="D374">
            <v>1090320</v>
          </cell>
          <cell r="E374">
            <v>1940930</v>
          </cell>
          <cell r="F374">
            <v>4007003</v>
          </cell>
          <cell r="G374">
            <v>5947933</v>
          </cell>
          <cell r="H374">
            <v>979100</v>
          </cell>
        </row>
        <row r="375">
          <cell r="A375" t="str">
            <v>1893</v>
          </cell>
          <cell r="B375" t="str">
            <v>白土　和寛　　　</v>
          </cell>
          <cell r="C375">
            <v>968110</v>
          </cell>
          <cell r="D375">
            <v>1090170</v>
          </cell>
          <cell r="E375">
            <v>2058280</v>
          </cell>
          <cell r="F375">
            <v>4339092</v>
          </cell>
          <cell r="G375">
            <v>6397372</v>
          </cell>
          <cell r="H375">
            <v>997790</v>
          </cell>
        </row>
        <row r="376">
          <cell r="A376" t="str">
            <v>1650</v>
          </cell>
          <cell r="B376" t="str">
            <v>室岡　靖治　　　</v>
          </cell>
          <cell r="C376">
            <v>913590</v>
          </cell>
          <cell r="D376">
            <v>1090170</v>
          </cell>
          <cell r="E376">
            <v>2003760</v>
          </cell>
          <cell r="F376">
            <v>4317881</v>
          </cell>
          <cell r="G376">
            <v>6321641</v>
          </cell>
          <cell r="H376">
            <v>808460</v>
          </cell>
        </row>
        <row r="377">
          <cell r="A377" t="str">
            <v>1262</v>
          </cell>
          <cell r="B377" t="str">
            <v>山本　俊仁　　　</v>
          </cell>
          <cell r="C377">
            <v>870790</v>
          </cell>
          <cell r="D377">
            <v>1089350</v>
          </cell>
          <cell r="E377">
            <v>1960140</v>
          </cell>
          <cell r="F377">
            <v>4403636</v>
          </cell>
          <cell r="G377">
            <v>6363776</v>
          </cell>
          <cell r="H377">
            <v>1036070</v>
          </cell>
        </row>
        <row r="378">
          <cell r="A378" t="str">
            <v>1856</v>
          </cell>
          <cell r="B378" t="str">
            <v>三輪　孝治　　　</v>
          </cell>
          <cell r="C378">
            <v>953560</v>
          </cell>
          <cell r="D378">
            <v>1088420</v>
          </cell>
          <cell r="E378">
            <v>2041980</v>
          </cell>
          <cell r="F378">
            <v>4577223</v>
          </cell>
          <cell r="G378">
            <v>6619203</v>
          </cell>
          <cell r="H378">
            <v>1035180</v>
          </cell>
        </row>
        <row r="379">
          <cell r="A379" t="str">
            <v>0528</v>
          </cell>
          <cell r="B379" t="str">
            <v>松原　和己　　　</v>
          </cell>
          <cell r="C379">
            <v>971420</v>
          </cell>
          <cell r="D379">
            <v>1087650</v>
          </cell>
          <cell r="E379">
            <v>2059070</v>
          </cell>
          <cell r="F379">
            <v>4733221</v>
          </cell>
          <cell r="G379">
            <v>6792291</v>
          </cell>
          <cell r="H379">
            <v>984040</v>
          </cell>
        </row>
        <row r="380">
          <cell r="A380" t="str">
            <v>1648</v>
          </cell>
          <cell r="B380" t="str">
            <v>上ノ内　良位　　</v>
          </cell>
          <cell r="C380">
            <v>960520</v>
          </cell>
          <cell r="D380">
            <v>1084290</v>
          </cell>
          <cell r="E380">
            <v>2044810</v>
          </cell>
          <cell r="F380">
            <v>4020870</v>
          </cell>
          <cell r="G380">
            <v>6065680</v>
          </cell>
          <cell r="H380">
            <v>906800</v>
          </cell>
        </row>
        <row r="381">
          <cell r="A381" t="str">
            <v>1181</v>
          </cell>
          <cell r="B381" t="str">
            <v>村松　潤一　　　</v>
          </cell>
          <cell r="C381">
            <v>1011590</v>
          </cell>
          <cell r="D381">
            <v>1082850</v>
          </cell>
          <cell r="E381">
            <v>2094440</v>
          </cell>
          <cell r="F381">
            <v>4282861</v>
          </cell>
          <cell r="G381">
            <v>6377301</v>
          </cell>
          <cell r="H381">
            <v>957210</v>
          </cell>
        </row>
        <row r="382">
          <cell r="A382" t="str">
            <v>0564</v>
          </cell>
          <cell r="B382" t="str">
            <v>近藤　訓　　　　</v>
          </cell>
          <cell r="C382">
            <v>957970</v>
          </cell>
          <cell r="D382">
            <v>1082730</v>
          </cell>
          <cell r="E382">
            <v>2040700</v>
          </cell>
          <cell r="F382">
            <v>4498760</v>
          </cell>
          <cell r="G382">
            <v>6539460</v>
          </cell>
          <cell r="H382">
            <v>886830</v>
          </cell>
        </row>
        <row r="383">
          <cell r="A383" t="str">
            <v>2010</v>
          </cell>
          <cell r="B383" t="str">
            <v>岸田　有功　　　</v>
          </cell>
          <cell r="C383">
            <v>969470</v>
          </cell>
          <cell r="D383">
            <v>1080300</v>
          </cell>
          <cell r="E383">
            <v>2049770</v>
          </cell>
          <cell r="F383">
            <v>4540900</v>
          </cell>
          <cell r="G383">
            <v>6590670</v>
          </cell>
          <cell r="H383">
            <v>970220</v>
          </cell>
        </row>
        <row r="384">
          <cell r="A384" t="str">
            <v>0516</v>
          </cell>
          <cell r="B384" t="str">
            <v>藤山　直大　　　</v>
          </cell>
          <cell r="C384">
            <v>1217230</v>
          </cell>
          <cell r="D384">
            <v>1079290</v>
          </cell>
          <cell r="E384">
            <v>2296520</v>
          </cell>
          <cell r="F384">
            <v>5278508</v>
          </cell>
          <cell r="G384">
            <v>7575028</v>
          </cell>
          <cell r="H384">
            <v>955400</v>
          </cell>
        </row>
        <row r="385">
          <cell r="A385" t="str">
            <v>1511</v>
          </cell>
          <cell r="B385" t="str">
            <v>松本　輝雄　　　</v>
          </cell>
          <cell r="C385">
            <v>895680</v>
          </cell>
          <cell r="D385">
            <v>1079010</v>
          </cell>
          <cell r="E385">
            <v>1974690</v>
          </cell>
          <cell r="F385">
            <v>4484314</v>
          </cell>
          <cell r="G385">
            <v>6459004</v>
          </cell>
          <cell r="H385">
            <v>965360</v>
          </cell>
        </row>
        <row r="386">
          <cell r="A386" t="str">
            <v>1741</v>
          </cell>
          <cell r="B386" t="str">
            <v>松本　功一　　　</v>
          </cell>
          <cell r="C386">
            <v>960520</v>
          </cell>
          <cell r="D386">
            <v>1078970</v>
          </cell>
          <cell r="E386">
            <v>2039490</v>
          </cell>
          <cell r="F386">
            <v>3621003</v>
          </cell>
          <cell r="G386">
            <v>5660493</v>
          </cell>
          <cell r="H386">
            <v>951970</v>
          </cell>
        </row>
        <row r="387">
          <cell r="A387" t="str">
            <v>0965</v>
          </cell>
          <cell r="B387" t="str">
            <v>井口　健一郎　　</v>
          </cell>
          <cell r="C387">
            <v>977860</v>
          </cell>
          <cell r="D387">
            <v>1078830</v>
          </cell>
          <cell r="E387">
            <v>2056690</v>
          </cell>
          <cell r="F387">
            <v>4889248</v>
          </cell>
          <cell r="G387">
            <v>6945938</v>
          </cell>
          <cell r="H387">
            <v>1012150</v>
          </cell>
        </row>
        <row r="388">
          <cell r="A388" t="str">
            <v>1471</v>
          </cell>
          <cell r="B388" t="str">
            <v>大城　昭夫　　　</v>
          </cell>
          <cell r="C388">
            <v>983560</v>
          </cell>
          <cell r="D388">
            <v>1076800</v>
          </cell>
          <cell r="E388">
            <v>2060360</v>
          </cell>
          <cell r="F388">
            <v>4548377</v>
          </cell>
          <cell r="G388">
            <v>6608737</v>
          </cell>
          <cell r="H388">
            <v>970830</v>
          </cell>
        </row>
        <row r="389">
          <cell r="A389" t="str">
            <v>1742</v>
          </cell>
          <cell r="B389" t="str">
            <v>宮川　和也　　　</v>
          </cell>
          <cell r="C389">
            <v>930250</v>
          </cell>
          <cell r="D389">
            <v>1076560</v>
          </cell>
          <cell r="E389">
            <v>2006810</v>
          </cell>
          <cell r="F389">
            <v>4321064</v>
          </cell>
          <cell r="G389">
            <v>6327874</v>
          </cell>
          <cell r="H389">
            <v>929750</v>
          </cell>
        </row>
        <row r="390">
          <cell r="A390" t="str">
            <v>1600</v>
          </cell>
          <cell r="B390" t="str">
            <v>川端　俊彦　　　</v>
          </cell>
          <cell r="C390">
            <v>961710</v>
          </cell>
          <cell r="D390">
            <v>1076280</v>
          </cell>
          <cell r="E390">
            <v>2037990</v>
          </cell>
          <cell r="F390">
            <v>4911814</v>
          </cell>
          <cell r="G390">
            <v>6949804</v>
          </cell>
          <cell r="H390">
            <v>986290</v>
          </cell>
        </row>
        <row r="391">
          <cell r="A391" t="str">
            <v>1095</v>
          </cell>
          <cell r="B391" t="str">
            <v>野崎　光男　　　</v>
          </cell>
          <cell r="C391">
            <v>918540</v>
          </cell>
          <cell r="D391">
            <v>1075770</v>
          </cell>
          <cell r="E391">
            <v>1994310</v>
          </cell>
          <cell r="F391">
            <v>4829745</v>
          </cell>
          <cell r="G391">
            <v>6824055</v>
          </cell>
          <cell r="H391">
            <v>986970</v>
          </cell>
        </row>
        <row r="392">
          <cell r="A392" t="str">
            <v>1729</v>
          </cell>
          <cell r="B392" t="str">
            <v>坪田　元明　　　</v>
          </cell>
          <cell r="C392">
            <v>939940</v>
          </cell>
          <cell r="D392">
            <v>1075740</v>
          </cell>
          <cell r="E392">
            <v>2015680</v>
          </cell>
          <cell r="F392">
            <v>4536689</v>
          </cell>
          <cell r="G392">
            <v>6552369</v>
          </cell>
          <cell r="H392">
            <v>1002870</v>
          </cell>
        </row>
        <row r="393">
          <cell r="A393" t="str">
            <v>2083</v>
          </cell>
          <cell r="B393" t="str">
            <v>松田　伸之　　　</v>
          </cell>
          <cell r="C393">
            <v>789700</v>
          </cell>
          <cell r="D393">
            <v>1074430</v>
          </cell>
          <cell r="E393">
            <v>1864130</v>
          </cell>
          <cell r="F393">
            <v>4069464</v>
          </cell>
          <cell r="G393">
            <v>5933594</v>
          </cell>
          <cell r="H393">
            <v>927880</v>
          </cell>
        </row>
        <row r="394">
          <cell r="A394" t="str">
            <v>2086</v>
          </cell>
          <cell r="B394" t="str">
            <v>山根　聡　　　　</v>
          </cell>
          <cell r="C394">
            <v>867350</v>
          </cell>
          <cell r="D394">
            <v>1074430</v>
          </cell>
          <cell r="E394">
            <v>1941780</v>
          </cell>
          <cell r="F394">
            <v>4372573</v>
          </cell>
          <cell r="G394">
            <v>6314353</v>
          </cell>
          <cell r="H394">
            <v>982330</v>
          </cell>
        </row>
        <row r="395">
          <cell r="A395" t="str">
            <v>1488</v>
          </cell>
          <cell r="B395" t="str">
            <v>佐藤　義彰　　　</v>
          </cell>
          <cell r="C395">
            <v>976520</v>
          </cell>
          <cell r="D395">
            <v>1074200</v>
          </cell>
          <cell r="E395">
            <v>2050720</v>
          </cell>
          <cell r="F395">
            <v>3945307</v>
          </cell>
          <cell r="G395">
            <v>5996027</v>
          </cell>
          <cell r="H395">
            <v>1039080</v>
          </cell>
        </row>
        <row r="396">
          <cell r="A396" t="str">
            <v>1462</v>
          </cell>
          <cell r="B396" t="str">
            <v>新井　茂鉄　　　</v>
          </cell>
          <cell r="C396">
            <v>970090</v>
          </cell>
          <cell r="D396">
            <v>1072490</v>
          </cell>
          <cell r="E396">
            <v>2042580</v>
          </cell>
          <cell r="F396">
            <v>4646810</v>
          </cell>
          <cell r="G396">
            <v>6689390</v>
          </cell>
          <cell r="H396">
            <v>999260</v>
          </cell>
        </row>
        <row r="397">
          <cell r="A397" t="str">
            <v>0455</v>
          </cell>
          <cell r="B397" t="str">
            <v>柴田　雅明　　　</v>
          </cell>
          <cell r="C397">
            <v>915270</v>
          </cell>
          <cell r="D397">
            <v>1071690</v>
          </cell>
          <cell r="E397">
            <v>1986960</v>
          </cell>
          <cell r="F397">
            <v>4955300</v>
          </cell>
          <cell r="G397">
            <v>6942260</v>
          </cell>
          <cell r="H397">
            <v>983230</v>
          </cell>
        </row>
        <row r="398">
          <cell r="A398" t="str">
            <v>1263</v>
          </cell>
          <cell r="B398" t="str">
            <v>中沢　武　　　　</v>
          </cell>
          <cell r="C398">
            <v>940850</v>
          </cell>
          <cell r="D398">
            <v>1070740</v>
          </cell>
          <cell r="E398">
            <v>2011590</v>
          </cell>
          <cell r="F398">
            <v>4264617</v>
          </cell>
          <cell r="G398">
            <v>6276207</v>
          </cell>
          <cell r="H398">
            <v>896410</v>
          </cell>
        </row>
        <row r="399">
          <cell r="A399" t="str">
            <v>1486</v>
          </cell>
          <cell r="B399" t="str">
            <v>桜井　陽治　　　</v>
          </cell>
          <cell r="C399">
            <v>949540</v>
          </cell>
          <cell r="D399">
            <v>1068140</v>
          </cell>
          <cell r="E399">
            <v>2017680</v>
          </cell>
          <cell r="F399">
            <v>4339318</v>
          </cell>
          <cell r="G399">
            <v>6356998</v>
          </cell>
          <cell r="H399">
            <v>1018050</v>
          </cell>
        </row>
        <row r="400">
          <cell r="A400" t="str">
            <v>1725</v>
          </cell>
          <cell r="B400" t="str">
            <v>白浜　英雄　　　</v>
          </cell>
          <cell r="C400">
            <v>988190</v>
          </cell>
          <cell r="D400">
            <v>1068140</v>
          </cell>
          <cell r="E400">
            <v>2056330</v>
          </cell>
          <cell r="F400">
            <v>4207862</v>
          </cell>
          <cell r="G400">
            <v>6264192</v>
          </cell>
          <cell r="H400">
            <v>978820</v>
          </cell>
        </row>
        <row r="401">
          <cell r="A401" t="str">
            <v>1453</v>
          </cell>
          <cell r="B401" t="str">
            <v>藤村　輝信　　　</v>
          </cell>
          <cell r="C401">
            <v>948230</v>
          </cell>
          <cell r="D401">
            <v>1066480</v>
          </cell>
          <cell r="E401">
            <v>2014710</v>
          </cell>
          <cell r="F401">
            <v>4411370</v>
          </cell>
          <cell r="G401">
            <v>6426080</v>
          </cell>
          <cell r="H401">
            <v>977320</v>
          </cell>
        </row>
        <row r="402">
          <cell r="A402" t="str">
            <v>0998</v>
          </cell>
          <cell r="B402" t="str">
            <v>堀口　伸之　　　</v>
          </cell>
          <cell r="C402">
            <v>855210</v>
          </cell>
          <cell r="D402">
            <v>1066210</v>
          </cell>
          <cell r="E402">
            <v>1921420</v>
          </cell>
          <cell r="F402">
            <v>4224573</v>
          </cell>
          <cell r="G402">
            <v>6145993</v>
          </cell>
          <cell r="H402">
            <v>938270</v>
          </cell>
        </row>
        <row r="403">
          <cell r="A403" t="str">
            <v>1325</v>
          </cell>
          <cell r="B403" t="str">
            <v>竹田　信治　　　</v>
          </cell>
          <cell r="C403">
            <v>880880</v>
          </cell>
          <cell r="D403">
            <v>1066200</v>
          </cell>
          <cell r="E403">
            <v>1947080</v>
          </cell>
          <cell r="F403">
            <v>4543102</v>
          </cell>
          <cell r="G403">
            <v>6490182</v>
          </cell>
          <cell r="H403">
            <v>963130</v>
          </cell>
        </row>
        <row r="404">
          <cell r="A404" t="str">
            <v>1468</v>
          </cell>
          <cell r="B404" t="str">
            <v>井ノ口　彰　　　</v>
          </cell>
          <cell r="C404">
            <v>935510</v>
          </cell>
          <cell r="D404">
            <v>1065710</v>
          </cell>
          <cell r="E404">
            <v>2001220</v>
          </cell>
          <cell r="F404">
            <v>4383364</v>
          </cell>
          <cell r="G404">
            <v>6384584</v>
          </cell>
          <cell r="H404">
            <v>1030230</v>
          </cell>
        </row>
        <row r="405">
          <cell r="A405" t="str">
            <v>1730</v>
          </cell>
          <cell r="B405" t="str">
            <v>仲野　正雄　　　</v>
          </cell>
          <cell r="C405">
            <v>945060</v>
          </cell>
          <cell r="D405">
            <v>1063230</v>
          </cell>
          <cell r="E405">
            <v>2008290</v>
          </cell>
          <cell r="F405">
            <v>4365860</v>
          </cell>
          <cell r="G405">
            <v>6374150</v>
          </cell>
          <cell r="H405">
            <v>990780</v>
          </cell>
        </row>
        <row r="406">
          <cell r="A406" t="str">
            <v>1714</v>
          </cell>
          <cell r="B406" t="str">
            <v>岡本　隆夫　　　</v>
          </cell>
          <cell r="C406">
            <v>945060</v>
          </cell>
          <cell r="D406">
            <v>1063230</v>
          </cell>
          <cell r="E406">
            <v>2008290</v>
          </cell>
          <cell r="F406">
            <v>4579912</v>
          </cell>
          <cell r="G406">
            <v>6588202</v>
          </cell>
          <cell r="H406">
            <v>1013380</v>
          </cell>
        </row>
        <row r="407">
          <cell r="A407" t="str">
            <v>1144</v>
          </cell>
          <cell r="B407" t="str">
            <v>大島　正美　　　</v>
          </cell>
          <cell r="C407">
            <v>902530</v>
          </cell>
          <cell r="D407">
            <v>1063090</v>
          </cell>
          <cell r="E407">
            <v>1965620</v>
          </cell>
          <cell r="F407">
            <v>4476577</v>
          </cell>
          <cell r="G407">
            <v>6442197</v>
          </cell>
          <cell r="H407">
            <v>893820</v>
          </cell>
        </row>
        <row r="408">
          <cell r="A408" t="str">
            <v>0338</v>
          </cell>
          <cell r="B408" t="str">
            <v>杉村　次男　　　</v>
          </cell>
          <cell r="C408">
            <v>988480</v>
          </cell>
          <cell r="D408">
            <v>1062170</v>
          </cell>
          <cell r="E408">
            <v>2050650</v>
          </cell>
          <cell r="F408">
            <v>4404421</v>
          </cell>
          <cell r="G408">
            <v>6455071</v>
          </cell>
          <cell r="H408">
            <v>1038410</v>
          </cell>
        </row>
        <row r="409">
          <cell r="A409" t="str">
            <v>0390</v>
          </cell>
          <cell r="B409" t="str">
            <v>長谷川　勉　　　</v>
          </cell>
          <cell r="C409">
            <v>915500</v>
          </cell>
          <cell r="D409">
            <v>1062130</v>
          </cell>
          <cell r="E409">
            <v>1977630</v>
          </cell>
          <cell r="F409">
            <v>4374351</v>
          </cell>
          <cell r="G409">
            <v>6351981</v>
          </cell>
          <cell r="H409">
            <v>986970</v>
          </cell>
        </row>
        <row r="410">
          <cell r="A410" t="str">
            <v>1724</v>
          </cell>
          <cell r="B410" t="str">
            <v>佐々木　司　　　</v>
          </cell>
          <cell r="C410">
            <v>940850</v>
          </cell>
          <cell r="D410">
            <v>1061110</v>
          </cell>
          <cell r="E410">
            <v>2001960</v>
          </cell>
          <cell r="F410">
            <v>1281874</v>
          </cell>
          <cell r="G410">
            <v>3283834</v>
          </cell>
          <cell r="H410">
            <v>984690</v>
          </cell>
        </row>
        <row r="411">
          <cell r="A411" t="str">
            <v>1304</v>
          </cell>
          <cell r="B411" t="str">
            <v>尾形　幸喜　　　</v>
          </cell>
          <cell r="C411">
            <v>906790</v>
          </cell>
          <cell r="D411">
            <v>1061110</v>
          </cell>
          <cell r="E411">
            <v>1967900</v>
          </cell>
          <cell r="F411">
            <v>3766058</v>
          </cell>
          <cell r="G411">
            <v>5733958</v>
          </cell>
          <cell r="H411">
            <v>1020400</v>
          </cell>
        </row>
        <row r="412">
          <cell r="A412" t="str">
            <v>1655</v>
          </cell>
          <cell r="B412" t="str">
            <v>隅　昇巳智　　　</v>
          </cell>
          <cell r="C412">
            <v>845570</v>
          </cell>
          <cell r="D412">
            <v>1060970</v>
          </cell>
          <cell r="E412">
            <v>1906540</v>
          </cell>
          <cell r="F412">
            <v>4669121</v>
          </cell>
          <cell r="G412">
            <v>6575661</v>
          </cell>
          <cell r="H412">
            <v>987520</v>
          </cell>
        </row>
        <row r="413">
          <cell r="A413" t="str">
            <v>0636</v>
          </cell>
          <cell r="B413" t="str">
            <v>本田　優　　　　</v>
          </cell>
          <cell r="C413">
            <v>896930</v>
          </cell>
          <cell r="D413">
            <v>1060680</v>
          </cell>
          <cell r="E413">
            <v>1957610</v>
          </cell>
          <cell r="F413">
            <v>4411559</v>
          </cell>
          <cell r="G413">
            <v>6369169</v>
          </cell>
          <cell r="H413">
            <v>971990</v>
          </cell>
        </row>
        <row r="414">
          <cell r="A414" t="str">
            <v>2300</v>
          </cell>
          <cell r="B414" t="str">
            <v>松尾　順治　　　</v>
          </cell>
          <cell r="C414">
            <v>877710</v>
          </cell>
          <cell r="D414">
            <v>1060540</v>
          </cell>
          <cell r="E414">
            <v>1938250</v>
          </cell>
          <cell r="F414">
            <v>3966822</v>
          </cell>
          <cell r="G414">
            <v>5905072</v>
          </cell>
          <cell r="H414">
            <v>920280</v>
          </cell>
        </row>
        <row r="415">
          <cell r="A415" t="str">
            <v>1503</v>
          </cell>
          <cell r="B415" t="str">
            <v>西口　雅彦　　　</v>
          </cell>
          <cell r="C415">
            <v>931670</v>
          </cell>
          <cell r="D415">
            <v>1060320</v>
          </cell>
          <cell r="E415">
            <v>1991990</v>
          </cell>
          <cell r="F415">
            <v>4383284</v>
          </cell>
          <cell r="G415">
            <v>6375274</v>
          </cell>
          <cell r="H415">
            <v>1025100</v>
          </cell>
        </row>
        <row r="416">
          <cell r="A416" t="str">
            <v>1700</v>
          </cell>
          <cell r="B416" t="str">
            <v>島田　博　　　　</v>
          </cell>
          <cell r="C416">
            <v>966460</v>
          </cell>
          <cell r="D416">
            <v>1060270</v>
          </cell>
          <cell r="E416">
            <v>2026730</v>
          </cell>
          <cell r="F416">
            <v>4110298</v>
          </cell>
          <cell r="G416">
            <v>6137028</v>
          </cell>
          <cell r="H416">
            <v>921360</v>
          </cell>
        </row>
        <row r="417">
          <cell r="A417" t="str">
            <v>1077</v>
          </cell>
          <cell r="B417" t="str">
            <v>本田　守　　　　</v>
          </cell>
          <cell r="C417">
            <v>967430</v>
          </cell>
          <cell r="D417">
            <v>1059810</v>
          </cell>
          <cell r="E417">
            <v>2027240</v>
          </cell>
          <cell r="F417">
            <v>4501695</v>
          </cell>
          <cell r="G417">
            <v>6528935</v>
          </cell>
          <cell r="H417">
            <v>987580</v>
          </cell>
        </row>
        <row r="418">
          <cell r="A418" t="str">
            <v>1886</v>
          </cell>
          <cell r="B418" t="str">
            <v>金岡　幸宏　　　</v>
          </cell>
          <cell r="C418">
            <v>932530</v>
          </cell>
          <cell r="D418">
            <v>1059370</v>
          </cell>
          <cell r="E418">
            <v>1991900</v>
          </cell>
          <cell r="F418">
            <v>4170961</v>
          </cell>
          <cell r="G418">
            <v>6162861</v>
          </cell>
          <cell r="H418">
            <v>982190</v>
          </cell>
        </row>
        <row r="419">
          <cell r="A419" t="str">
            <v>1642</v>
          </cell>
          <cell r="B419" t="str">
            <v>森　啓治　　　　</v>
          </cell>
          <cell r="C419">
            <v>873060</v>
          </cell>
          <cell r="D419">
            <v>1056660</v>
          </cell>
          <cell r="E419">
            <v>1929720</v>
          </cell>
          <cell r="F419">
            <v>4261473</v>
          </cell>
          <cell r="G419">
            <v>6191193</v>
          </cell>
          <cell r="H419">
            <v>918210</v>
          </cell>
        </row>
        <row r="420">
          <cell r="A420" t="str">
            <v>1009</v>
          </cell>
          <cell r="B420" t="str">
            <v>遠藤　光雄　　　</v>
          </cell>
          <cell r="C420">
            <v>847270</v>
          </cell>
          <cell r="D420">
            <v>1056660</v>
          </cell>
          <cell r="E420">
            <v>1903930</v>
          </cell>
          <cell r="F420">
            <v>4404083</v>
          </cell>
          <cell r="G420">
            <v>6308013</v>
          </cell>
          <cell r="H420">
            <v>951870</v>
          </cell>
        </row>
        <row r="421">
          <cell r="A421" t="str">
            <v>1452</v>
          </cell>
          <cell r="B421" t="str">
            <v>西岡　哲志　　　</v>
          </cell>
          <cell r="C421">
            <v>943740</v>
          </cell>
          <cell r="D421">
            <v>1056660</v>
          </cell>
          <cell r="E421">
            <v>2000400</v>
          </cell>
          <cell r="F421">
            <v>4476583</v>
          </cell>
          <cell r="G421">
            <v>6476983</v>
          </cell>
          <cell r="H421">
            <v>968330</v>
          </cell>
        </row>
        <row r="422">
          <cell r="A422" t="str">
            <v>1313</v>
          </cell>
          <cell r="B422" t="str">
            <v>小林　徳夫　　　</v>
          </cell>
          <cell r="C422">
            <v>885630</v>
          </cell>
          <cell r="D422">
            <v>1055710</v>
          </cell>
          <cell r="E422">
            <v>1941340</v>
          </cell>
          <cell r="F422">
            <v>4280783</v>
          </cell>
          <cell r="G422">
            <v>6222123</v>
          </cell>
          <cell r="H422">
            <v>967440</v>
          </cell>
        </row>
        <row r="423">
          <cell r="A423" t="str">
            <v>1308</v>
          </cell>
          <cell r="B423" t="str">
            <v>川合　伸一　　　</v>
          </cell>
          <cell r="C423">
            <v>978850</v>
          </cell>
          <cell r="D423">
            <v>1053420</v>
          </cell>
          <cell r="E423">
            <v>2032270</v>
          </cell>
          <cell r="F423">
            <v>4369398</v>
          </cell>
          <cell r="G423">
            <v>6401668</v>
          </cell>
          <cell r="H423">
            <v>947080</v>
          </cell>
        </row>
        <row r="424">
          <cell r="A424" t="str">
            <v>2156</v>
          </cell>
          <cell r="B424" t="str">
            <v>柴田　隆幸　　　</v>
          </cell>
          <cell r="C424">
            <v>867580</v>
          </cell>
          <cell r="D424">
            <v>1053420</v>
          </cell>
          <cell r="E424">
            <v>1921000</v>
          </cell>
          <cell r="F424">
            <v>4220291</v>
          </cell>
          <cell r="G424">
            <v>6141291</v>
          </cell>
          <cell r="H424">
            <v>965360</v>
          </cell>
        </row>
        <row r="425">
          <cell r="A425" t="str">
            <v>1914</v>
          </cell>
          <cell r="B425" t="str">
            <v>三河　明彦　　　</v>
          </cell>
          <cell r="C425">
            <v>968110</v>
          </cell>
          <cell r="D425">
            <v>1051770</v>
          </cell>
          <cell r="E425">
            <v>2019880</v>
          </cell>
          <cell r="F425">
            <v>4204452</v>
          </cell>
          <cell r="G425">
            <v>6224332</v>
          </cell>
          <cell r="H425">
            <v>985350</v>
          </cell>
        </row>
        <row r="426">
          <cell r="A426" t="str">
            <v>2581</v>
          </cell>
          <cell r="B426" t="str">
            <v>関谷　勝彦　　　</v>
          </cell>
          <cell r="C426">
            <v>872580</v>
          </cell>
          <cell r="D426">
            <v>1051040</v>
          </cell>
          <cell r="E426">
            <v>1923620</v>
          </cell>
          <cell r="F426">
            <v>4190773</v>
          </cell>
          <cell r="G426">
            <v>6114393</v>
          </cell>
          <cell r="H426">
            <v>848590</v>
          </cell>
        </row>
        <row r="427">
          <cell r="A427" t="str">
            <v>1855</v>
          </cell>
          <cell r="B427" t="str">
            <v>福谷　重俊　　　</v>
          </cell>
          <cell r="C427">
            <v>915440</v>
          </cell>
          <cell r="D427">
            <v>1050870</v>
          </cell>
          <cell r="E427">
            <v>1966310</v>
          </cell>
          <cell r="F427">
            <v>4467988</v>
          </cell>
          <cell r="G427">
            <v>6434298</v>
          </cell>
          <cell r="H427">
            <v>978820</v>
          </cell>
        </row>
        <row r="428">
          <cell r="A428" t="str">
            <v>1816</v>
          </cell>
          <cell r="B428" t="str">
            <v>青陽　和志　　　</v>
          </cell>
          <cell r="C428">
            <v>971510</v>
          </cell>
          <cell r="D428">
            <v>1050870</v>
          </cell>
          <cell r="E428">
            <v>2022380</v>
          </cell>
          <cell r="F428">
            <v>4384971</v>
          </cell>
          <cell r="G428">
            <v>6407351</v>
          </cell>
          <cell r="H428">
            <v>978820</v>
          </cell>
        </row>
        <row r="429">
          <cell r="A429" t="str">
            <v>3412</v>
          </cell>
          <cell r="B429" t="str">
            <v>麻生川　敬子　　</v>
          </cell>
          <cell r="C429">
            <v>940600</v>
          </cell>
          <cell r="D429">
            <v>1049460</v>
          </cell>
          <cell r="E429">
            <v>1990060</v>
          </cell>
          <cell r="F429">
            <v>4177556</v>
          </cell>
          <cell r="G429">
            <v>6167616</v>
          </cell>
          <cell r="H429">
            <v>962990</v>
          </cell>
        </row>
        <row r="430">
          <cell r="A430" t="str">
            <v>1352</v>
          </cell>
          <cell r="B430" t="str">
            <v>森岡　正則　　　</v>
          </cell>
          <cell r="C430">
            <v>957230</v>
          </cell>
          <cell r="D430">
            <v>1045970</v>
          </cell>
          <cell r="E430">
            <v>2003200</v>
          </cell>
          <cell r="F430">
            <v>4144147</v>
          </cell>
          <cell r="G430">
            <v>6147347</v>
          </cell>
          <cell r="H430">
            <v>974330</v>
          </cell>
        </row>
        <row r="431">
          <cell r="A431" t="str">
            <v>1746</v>
          </cell>
          <cell r="B431" t="str">
            <v>桑野　勝昭　　　</v>
          </cell>
          <cell r="C431">
            <v>945060</v>
          </cell>
          <cell r="D431">
            <v>1045970</v>
          </cell>
          <cell r="E431">
            <v>1991030</v>
          </cell>
          <cell r="F431">
            <v>4432083</v>
          </cell>
          <cell r="G431">
            <v>6423113</v>
          </cell>
          <cell r="H431">
            <v>974330</v>
          </cell>
        </row>
        <row r="432">
          <cell r="A432" t="str">
            <v>1901</v>
          </cell>
          <cell r="B432" t="str">
            <v>徳丸　聡　　　　</v>
          </cell>
          <cell r="C432">
            <v>930250</v>
          </cell>
          <cell r="D432">
            <v>1041950</v>
          </cell>
          <cell r="E432">
            <v>1972200</v>
          </cell>
          <cell r="F432">
            <v>4285744</v>
          </cell>
          <cell r="G432">
            <v>6257944</v>
          </cell>
          <cell r="H432">
            <v>954850</v>
          </cell>
        </row>
        <row r="433">
          <cell r="A433" t="str">
            <v>1508</v>
          </cell>
          <cell r="B433" t="str">
            <v>堀江　和一　　　</v>
          </cell>
          <cell r="C433">
            <v>893890</v>
          </cell>
          <cell r="D433">
            <v>1041470</v>
          </cell>
          <cell r="E433">
            <v>1935360</v>
          </cell>
          <cell r="F433">
            <v>4428625</v>
          </cell>
          <cell r="G433">
            <v>6363985</v>
          </cell>
          <cell r="H433">
            <v>976610</v>
          </cell>
        </row>
        <row r="434">
          <cell r="A434" t="str">
            <v>1340</v>
          </cell>
          <cell r="B434" t="str">
            <v>藤井　康尊　　　</v>
          </cell>
          <cell r="C434">
            <v>930330</v>
          </cell>
          <cell r="D434">
            <v>1040880</v>
          </cell>
          <cell r="E434">
            <v>1971210</v>
          </cell>
          <cell r="F434">
            <v>4368158</v>
          </cell>
          <cell r="G434">
            <v>6339368</v>
          </cell>
          <cell r="H434">
            <v>970220</v>
          </cell>
        </row>
        <row r="435">
          <cell r="A435" t="str">
            <v>2154</v>
          </cell>
          <cell r="B435" t="str">
            <v>浜屋　光弘　　　</v>
          </cell>
          <cell r="C435">
            <v>976520</v>
          </cell>
          <cell r="D435">
            <v>1040880</v>
          </cell>
          <cell r="E435">
            <v>2017400</v>
          </cell>
          <cell r="F435">
            <v>4521238</v>
          </cell>
          <cell r="G435">
            <v>6538638</v>
          </cell>
          <cell r="H435">
            <v>954960</v>
          </cell>
        </row>
        <row r="436">
          <cell r="A436" t="str">
            <v>1464</v>
          </cell>
          <cell r="B436" t="str">
            <v>荒谷　俊樹　　　</v>
          </cell>
          <cell r="C436">
            <v>862900</v>
          </cell>
          <cell r="D436">
            <v>1040680</v>
          </cell>
          <cell r="E436">
            <v>1903580</v>
          </cell>
          <cell r="F436">
            <v>4290002</v>
          </cell>
          <cell r="G436">
            <v>6193582</v>
          </cell>
          <cell r="H436">
            <v>1001020</v>
          </cell>
        </row>
        <row r="437">
          <cell r="A437" t="str">
            <v>1875</v>
          </cell>
          <cell r="B437" t="str">
            <v>尾野　正人　　　</v>
          </cell>
          <cell r="C437">
            <v>940700</v>
          </cell>
          <cell r="D437">
            <v>1040400</v>
          </cell>
          <cell r="E437">
            <v>1981100</v>
          </cell>
          <cell r="F437">
            <v>4861221</v>
          </cell>
          <cell r="G437">
            <v>6842321</v>
          </cell>
          <cell r="H437">
            <v>946700</v>
          </cell>
        </row>
        <row r="438">
          <cell r="A438" t="str">
            <v>0843</v>
          </cell>
          <cell r="B438" t="str">
            <v>平田　誠也　　　</v>
          </cell>
          <cell r="C438">
            <v>946330</v>
          </cell>
          <cell r="D438">
            <v>1039980</v>
          </cell>
          <cell r="E438">
            <v>1986310</v>
          </cell>
          <cell r="F438">
            <v>4445879</v>
          </cell>
          <cell r="G438">
            <v>6432189</v>
          </cell>
          <cell r="H438">
            <v>945090</v>
          </cell>
        </row>
        <row r="439">
          <cell r="A439" t="str">
            <v>0572</v>
          </cell>
          <cell r="B439" t="str">
            <v>片山　吉正　　　</v>
          </cell>
          <cell r="C439">
            <v>971420</v>
          </cell>
          <cell r="D439">
            <v>1039370</v>
          </cell>
          <cell r="E439">
            <v>2010790</v>
          </cell>
          <cell r="F439">
            <v>4352664</v>
          </cell>
          <cell r="G439">
            <v>6363454</v>
          </cell>
          <cell r="H439">
            <v>988530</v>
          </cell>
        </row>
        <row r="440">
          <cell r="A440" t="str">
            <v>1159</v>
          </cell>
          <cell r="B440" t="str">
            <v>高橋　寿一　　　</v>
          </cell>
          <cell r="C440">
            <v>911210</v>
          </cell>
          <cell r="D440">
            <v>1038510</v>
          </cell>
          <cell r="E440">
            <v>1949720</v>
          </cell>
          <cell r="F440">
            <v>4483733</v>
          </cell>
          <cell r="G440">
            <v>6433453</v>
          </cell>
          <cell r="H440">
            <v>1027300</v>
          </cell>
        </row>
        <row r="441">
          <cell r="A441" t="str">
            <v>0329</v>
          </cell>
          <cell r="B441" t="str">
            <v>綱本　美利　　　</v>
          </cell>
          <cell r="C441">
            <v>899420</v>
          </cell>
          <cell r="D441">
            <v>1038390</v>
          </cell>
          <cell r="E441">
            <v>1937810</v>
          </cell>
          <cell r="F441">
            <v>4705620</v>
          </cell>
          <cell r="G441">
            <v>6643430</v>
          </cell>
          <cell r="H441">
            <v>973830</v>
          </cell>
        </row>
        <row r="442">
          <cell r="A442" t="str">
            <v>0144</v>
          </cell>
          <cell r="B442" t="str">
            <v>芦田　行雄　　　</v>
          </cell>
          <cell r="C442">
            <v>906500</v>
          </cell>
          <cell r="D442">
            <v>1037610</v>
          </cell>
          <cell r="E442">
            <v>1944110</v>
          </cell>
          <cell r="F442">
            <v>3991980</v>
          </cell>
          <cell r="G442">
            <v>5936090</v>
          </cell>
          <cell r="H442">
            <v>867490</v>
          </cell>
        </row>
        <row r="443">
          <cell r="A443" t="str">
            <v>2068</v>
          </cell>
          <cell r="B443" t="str">
            <v>尾崎　貞和　　　</v>
          </cell>
          <cell r="C443">
            <v>845930</v>
          </cell>
          <cell r="D443">
            <v>1035720</v>
          </cell>
          <cell r="E443">
            <v>1881650</v>
          </cell>
          <cell r="F443">
            <v>4771580</v>
          </cell>
          <cell r="G443">
            <v>6653230</v>
          </cell>
          <cell r="H443">
            <v>965070</v>
          </cell>
        </row>
        <row r="444">
          <cell r="A444" t="str">
            <v>2063</v>
          </cell>
          <cell r="B444" t="str">
            <v>今泉　康爾　　　</v>
          </cell>
          <cell r="C444">
            <v>762750</v>
          </cell>
          <cell r="D444">
            <v>1035720</v>
          </cell>
          <cell r="E444">
            <v>1798470</v>
          </cell>
          <cell r="F444">
            <v>3803102</v>
          </cell>
          <cell r="G444">
            <v>5601572</v>
          </cell>
          <cell r="H444">
            <v>911420</v>
          </cell>
        </row>
        <row r="445">
          <cell r="A445" t="str">
            <v>1192</v>
          </cell>
          <cell r="B445" t="str">
            <v>早川　浩一　　　</v>
          </cell>
          <cell r="C445">
            <v>926420</v>
          </cell>
          <cell r="D445">
            <v>1035000</v>
          </cell>
          <cell r="E445">
            <v>1961420</v>
          </cell>
          <cell r="F445">
            <v>4368555</v>
          </cell>
          <cell r="G445">
            <v>6329975</v>
          </cell>
          <cell r="H445">
            <v>897830</v>
          </cell>
        </row>
        <row r="446">
          <cell r="A446" t="str">
            <v>1320</v>
          </cell>
          <cell r="B446" t="str">
            <v>杉山　誠　　　　</v>
          </cell>
          <cell r="C446">
            <v>918100</v>
          </cell>
          <cell r="D446">
            <v>1033810</v>
          </cell>
          <cell r="E446">
            <v>1951910</v>
          </cell>
          <cell r="F446">
            <v>3841243</v>
          </cell>
          <cell r="G446">
            <v>5793153</v>
          </cell>
          <cell r="H446">
            <v>985350</v>
          </cell>
        </row>
        <row r="447">
          <cell r="A447" t="str">
            <v>0709</v>
          </cell>
          <cell r="B447" t="str">
            <v>中嶋　一雄　　　</v>
          </cell>
          <cell r="C447">
            <v>1025920</v>
          </cell>
          <cell r="D447">
            <v>1033190</v>
          </cell>
          <cell r="E447">
            <v>2059110</v>
          </cell>
          <cell r="F447">
            <v>4743923</v>
          </cell>
          <cell r="G447">
            <v>6803033</v>
          </cell>
          <cell r="H447">
            <v>934440</v>
          </cell>
        </row>
        <row r="448">
          <cell r="A448" t="str">
            <v>1734</v>
          </cell>
          <cell r="B448" t="str">
            <v>野村　和義　　　</v>
          </cell>
          <cell r="C448">
            <v>830670</v>
          </cell>
          <cell r="D448">
            <v>1032910</v>
          </cell>
          <cell r="E448">
            <v>1863580</v>
          </cell>
          <cell r="F448">
            <v>4035499</v>
          </cell>
          <cell r="G448">
            <v>5899079</v>
          </cell>
          <cell r="H448">
            <v>898060</v>
          </cell>
        </row>
        <row r="449">
          <cell r="A449" t="str">
            <v>0829</v>
          </cell>
          <cell r="B449" t="str">
            <v>北畠　通顕　　　</v>
          </cell>
          <cell r="C449">
            <v>798860</v>
          </cell>
          <cell r="D449">
            <v>1028910</v>
          </cell>
          <cell r="E449">
            <v>1827770</v>
          </cell>
          <cell r="F449">
            <v>4998459</v>
          </cell>
          <cell r="G449">
            <v>6826229</v>
          </cell>
          <cell r="H449">
            <v>942890</v>
          </cell>
        </row>
        <row r="450">
          <cell r="A450" t="str">
            <v>1912</v>
          </cell>
          <cell r="B450" t="str">
            <v>松浦　隆　　　　</v>
          </cell>
          <cell r="C450">
            <v>913590</v>
          </cell>
          <cell r="D450">
            <v>1028910</v>
          </cell>
          <cell r="E450">
            <v>1942500</v>
          </cell>
          <cell r="F450">
            <v>4295135</v>
          </cell>
          <cell r="G450">
            <v>6237635</v>
          </cell>
          <cell r="H450">
            <v>942890</v>
          </cell>
        </row>
        <row r="451">
          <cell r="A451" t="str">
            <v>1716</v>
          </cell>
          <cell r="B451" t="str">
            <v>金治　清守　　　</v>
          </cell>
          <cell r="C451">
            <v>897580</v>
          </cell>
          <cell r="D451">
            <v>1028910</v>
          </cell>
          <cell r="E451">
            <v>1926490</v>
          </cell>
          <cell r="F451">
            <v>3896822</v>
          </cell>
          <cell r="G451">
            <v>5823312</v>
          </cell>
          <cell r="H451">
            <v>942890</v>
          </cell>
        </row>
        <row r="452">
          <cell r="A452" t="str">
            <v>1911</v>
          </cell>
          <cell r="B452" t="str">
            <v>古米　永芳　　　</v>
          </cell>
          <cell r="C452">
            <v>894400</v>
          </cell>
          <cell r="D452">
            <v>1026360</v>
          </cell>
          <cell r="E452">
            <v>1920760</v>
          </cell>
          <cell r="F452">
            <v>4864857</v>
          </cell>
          <cell r="G452">
            <v>6785617</v>
          </cell>
          <cell r="H452">
            <v>972830</v>
          </cell>
        </row>
        <row r="453">
          <cell r="A453" t="str">
            <v>0367</v>
          </cell>
          <cell r="B453" t="str">
            <v>山本　裕吉　　　</v>
          </cell>
          <cell r="C453">
            <v>924300</v>
          </cell>
          <cell r="D453">
            <v>1026000</v>
          </cell>
          <cell r="E453">
            <v>1950300</v>
          </cell>
          <cell r="F453">
            <v>4915020</v>
          </cell>
          <cell r="G453">
            <v>6865320</v>
          </cell>
          <cell r="H453">
            <v>933600</v>
          </cell>
        </row>
        <row r="454">
          <cell r="A454" t="str">
            <v>1065</v>
          </cell>
          <cell r="B454" t="str">
            <v>添田　安彦　　　</v>
          </cell>
          <cell r="C454">
            <v>997700</v>
          </cell>
          <cell r="D454">
            <v>1025370</v>
          </cell>
          <cell r="E454">
            <v>2023070</v>
          </cell>
          <cell r="F454">
            <v>4810190</v>
          </cell>
          <cell r="G454">
            <v>6833260</v>
          </cell>
          <cell r="H454">
            <v>1007250</v>
          </cell>
        </row>
        <row r="455">
          <cell r="A455" t="str">
            <v>1794</v>
          </cell>
          <cell r="B455" t="str">
            <v>熊谷　勇治　　　</v>
          </cell>
          <cell r="C455">
            <v>880920</v>
          </cell>
          <cell r="D455">
            <v>1024020</v>
          </cell>
          <cell r="E455">
            <v>1904940</v>
          </cell>
          <cell r="F455">
            <v>4334483</v>
          </cell>
          <cell r="G455">
            <v>6239423</v>
          </cell>
          <cell r="H455">
            <v>905210</v>
          </cell>
        </row>
        <row r="456">
          <cell r="A456" t="str">
            <v>1292</v>
          </cell>
          <cell r="B456" t="str">
            <v>若海　俊一　　　</v>
          </cell>
          <cell r="C456">
            <v>880240</v>
          </cell>
          <cell r="D456">
            <v>1023860</v>
          </cell>
          <cell r="E456">
            <v>1904100</v>
          </cell>
          <cell r="F456">
            <v>4391214</v>
          </cell>
          <cell r="G456">
            <v>6295314</v>
          </cell>
          <cell r="H456">
            <v>905090</v>
          </cell>
        </row>
        <row r="457">
          <cell r="A457" t="str">
            <v>0996</v>
          </cell>
          <cell r="B457" t="str">
            <v>塚田　高久　　　</v>
          </cell>
          <cell r="C457">
            <v>861980</v>
          </cell>
          <cell r="D457">
            <v>1023860</v>
          </cell>
          <cell r="E457">
            <v>1885840</v>
          </cell>
          <cell r="F457">
            <v>4729274</v>
          </cell>
          <cell r="G457">
            <v>6615114</v>
          </cell>
          <cell r="H457">
            <v>938270</v>
          </cell>
        </row>
        <row r="458">
          <cell r="A458" t="str">
            <v>1260</v>
          </cell>
          <cell r="B458" t="str">
            <v>加藤　高治　　　</v>
          </cell>
          <cell r="C458">
            <v>857130</v>
          </cell>
          <cell r="D458">
            <v>1023770</v>
          </cell>
          <cell r="E458">
            <v>1880900</v>
          </cell>
          <cell r="F458">
            <v>4438580</v>
          </cell>
          <cell r="G458">
            <v>6319480</v>
          </cell>
          <cell r="H458">
            <v>926760</v>
          </cell>
        </row>
        <row r="459">
          <cell r="A459" t="str">
            <v>1908</v>
          </cell>
          <cell r="B459" t="str">
            <v>福間　成二　　　</v>
          </cell>
          <cell r="C459">
            <v>840740</v>
          </cell>
          <cell r="D459">
            <v>1023710</v>
          </cell>
          <cell r="E459">
            <v>1864450</v>
          </cell>
          <cell r="F459">
            <v>3889411</v>
          </cell>
          <cell r="G459">
            <v>5753861</v>
          </cell>
          <cell r="H459">
            <v>901620</v>
          </cell>
        </row>
        <row r="460">
          <cell r="A460" t="str">
            <v>1310</v>
          </cell>
          <cell r="B460" t="str">
            <v>古賀　慎典　　　</v>
          </cell>
          <cell r="C460">
            <v>912420</v>
          </cell>
          <cell r="D460">
            <v>1021630</v>
          </cell>
          <cell r="E460">
            <v>1934050</v>
          </cell>
          <cell r="F460">
            <v>3694036</v>
          </cell>
          <cell r="G460">
            <v>5628086</v>
          </cell>
          <cell r="H460">
            <v>950750</v>
          </cell>
        </row>
        <row r="461">
          <cell r="A461" t="str">
            <v>1301</v>
          </cell>
          <cell r="B461" t="str">
            <v>上島　孝夫　　　</v>
          </cell>
          <cell r="C461">
            <v>826980</v>
          </cell>
          <cell r="D461">
            <v>1020260</v>
          </cell>
          <cell r="E461">
            <v>1847240</v>
          </cell>
          <cell r="F461">
            <v>4033808</v>
          </cell>
          <cell r="G461">
            <v>5881048</v>
          </cell>
          <cell r="H461">
            <v>947290</v>
          </cell>
        </row>
        <row r="462">
          <cell r="A462" t="str">
            <v>3084</v>
          </cell>
          <cell r="B462" t="str">
            <v>関　久登三　　　</v>
          </cell>
          <cell r="C462">
            <v>816090</v>
          </cell>
          <cell r="D462">
            <v>1012540</v>
          </cell>
          <cell r="E462">
            <v>1828630</v>
          </cell>
          <cell r="F462">
            <v>3902967</v>
          </cell>
          <cell r="G462">
            <v>5731597</v>
          </cell>
          <cell r="H462">
            <v>927880</v>
          </cell>
        </row>
        <row r="463">
          <cell r="A463" t="str">
            <v>1885</v>
          </cell>
          <cell r="B463" t="str">
            <v>岡本　俊二　　　</v>
          </cell>
          <cell r="C463">
            <v>869470</v>
          </cell>
          <cell r="D463">
            <v>1012540</v>
          </cell>
          <cell r="E463">
            <v>1882010</v>
          </cell>
          <cell r="F463">
            <v>3986870</v>
          </cell>
          <cell r="G463">
            <v>5868880</v>
          </cell>
          <cell r="H463">
            <v>947950</v>
          </cell>
        </row>
        <row r="464">
          <cell r="A464" t="str">
            <v>1517</v>
          </cell>
          <cell r="B464" t="str">
            <v>山口　清矩　　　</v>
          </cell>
          <cell r="C464">
            <v>840050</v>
          </cell>
          <cell r="D464">
            <v>1012520</v>
          </cell>
          <cell r="E464">
            <v>1852570</v>
          </cell>
          <cell r="F464">
            <v>4457600</v>
          </cell>
          <cell r="G464">
            <v>6310170</v>
          </cell>
          <cell r="H464">
            <v>898060</v>
          </cell>
        </row>
        <row r="465">
          <cell r="A465" t="str">
            <v>1715</v>
          </cell>
          <cell r="B465" t="str">
            <v>柏原　伸行　　　</v>
          </cell>
          <cell r="C465">
            <v>880780</v>
          </cell>
          <cell r="D465">
            <v>1011650</v>
          </cell>
          <cell r="E465">
            <v>1892430</v>
          </cell>
          <cell r="F465">
            <v>3065806</v>
          </cell>
          <cell r="G465">
            <v>4958236</v>
          </cell>
          <cell r="H465">
            <v>942890</v>
          </cell>
        </row>
        <row r="466">
          <cell r="A466" t="str">
            <v>1092</v>
          </cell>
          <cell r="B466" t="str">
            <v>河原　和寛　　　</v>
          </cell>
          <cell r="C466">
            <v>923220</v>
          </cell>
          <cell r="D466">
            <v>1010830</v>
          </cell>
          <cell r="E466">
            <v>1934050</v>
          </cell>
          <cell r="F466">
            <v>4663020</v>
          </cell>
          <cell r="G466">
            <v>6597070</v>
          </cell>
          <cell r="H466">
            <v>943200</v>
          </cell>
        </row>
        <row r="467">
          <cell r="A467" t="str">
            <v>2719</v>
          </cell>
          <cell r="B467" t="str">
            <v>藤原　信悟　　　</v>
          </cell>
          <cell r="C467">
            <v>892080</v>
          </cell>
          <cell r="D467">
            <v>1010250</v>
          </cell>
          <cell r="E467">
            <v>1902330</v>
          </cell>
          <cell r="F467">
            <v>4494037</v>
          </cell>
          <cell r="G467">
            <v>6396367</v>
          </cell>
          <cell r="H467">
            <v>948880</v>
          </cell>
        </row>
        <row r="468">
          <cell r="A468" t="str">
            <v>0316</v>
          </cell>
          <cell r="B468" t="str">
            <v>田口　兼雄　　　</v>
          </cell>
          <cell r="C468">
            <v>1110370</v>
          </cell>
          <cell r="D468">
            <v>1009840</v>
          </cell>
          <cell r="E468">
            <v>2120210</v>
          </cell>
          <cell r="F468">
            <v>5134328</v>
          </cell>
          <cell r="G468">
            <v>7254538</v>
          </cell>
          <cell r="H468">
            <v>1056720</v>
          </cell>
        </row>
        <row r="469">
          <cell r="A469" t="str">
            <v>1360</v>
          </cell>
          <cell r="B469" t="str">
            <v>宗　敦志　　　　</v>
          </cell>
          <cell r="C469">
            <v>812900</v>
          </cell>
          <cell r="D469">
            <v>1009480</v>
          </cell>
          <cell r="E469">
            <v>1822380</v>
          </cell>
          <cell r="F469">
            <v>4285658</v>
          </cell>
          <cell r="G469">
            <v>6108038</v>
          </cell>
          <cell r="H469">
            <v>923940</v>
          </cell>
        </row>
        <row r="470">
          <cell r="A470" t="str">
            <v>1514</v>
          </cell>
          <cell r="B470" t="str">
            <v>森　栄興　　　　</v>
          </cell>
          <cell r="C470">
            <v>911130</v>
          </cell>
          <cell r="D470">
            <v>1007810</v>
          </cell>
          <cell r="E470">
            <v>1918940</v>
          </cell>
          <cell r="F470">
            <v>4475941</v>
          </cell>
          <cell r="G470">
            <v>6394881</v>
          </cell>
          <cell r="H470">
            <v>1013380</v>
          </cell>
        </row>
        <row r="471">
          <cell r="A471" t="str">
            <v>0458</v>
          </cell>
          <cell r="B471" t="str">
            <v>真木田　修　　　</v>
          </cell>
          <cell r="C471">
            <v>969320</v>
          </cell>
          <cell r="D471">
            <v>1007800</v>
          </cell>
          <cell r="E471">
            <v>1977120</v>
          </cell>
          <cell r="F471">
            <v>4643192</v>
          </cell>
          <cell r="G471">
            <v>6620312</v>
          </cell>
          <cell r="H471">
            <v>973790</v>
          </cell>
        </row>
        <row r="472">
          <cell r="A472" t="str">
            <v>2078</v>
          </cell>
          <cell r="B472" t="str">
            <v>谷口　信哉　　　</v>
          </cell>
          <cell r="C472">
            <v>834060</v>
          </cell>
          <cell r="D472">
            <v>1006750</v>
          </cell>
          <cell r="E472">
            <v>1840810</v>
          </cell>
          <cell r="F472">
            <v>3939305</v>
          </cell>
          <cell r="G472">
            <v>5780115</v>
          </cell>
          <cell r="H472">
            <v>846450</v>
          </cell>
        </row>
        <row r="473">
          <cell r="A473" t="str">
            <v>2586</v>
          </cell>
          <cell r="B473" t="str">
            <v>宮田　宗平　　　</v>
          </cell>
          <cell r="C473">
            <v>880780</v>
          </cell>
          <cell r="D473">
            <v>1006750</v>
          </cell>
          <cell r="E473">
            <v>1887530</v>
          </cell>
          <cell r="F473">
            <v>3667761</v>
          </cell>
          <cell r="G473">
            <v>5555291</v>
          </cell>
          <cell r="H473">
            <v>976000</v>
          </cell>
        </row>
        <row r="474">
          <cell r="A474" t="str">
            <v>2308</v>
          </cell>
          <cell r="B474" t="str">
            <v>柴田　一英　　　</v>
          </cell>
          <cell r="C474">
            <v>792130</v>
          </cell>
          <cell r="D474">
            <v>1004390</v>
          </cell>
          <cell r="E474">
            <v>1796520</v>
          </cell>
          <cell r="F474">
            <v>4247700</v>
          </cell>
          <cell r="G474">
            <v>6044220</v>
          </cell>
          <cell r="H474">
            <v>742510</v>
          </cell>
        </row>
        <row r="475">
          <cell r="A475" t="str">
            <v>1931</v>
          </cell>
          <cell r="B475" t="str">
            <v>東　哲博　　　　</v>
          </cell>
          <cell r="C475">
            <v>831080</v>
          </cell>
          <cell r="D475">
            <v>1004390</v>
          </cell>
          <cell r="E475">
            <v>1835470</v>
          </cell>
          <cell r="F475">
            <v>4044051</v>
          </cell>
          <cell r="G475">
            <v>5879521</v>
          </cell>
          <cell r="H475">
            <v>936860</v>
          </cell>
        </row>
        <row r="476">
          <cell r="A476" t="str">
            <v>1894</v>
          </cell>
          <cell r="B476" t="str">
            <v>大源　周作　　　</v>
          </cell>
          <cell r="C476">
            <v>831080</v>
          </cell>
          <cell r="D476">
            <v>1004390</v>
          </cell>
          <cell r="E476">
            <v>1835470</v>
          </cell>
          <cell r="F476">
            <v>4315148</v>
          </cell>
          <cell r="G476">
            <v>6150618</v>
          </cell>
          <cell r="H476">
            <v>936860</v>
          </cell>
        </row>
        <row r="477">
          <cell r="A477" t="str">
            <v>1740</v>
          </cell>
          <cell r="B477" t="str">
            <v>松島　昭仁　　　</v>
          </cell>
          <cell r="C477">
            <v>804800</v>
          </cell>
          <cell r="D477">
            <v>1003180</v>
          </cell>
          <cell r="E477">
            <v>1807980</v>
          </cell>
          <cell r="F477">
            <v>4043530</v>
          </cell>
          <cell r="G477">
            <v>5851510</v>
          </cell>
          <cell r="H477">
            <v>783010</v>
          </cell>
        </row>
        <row r="478">
          <cell r="A478" t="str">
            <v>1745</v>
          </cell>
          <cell r="B478" t="str">
            <v>吉川　信博　　　</v>
          </cell>
          <cell r="C478">
            <v>794920</v>
          </cell>
          <cell r="D478">
            <v>1003140</v>
          </cell>
          <cell r="E478">
            <v>1798060</v>
          </cell>
          <cell r="F478">
            <v>4433026</v>
          </cell>
          <cell r="G478">
            <v>6231086</v>
          </cell>
          <cell r="H478">
            <v>1008440</v>
          </cell>
        </row>
        <row r="479">
          <cell r="A479" t="str">
            <v>1480</v>
          </cell>
          <cell r="B479" t="str">
            <v>木下　裕志　　　</v>
          </cell>
          <cell r="C479">
            <v>940570</v>
          </cell>
          <cell r="D479">
            <v>1003080</v>
          </cell>
          <cell r="E479">
            <v>1943650</v>
          </cell>
          <cell r="F479">
            <v>4198955</v>
          </cell>
          <cell r="G479">
            <v>6142605</v>
          </cell>
          <cell r="H479">
            <v>954020</v>
          </cell>
        </row>
        <row r="480">
          <cell r="A480" t="str">
            <v>0167</v>
          </cell>
          <cell r="B480" t="str">
            <v>大和　利夫　　　</v>
          </cell>
          <cell r="C480">
            <v>1021490</v>
          </cell>
          <cell r="D480">
            <v>1002090</v>
          </cell>
          <cell r="E480">
            <v>2023580</v>
          </cell>
          <cell r="F480">
            <v>4305239</v>
          </cell>
          <cell r="G480">
            <v>6328819</v>
          </cell>
          <cell r="H480">
            <v>895390</v>
          </cell>
        </row>
        <row r="481">
          <cell r="A481" t="str">
            <v>1490</v>
          </cell>
          <cell r="B481" t="str">
            <v>下永　正幸　　　</v>
          </cell>
          <cell r="C481">
            <v>838560</v>
          </cell>
          <cell r="D481">
            <v>1000810</v>
          </cell>
          <cell r="E481">
            <v>1839370</v>
          </cell>
          <cell r="F481">
            <v>4484446</v>
          </cell>
          <cell r="G481">
            <v>6323816</v>
          </cell>
          <cell r="H481">
            <v>918210</v>
          </cell>
        </row>
        <row r="482">
          <cell r="A482" t="str">
            <v>0920</v>
          </cell>
          <cell r="B482" t="str">
            <v>前出　暹　　　　</v>
          </cell>
          <cell r="C482">
            <v>1019960</v>
          </cell>
          <cell r="D482">
            <v>999520</v>
          </cell>
          <cell r="E482">
            <v>2019480</v>
          </cell>
          <cell r="F482">
            <v>4362334</v>
          </cell>
          <cell r="G482">
            <v>6381814</v>
          </cell>
          <cell r="H482">
            <v>846770</v>
          </cell>
        </row>
        <row r="483">
          <cell r="A483" t="str">
            <v>2079</v>
          </cell>
          <cell r="B483" t="str">
            <v>久光　知明　　　</v>
          </cell>
          <cell r="C483">
            <v>866750</v>
          </cell>
          <cell r="D483">
            <v>999480</v>
          </cell>
          <cell r="E483">
            <v>1866230</v>
          </cell>
          <cell r="F483">
            <v>3618417</v>
          </cell>
          <cell r="G483">
            <v>5484647</v>
          </cell>
          <cell r="H483">
            <v>915920</v>
          </cell>
        </row>
        <row r="484">
          <cell r="A484" t="str">
            <v>1472</v>
          </cell>
          <cell r="B484" t="str">
            <v>岡田　哲　　　　</v>
          </cell>
          <cell r="C484">
            <v>858590</v>
          </cell>
          <cell r="D484">
            <v>999360</v>
          </cell>
          <cell r="E484">
            <v>1857950</v>
          </cell>
          <cell r="F484">
            <v>3632939</v>
          </cell>
          <cell r="G484">
            <v>5490889</v>
          </cell>
          <cell r="H484">
            <v>951870</v>
          </cell>
        </row>
        <row r="485">
          <cell r="A485" t="str">
            <v>1455</v>
          </cell>
          <cell r="B485" t="str">
            <v>馬場　浩次　　　</v>
          </cell>
          <cell r="C485">
            <v>896850</v>
          </cell>
          <cell r="D485">
            <v>999220</v>
          </cell>
          <cell r="E485">
            <v>1896070</v>
          </cell>
          <cell r="F485">
            <v>4303963</v>
          </cell>
          <cell r="G485">
            <v>6200033</v>
          </cell>
          <cell r="H485">
            <v>916750</v>
          </cell>
        </row>
        <row r="486">
          <cell r="A486" t="str">
            <v>2317</v>
          </cell>
          <cell r="B486" t="str">
            <v>及川　儀昭　　　</v>
          </cell>
          <cell r="C486">
            <v>841230</v>
          </cell>
          <cell r="D486">
            <v>999000</v>
          </cell>
          <cell r="E486">
            <v>1840230</v>
          </cell>
          <cell r="F486">
            <v>4132740</v>
          </cell>
          <cell r="G486">
            <v>5972970</v>
          </cell>
          <cell r="H486">
            <v>931610</v>
          </cell>
        </row>
        <row r="487">
          <cell r="A487" t="str">
            <v>1489</v>
          </cell>
          <cell r="B487" t="str">
            <v>篠原　忠義　　　</v>
          </cell>
          <cell r="C487">
            <v>952810</v>
          </cell>
          <cell r="D487">
            <v>996080</v>
          </cell>
          <cell r="E487">
            <v>1948890</v>
          </cell>
          <cell r="F487">
            <v>4530919</v>
          </cell>
          <cell r="G487">
            <v>6479809</v>
          </cell>
          <cell r="H487">
            <v>913880</v>
          </cell>
        </row>
        <row r="488">
          <cell r="A488" t="str">
            <v>2306</v>
          </cell>
          <cell r="B488" t="str">
            <v>村岡　顕　　　　</v>
          </cell>
          <cell r="C488">
            <v>823470</v>
          </cell>
          <cell r="D488">
            <v>994830</v>
          </cell>
          <cell r="E488">
            <v>1818300</v>
          </cell>
          <cell r="F488">
            <v>3958444</v>
          </cell>
          <cell r="G488">
            <v>5776744</v>
          </cell>
          <cell r="H488">
            <v>825770</v>
          </cell>
        </row>
        <row r="489">
          <cell r="A489" t="str">
            <v>2260</v>
          </cell>
          <cell r="B489" t="str">
            <v>上田　太郎　　　</v>
          </cell>
          <cell r="C489">
            <v>772940</v>
          </cell>
          <cell r="D489">
            <v>994590</v>
          </cell>
          <cell r="E489">
            <v>1767530</v>
          </cell>
          <cell r="F489">
            <v>4164921</v>
          </cell>
          <cell r="G489">
            <v>5932451</v>
          </cell>
          <cell r="H489">
            <v>965070</v>
          </cell>
        </row>
        <row r="490">
          <cell r="A490" t="str">
            <v>2761</v>
          </cell>
          <cell r="B490" t="str">
            <v>小田桐　佳也　　</v>
          </cell>
          <cell r="C490">
            <v>795610</v>
          </cell>
          <cell r="D490">
            <v>994590</v>
          </cell>
          <cell r="E490">
            <v>1790200</v>
          </cell>
          <cell r="F490">
            <v>4105073</v>
          </cell>
          <cell r="G490">
            <v>5895273</v>
          </cell>
          <cell r="H490">
            <v>879190</v>
          </cell>
        </row>
        <row r="491">
          <cell r="A491" t="str">
            <v>1346</v>
          </cell>
          <cell r="B491" t="str">
            <v>松本　孝　　　　</v>
          </cell>
          <cell r="C491">
            <v>740930</v>
          </cell>
          <cell r="D491">
            <v>994450</v>
          </cell>
          <cell r="E491">
            <v>1735380</v>
          </cell>
          <cell r="F491">
            <v>4145420</v>
          </cell>
          <cell r="G491">
            <v>5880800</v>
          </cell>
          <cell r="H491">
            <v>961310</v>
          </cell>
        </row>
        <row r="492">
          <cell r="A492" t="str">
            <v>0903</v>
          </cell>
          <cell r="B492" t="str">
            <v>大貫　和文　　　</v>
          </cell>
          <cell r="C492">
            <v>1025020</v>
          </cell>
          <cell r="D492">
            <v>994060</v>
          </cell>
          <cell r="E492">
            <v>2019080</v>
          </cell>
          <cell r="F492">
            <v>4679117</v>
          </cell>
          <cell r="G492">
            <v>6698197</v>
          </cell>
          <cell r="H492">
            <v>855010</v>
          </cell>
        </row>
        <row r="493">
          <cell r="A493" t="str">
            <v>1297</v>
          </cell>
          <cell r="B493" t="str">
            <v>安達　杉雄　　　</v>
          </cell>
          <cell r="C493">
            <v>833020</v>
          </cell>
          <cell r="D493">
            <v>992090</v>
          </cell>
          <cell r="E493">
            <v>1825110</v>
          </cell>
          <cell r="F493">
            <v>3997318</v>
          </cell>
          <cell r="G493">
            <v>5822428</v>
          </cell>
          <cell r="H493">
            <v>922420</v>
          </cell>
        </row>
        <row r="494">
          <cell r="A494" t="str">
            <v>1905</v>
          </cell>
          <cell r="B494" t="str">
            <v>長野　弘之　　　</v>
          </cell>
          <cell r="C494">
            <v>913590</v>
          </cell>
          <cell r="D494">
            <v>991370</v>
          </cell>
          <cell r="E494">
            <v>1904960</v>
          </cell>
          <cell r="F494">
            <v>4125699</v>
          </cell>
          <cell r="G494">
            <v>6030659</v>
          </cell>
          <cell r="H494">
            <v>959340</v>
          </cell>
        </row>
        <row r="495">
          <cell r="A495" t="str">
            <v>0525</v>
          </cell>
          <cell r="B495" t="str">
            <v>南里　弘幸　　　</v>
          </cell>
          <cell r="C495">
            <v>944160</v>
          </cell>
          <cell r="D495">
            <v>991070</v>
          </cell>
          <cell r="E495">
            <v>1935230</v>
          </cell>
          <cell r="F495">
            <v>4216149</v>
          </cell>
          <cell r="G495">
            <v>6151379</v>
          </cell>
          <cell r="H495">
            <v>1038480</v>
          </cell>
        </row>
        <row r="496">
          <cell r="A496" t="str">
            <v>2082</v>
          </cell>
          <cell r="B496" t="str">
            <v>松岡　豊　　　　</v>
          </cell>
          <cell r="C496">
            <v>808470</v>
          </cell>
          <cell r="D496">
            <v>988590</v>
          </cell>
          <cell r="E496">
            <v>1797060</v>
          </cell>
          <cell r="F496">
            <v>4240430</v>
          </cell>
          <cell r="G496">
            <v>6037490</v>
          </cell>
          <cell r="H496">
            <v>927880</v>
          </cell>
        </row>
        <row r="497">
          <cell r="A497" t="str">
            <v>2301</v>
          </cell>
          <cell r="B497" t="str">
            <v>永瀬　正文　　　</v>
          </cell>
          <cell r="C497">
            <v>884950</v>
          </cell>
          <cell r="D497">
            <v>988230</v>
          </cell>
          <cell r="E497">
            <v>1873180</v>
          </cell>
          <cell r="F497">
            <v>3645419</v>
          </cell>
          <cell r="G497">
            <v>5518599</v>
          </cell>
          <cell r="H497">
            <v>869010</v>
          </cell>
        </row>
        <row r="498">
          <cell r="A498" t="str">
            <v>1616</v>
          </cell>
          <cell r="B498" t="str">
            <v>白川　美江子　　</v>
          </cell>
          <cell r="C498">
            <v>905980</v>
          </cell>
          <cell r="D498">
            <v>987020</v>
          </cell>
          <cell r="E498">
            <v>1893000</v>
          </cell>
          <cell r="F498">
            <v>4009707</v>
          </cell>
          <cell r="G498">
            <v>5902707</v>
          </cell>
          <cell r="H498">
            <v>918470</v>
          </cell>
        </row>
        <row r="499">
          <cell r="A499" t="str">
            <v>1174</v>
          </cell>
          <cell r="B499" t="str">
            <v>古川　一孝　　　</v>
          </cell>
          <cell r="C499">
            <v>884130</v>
          </cell>
          <cell r="D499">
            <v>983830</v>
          </cell>
          <cell r="E499">
            <v>1867960</v>
          </cell>
          <cell r="F499">
            <v>4299317</v>
          </cell>
          <cell r="G499">
            <v>6167277</v>
          </cell>
          <cell r="H499">
            <v>985480</v>
          </cell>
        </row>
        <row r="500">
          <cell r="A500" t="str">
            <v>1493</v>
          </cell>
          <cell r="B500" t="str">
            <v>鈴木　篤美　　　</v>
          </cell>
          <cell r="C500">
            <v>798110</v>
          </cell>
          <cell r="D500">
            <v>980880</v>
          </cell>
          <cell r="E500">
            <v>1778990</v>
          </cell>
          <cell r="F500">
            <v>3787245</v>
          </cell>
          <cell r="G500">
            <v>5566235</v>
          </cell>
          <cell r="H500">
            <v>767840</v>
          </cell>
        </row>
        <row r="501">
          <cell r="A501" t="str">
            <v>0583</v>
          </cell>
          <cell r="B501" t="str">
            <v>佐田　俊治　　　</v>
          </cell>
          <cell r="C501">
            <v>846580</v>
          </cell>
          <cell r="D501">
            <v>979220</v>
          </cell>
          <cell r="E501">
            <v>1825800</v>
          </cell>
          <cell r="F501">
            <v>4377218</v>
          </cell>
          <cell r="G501">
            <v>6203018</v>
          </cell>
          <cell r="H501">
            <v>891030</v>
          </cell>
        </row>
        <row r="502">
          <cell r="A502" t="str">
            <v>0567</v>
          </cell>
          <cell r="B502" t="str">
            <v>笹原　繁徳　　　</v>
          </cell>
          <cell r="C502">
            <v>877610</v>
          </cell>
          <cell r="D502">
            <v>976970</v>
          </cell>
          <cell r="E502">
            <v>1854580</v>
          </cell>
          <cell r="F502">
            <v>4142930</v>
          </cell>
          <cell r="G502">
            <v>5997510</v>
          </cell>
          <cell r="H502">
            <v>877300</v>
          </cell>
        </row>
        <row r="503">
          <cell r="A503" t="str">
            <v>2074</v>
          </cell>
          <cell r="B503" t="str">
            <v>島本　勝則　　　</v>
          </cell>
          <cell r="C503">
            <v>835220</v>
          </cell>
          <cell r="D503">
            <v>976870</v>
          </cell>
          <cell r="E503">
            <v>1812090</v>
          </cell>
          <cell r="F503">
            <v>4109910</v>
          </cell>
          <cell r="G503">
            <v>5922000</v>
          </cell>
          <cell r="H503">
            <v>858590</v>
          </cell>
        </row>
        <row r="504">
          <cell r="A504" t="str">
            <v>0990</v>
          </cell>
          <cell r="B504" t="str">
            <v>新崎　雅之　　　</v>
          </cell>
          <cell r="C504">
            <v>833330</v>
          </cell>
          <cell r="D504">
            <v>975070</v>
          </cell>
          <cell r="E504">
            <v>1808400</v>
          </cell>
          <cell r="F504">
            <v>4237299</v>
          </cell>
          <cell r="G504">
            <v>6045699</v>
          </cell>
          <cell r="H504">
            <v>835920</v>
          </cell>
        </row>
        <row r="505">
          <cell r="A505" t="str">
            <v>0304</v>
          </cell>
          <cell r="B505" t="str">
            <v>島田　路子　　　</v>
          </cell>
          <cell r="C505">
            <v>876210</v>
          </cell>
          <cell r="D505">
            <v>972330</v>
          </cell>
          <cell r="E505">
            <v>1848540</v>
          </cell>
          <cell r="F505">
            <v>3820750</v>
          </cell>
          <cell r="G505">
            <v>5669290</v>
          </cell>
          <cell r="H505">
            <v>917180</v>
          </cell>
        </row>
        <row r="506">
          <cell r="A506" t="str">
            <v>0152</v>
          </cell>
          <cell r="B506" t="str">
            <v>黒谷　三郎　　　</v>
          </cell>
          <cell r="C506">
            <v>901200</v>
          </cell>
          <cell r="D506">
            <v>970700</v>
          </cell>
          <cell r="E506">
            <v>1871900</v>
          </cell>
          <cell r="F506">
            <v>4181775</v>
          </cell>
          <cell r="G506">
            <v>6053675</v>
          </cell>
          <cell r="H506">
            <v>904650</v>
          </cell>
        </row>
        <row r="507">
          <cell r="A507" t="str">
            <v>1637</v>
          </cell>
          <cell r="B507" t="str">
            <v>山口　一美　　　</v>
          </cell>
          <cell r="C507">
            <v>836710</v>
          </cell>
          <cell r="D507">
            <v>969430</v>
          </cell>
          <cell r="E507">
            <v>1806140</v>
          </cell>
          <cell r="F507">
            <v>5046673</v>
          </cell>
          <cell r="G507">
            <v>6852813</v>
          </cell>
          <cell r="H507">
            <v>854790</v>
          </cell>
        </row>
        <row r="508">
          <cell r="A508" t="str">
            <v>0584</v>
          </cell>
          <cell r="B508" t="str">
            <v>堤　庄司　　　　</v>
          </cell>
          <cell r="C508">
            <v>807710</v>
          </cell>
          <cell r="D508">
            <v>965940</v>
          </cell>
          <cell r="E508">
            <v>1773650</v>
          </cell>
          <cell r="F508">
            <v>4244104</v>
          </cell>
          <cell r="G508">
            <v>6017754</v>
          </cell>
          <cell r="H508">
            <v>816900</v>
          </cell>
        </row>
        <row r="509">
          <cell r="A509" t="str">
            <v>2302</v>
          </cell>
          <cell r="B509" t="str">
            <v>葉山　雅彦　　　</v>
          </cell>
          <cell r="C509">
            <v>802990</v>
          </cell>
          <cell r="D509">
            <v>963950</v>
          </cell>
          <cell r="E509">
            <v>1766940</v>
          </cell>
          <cell r="F509">
            <v>3497244</v>
          </cell>
          <cell r="G509">
            <v>5264184</v>
          </cell>
          <cell r="H509">
            <v>863450</v>
          </cell>
        </row>
        <row r="510">
          <cell r="A510" t="str">
            <v>3434</v>
          </cell>
          <cell r="B510" t="str">
            <v>南　宣吉　　　　</v>
          </cell>
          <cell r="C510">
            <v>734180</v>
          </cell>
          <cell r="D510">
            <v>961900</v>
          </cell>
          <cell r="E510">
            <v>1696080</v>
          </cell>
          <cell r="F510">
            <v>4007629</v>
          </cell>
          <cell r="G510">
            <v>5703709</v>
          </cell>
          <cell r="H510">
            <v>860690</v>
          </cell>
        </row>
        <row r="511">
          <cell r="A511" t="str">
            <v>2087</v>
          </cell>
          <cell r="B511" t="str">
            <v>吉村　雅之　　　</v>
          </cell>
          <cell r="C511">
            <v>797560</v>
          </cell>
          <cell r="D511">
            <v>955220</v>
          </cell>
          <cell r="E511">
            <v>1752780</v>
          </cell>
          <cell r="F511">
            <v>3706143</v>
          </cell>
          <cell r="G511">
            <v>5458923</v>
          </cell>
          <cell r="H511">
            <v>910440</v>
          </cell>
        </row>
        <row r="512">
          <cell r="A512" t="str">
            <v>2016</v>
          </cell>
          <cell r="B512" t="str">
            <v>田中　悟　　　　</v>
          </cell>
          <cell r="C512">
            <v>814010</v>
          </cell>
          <cell r="D512">
            <v>955220</v>
          </cell>
          <cell r="E512">
            <v>1769230</v>
          </cell>
          <cell r="F512">
            <v>3384799</v>
          </cell>
          <cell r="G512">
            <v>5154029</v>
          </cell>
          <cell r="H512">
            <v>875360</v>
          </cell>
        </row>
        <row r="513">
          <cell r="A513" t="str">
            <v>1363</v>
          </cell>
          <cell r="B513" t="str">
            <v>篠崎　恵　　　　</v>
          </cell>
          <cell r="C513">
            <v>769540</v>
          </cell>
          <cell r="D513">
            <v>955220</v>
          </cell>
          <cell r="E513">
            <v>1724760</v>
          </cell>
          <cell r="F513">
            <v>3981941</v>
          </cell>
          <cell r="G513">
            <v>5706701</v>
          </cell>
          <cell r="H513">
            <v>803130</v>
          </cell>
        </row>
        <row r="514">
          <cell r="A514" t="str">
            <v>2070</v>
          </cell>
          <cell r="B514" t="str">
            <v>金光　高正　　　</v>
          </cell>
          <cell r="C514">
            <v>763500</v>
          </cell>
          <cell r="D514">
            <v>955220</v>
          </cell>
          <cell r="E514">
            <v>1718720</v>
          </cell>
          <cell r="F514">
            <v>3947681</v>
          </cell>
          <cell r="G514">
            <v>5666401</v>
          </cell>
          <cell r="H514">
            <v>875360</v>
          </cell>
        </row>
        <row r="515">
          <cell r="A515" t="str">
            <v>0570</v>
          </cell>
          <cell r="B515" t="str">
            <v>松島　清仁　　　</v>
          </cell>
          <cell r="C515">
            <v>829210</v>
          </cell>
          <cell r="D515">
            <v>954630</v>
          </cell>
          <cell r="E515">
            <v>1783840</v>
          </cell>
          <cell r="F515">
            <v>4304976</v>
          </cell>
          <cell r="G515">
            <v>6088816</v>
          </cell>
          <cell r="H515">
            <v>981390</v>
          </cell>
        </row>
        <row r="516">
          <cell r="A516" t="str">
            <v>1273</v>
          </cell>
          <cell r="B516" t="str">
            <v>三宅　健二　　　</v>
          </cell>
          <cell r="C516">
            <v>871380</v>
          </cell>
          <cell r="D516">
            <v>953200</v>
          </cell>
          <cell r="E516">
            <v>1824580</v>
          </cell>
          <cell r="F516">
            <v>4276544</v>
          </cell>
          <cell r="G516">
            <v>6101124</v>
          </cell>
          <cell r="H516">
            <v>880990</v>
          </cell>
        </row>
        <row r="517">
          <cell r="A517" t="str">
            <v>3438</v>
          </cell>
          <cell r="B517" t="str">
            <v>中西　達也　　　</v>
          </cell>
          <cell r="C517">
            <v>800910</v>
          </cell>
          <cell r="D517">
            <v>952760</v>
          </cell>
          <cell r="E517">
            <v>1753670</v>
          </cell>
          <cell r="F517">
            <v>4560203</v>
          </cell>
          <cell r="G517">
            <v>6313873</v>
          </cell>
          <cell r="H517">
            <v>868590</v>
          </cell>
        </row>
        <row r="518">
          <cell r="A518" t="str">
            <v>1699</v>
          </cell>
          <cell r="B518" t="str">
            <v>菊池　勇　　　　</v>
          </cell>
          <cell r="C518">
            <v>844260</v>
          </cell>
          <cell r="D518">
            <v>952630</v>
          </cell>
          <cell r="E518">
            <v>1796890</v>
          </cell>
          <cell r="F518">
            <v>4370772</v>
          </cell>
          <cell r="G518">
            <v>6167662</v>
          </cell>
          <cell r="H518">
            <v>853120</v>
          </cell>
        </row>
        <row r="519">
          <cell r="A519" t="str">
            <v>2443</v>
          </cell>
          <cell r="B519" t="str">
            <v>増田　隆　　　　</v>
          </cell>
          <cell r="C519">
            <v>826950</v>
          </cell>
          <cell r="D519">
            <v>952290</v>
          </cell>
          <cell r="E519">
            <v>1779240</v>
          </cell>
          <cell r="F519">
            <v>4241968</v>
          </cell>
          <cell r="G519">
            <v>6021208</v>
          </cell>
          <cell r="H519">
            <v>863820</v>
          </cell>
        </row>
        <row r="520">
          <cell r="A520" t="str">
            <v>0104</v>
          </cell>
          <cell r="B520" t="str">
            <v>片山　隆　　　　</v>
          </cell>
          <cell r="C520">
            <v>805990</v>
          </cell>
          <cell r="D520">
            <v>952150</v>
          </cell>
          <cell r="E520">
            <v>1758140</v>
          </cell>
          <cell r="F520">
            <v>3939469</v>
          </cell>
          <cell r="G520">
            <v>5697609</v>
          </cell>
          <cell r="H520">
            <v>861030</v>
          </cell>
        </row>
        <row r="521">
          <cell r="A521" t="str">
            <v>1844</v>
          </cell>
          <cell r="B521" t="str">
            <v>中棹　康勝　　　</v>
          </cell>
          <cell r="C521">
            <v>779910</v>
          </cell>
          <cell r="D521">
            <v>951220</v>
          </cell>
          <cell r="E521">
            <v>1731130</v>
          </cell>
          <cell r="F521">
            <v>4047916</v>
          </cell>
          <cell r="G521">
            <v>5779046</v>
          </cell>
          <cell r="H521">
            <v>853070</v>
          </cell>
        </row>
        <row r="522">
          <cell r="A522" t="str">
            <v>1496</v>
          </cell>
          <cell r="B522" t="str">
            <v>高橋　今朝男　　</v>
          </cell>
          <cell r="C522">
            <v>859230</v>
          </cell>
          <cell r="D522">
            <v>950110</v>
          </cell>
          <cell r="E522">
            <v>1809340</v>
          </cell>
          <cell r="F522">
            <v>4188658</v>
          </cell>
          <cell r="G522">
            <v>5997998</v>
          </cell>
          <cell r="H522">
            <v>929270</v>
          </cell>
        </row>
        <row r="523">
          <cell r="A523" t="str">
            <v>2598</v>
          </cell>
          <cell r="B523" t="str">
            <v>丹　光浩　　　　</v>
          </cell>
          <cell r="C523">
            <v>839700</v>
          </cell>
          <cell r="D523">
            <v>948800</v>
          </cell>
          <cell r="E523">
            <v>1788500</v>
          </cell>
          <cell r="F523">
            <v>4558922</v>
          </cell>
          <cell r="G523">
            <v>6347422</v>
          </cell>
          <cell r="H523">
            <v>833900</v>
          </cell>
        </row>
        <row r="524">
          <cell r="A524" t="str">
            <v>2199</v>
          </cell>
          <cell r="B524" t="str">
            <v>木俣　泰典　　　</v>
          </cell>
          <cell r="C524">
            <v>812800</v>
          </cell>
          <cell r="D524">
            <v>948400</v>
          </cell>
          <cell r="E524">
            <v>1761200</v>
          </cell>
          <cell r="F524">
            <v>3627420</v>
          </cell>
          <cell r="G524">
            <v>5388620</v>
          </cell>
          <cell r="H524">
            <v>835800</v>
          </cell>
        </row>
        <row r="525">
          <cell r="A525" t="str">
            <v>1303</v>
          </cell>
          <cell r="B525" t="str">
            <v>鵜山　信義　　　</v>
          </cell>
          <cell r="C525">
            <v>834110</v>
          </cell>
          <cell r="D525">
            <v>945440</v>
          </cell>
          <cell r="E525">
            <v>1779550</v>
          </cell>
          <cell r="F525">
            <v>3704883</v>
          </cell>
          <cell r="G525">
            <v>5484433</v>
          </cell>
          <cell r="H525">
            <v>774210</v>
          </cell>
        </row>
        <row r="526">
          <cell r="A526" t="str">
            <v>1322</v>
          </cell>
          <cell r="B526" t="str">
            <v>高月　清　　　　</v>
          </cell>
          <cell r="C526">
            <v>886760</v>
          </cell>
          <cell r="D526">
            <v>945380</v>
          </cell>
          <cell r="E526">
            <v>1832140</v>
          </cell>
          <cell r="F526">
            <v>3982315</v>
          </cell>
          <cell r="G526">
            <v>5814455</v>
          </cell>
          <cell r="H526">
            <v>912130</v>
          </cell>
        </row>
        <row r="527">
          <cell r="A527" t="str">
            <v>1444</v>
          </cell>
          <cell r="B527" t="str">
            <v>橋本　有史　　　</v>
          </cell>
          <cell r="C527">
            <v>863550</v>
          </cell>
          <cell r="D527">
            <v>945150</v>
          </cell>
          <cell r="E527">
            <v>1808700</v>
          </cell>
          <cell r="F527">
            <v>4168147</v>
          </cell>
          <cell r="G527">
            <v>5976847</v>
          </cell>
          <cell r="H527">
            <v>933770</v>
          </cell>
        </row>
        <row r="528">
          <cell r="A528" t="str">
            <v>0399</v>
          </cell>
          <cell r="B528" t="str">
            <v>早藤　憲治　　　</v>
          </cell>
          <cell r="C528">
            <v>800020</v>
          </cell>
          <cell r="D528">
            <v>944920</v>
          </cell>
          <cell r="E528">
            <v>1744940</v>
          </cell>
          <cell r="F528">
            <v>4407528</v>
          </cell>
          <cell r="G528">
            <v>6152468</v>
          </cell>
          <cell r="H528">
            <v>898130</v>
          </cell>
        </row>
        <row r="529">
          <cell r="A529" t="str">
            <v>1082</v>
          </cell>
          <cell r="B529" t="str">
            <v>古賀　清晴　　　</v>
          </cell>
          <cell r="C529">
            <v>813260</v>
          </cell>
          <cell r="D529">
            <v>943840</v>
          </cell>
          <cell r="E529">
            <v>1757100</v>
          </cell>
          <cell r="F529">
            <v>4230611</v>
          </cell>
          <cell r="G529">
            <v>5987711</v>
          </cell>
          <cell r="H529">
            <v>847820</v>
          </cell>
        </row>
        <row r="530">
          <cell r="A530" t="str">
            <v>1836</v>
          </cell>
          <cell r="B530" t="str">
            <v>板垣　文雄　　　</v>
          </cell>
          <cell r="C530">
            <v>841670</v>
          </cell>
          <cell r="D530">
            <v>942980</v>
          </cell>
          <cell r="E530">
            <v>1784650</v>
          </cell>
          <cell r="F530">
            <v>4819402</v>
          </cell>
          <cell r="G530">
            <v>6604052</v>
          </cell>
          <cell r="H530">
            <v>858060</v>
          </cell>
        </row>
        <row r="531">
          <cell r="A531" t="str">
            <v>1157</v>
          </cell>
          <cell r="B531" t="str">
            <v>杉原　伸一　　　</v>
          </cell>
          <cell r="C531">
            <v>807350</v>
          </cell>
          <cell r="D531">
            <v>940380</v>
          </cell>
          <cell r="E531">
            <v>1747730</v>
          </cell>
          <cell r="F531">
            <v>3930464</v>
          </cell>
          <cell r="G531">
            <v>5678194</v>
          </cell>
          <cell r="H531">
            <v>794520</v>
          </cell>
        </row>
        <row r="532">
          <cell r="A532" t="str">
            <v>1626</v>
          </cell>
          <cell r="B532" t="str">
            <v>伊藤　武　　　　</v>
          </cell>
          <cell r="C532">
            <v>919350</v>
          </cell>
          <cell r="D532">
            <v>940260</v>
          </cell>
          <cell r="E532">
            <v>1859610</v>
          </cell>
          <cell r="F532">
            <v>3990606</v>
          </cell>
          <cell r="G532">
            <v>5850216</v>
          </cell>
          <cell r="H532">
            <v>812410</v>
          </cell>
        </row>
        <row r="533">
          <cell r="A533" t="str">
            <v>2189</v>
          </cell>
          <cell r="B533" t="str">
            <v>秋本　寛之　　　</v>
          </cell>
          <cell r="C533">
            <v>843030</v>
          </cell>
          <cell r="D533">
            <v>938000</v>
          </cell>
          <cell r="E533">
            <v>1781030</v>
          </cell>
          <cell r="F533">
            <v>4016835</v>
          </cell>
          <cell r="G533">
            <v>5797865</v>
          </cell>
          <cell r="H533">
            <v>800420</v>
          </cell>
        </row>
        <row r="534">
          <cell r="A534" t="str">
            <v>1732</v>
          </cell>
          <cell r="B534" t="str">
            <v>布川　博　　　　</v>
          </cell>
          <cell r="C534">
            <v>913590</v>
          </cell>
          <cell r="D534">
            <v>936830</v>
          </cell>
          <cell r="E534">
            <v>1850420</v>
          </cell>
          <cell r="F534">
            <v>4332034</v>
          </cell>
          <cell r="G534">
            <v>6182454</v>
          </cell>
          <cell r="H534">
            <v>922570</v>
          </cell>
        </row>
        <row r="535">
          <cell r="A535" t="str">
            <v>1709</v>
          </cell>
          <cell r="B535" t="str">
            <v>野尻　孝　　　　</v>
          </cell>
          <cell r="C535">
            <v>808870</v>
          </cell>
          <cell r="D535">
            <v>934010</v>
          </cell>
          <cell r="E535">
            <v>1742880</v>
          </cell>
          <cell r="F535">
            <v>4061510</v>
          </cell>
          <cell r="G535">
            <v>5804390</v>
          </cell>
          <cell r="H535">
            <v>856920</v>
          </cell>
        </row>
        <row r="536">
          <cell r="A536" t="str">
            <v>2547</v>
          </cell>
          <cell r="B536" t="str">
            <v>森元　敏郎　　　</v>
          </cell>
          <cell r="C536">
            <v>821460</v>
          </cell>
          <cell r="D536">
            <v>932750</v>
          </cell>
          <cell r="E536">
            <v>1754210</v>
          </cell>
          <cell r="F536">
            <v>3540144</v>
          </cell>
          <cell r="G536">
            <v>5294354</v>
          </cell>
          <cell r="H536">
            <v>845070</v>
          </cell>
        </row>
        <row r="537">
          <cell r="A537" t="str">
            <v>1736</v>
          </cell>
          <cell r="B537" t="str">
            <v>福田　肇　　　　</v>
          </cell>
          <cell r="C537">
            <v>803580</v>
          </cell>
          <cell r="D537">
            <v>931210</v>
          </cell>
          <cell r="E537">
            <v>1734790</v>
          </cell>
          <cell r="F537">
            <v>4264423</v>
          </cell>
          <cell r="G537">
            <v>5999213</v>
          </cell>
          <cell r="H537">
            <v>985350</v>
          </cell>
        </row>
        <row r="538">
          <cell r="A538" t="str">
            <v>1314</v>
          </cell>
          <cell r="B538" t="str">
            <v>酒井　学　　　　</v>
          </cell>
          <cell r="C538">
            <v>896480</v>
          </cell>
          <cell r="D538">
            <v>930330</v>
          </cell>
          <cell r="E538">
            <v>1826810</v>
          </cell>
          <cell r="F538">
            <v>4341763</v>
          </cell>
          <cell r="G538">
            <v>6168573</v>
          </cell>
          <cell r="H538">
            <v>920650</v>
          </cell>
        </row>
        <row r="539">
          <cell r="A539" t="str">
            <v>1193</v>
          </cell>
          <cell r="B539" t="str">
            <v>星野　正義　　　</v>
          </cell>
          <cell r="C539">
            <v>922270</v>
          </cell>
          <cell r="D539">
            <v>930060</v>
          </cell>
          <cell r="E539">
            <v>1852330</v>
          </cell>
          <cell r="F539">
            <v>4769695</v>
          </cell>
          <cell r="G539">
            <v>6622025</v>
          </cell>
          <cell r="H539">
            <v>898670</v>
          </cell>
        </row>
        <row r="540">
          <cell r="A540" t="str">
            <v>1445</v>
          </cell>
          <cell r="B540" t="str">
            <v>浜田　忠男　　　</v>
          </cell>
          <cell r="C540">
            <v>769460</v>
          </cell>
          <cell r="D540">
            <v>924590</v>
          </cell>
          <cell r="E540">
            <v>1694050</v>
          </cell>
          <cell r="F540">
            <v>3826050</v>
          </cell>
          <cell r="G540">
            <v>5520100</v>
          </cell>
          <cell r="H540">
            <v>826340</v>
          </cell>
        </row>
        <row r="541">
          <cell r="A541" t="str">
            <v>2060</v>
          </cell>
          <cell r="B541" t="str">
            <v>綾部　直樹　　　</v>
          </cell>
          <cell r="C541">
            <v>872580</v>
          </cell>
          <cell r="D541">
            <v>923360</v>
          </cell>
          <cell r="E541">
            <v>1795940</v>
          </cell>
          <cell r="F541">
            <v>3867838</v>
          </cell>
          <cell r="G541">
            <v>5663778</v>
          </cell>
          <cell r="H541">
            <v>732690</v>
          </cell>
        </row>
        <row r="542">
          <cell r="A542" t="str">
            <v>1136</v>
          </cell>
          <cell r="B542" t="str">
            <v>清水　康弘　　　</v>
          </cell>
          <cell r="C542">
            <v>822140</v>
          </cell>
          <cell r="D542">
            <v>921750</v>
          </cell>
          <cell r="E542">
            <v>1743890</v>
          </cell>
          <cell r="F542">
            <v>4551221</v>
          </cell>
          <cell r="G542">
            <v>6295111</v>
          </cell>
          <cell r="H542">
            <v>840310</v>
          </cell>
        </row>
        <row r="543">
          <cell r="A543" t="str">
            <v>2210</v>
          </cell>
          <cell r="B543" t="str">
            <v>中尾　晴比古　　</v>
          </cell>
          <cell r="C543">
            <v>795610</v>
          </cell>
          <cell r="D543">
            <v>921190</v>
          </cell>
          <cell r="E543">
            <v>1716800</v>
          </cell>
          <cell r="F543">
            <v>3358782</v>
          </cell>
          <cell r="G543">
            <v>5075582</v>
          </cell>
          <cell r="H543">
            <v>835610</v>
          </cell>
        </row>
        <row r="544">
          <cell r="A544" t="str">
            <v>1919</v>
          </cell>
          <cell r="B544" t="str">
            <v>山崎　悦司　　　</v>
          </cell>
          <cell r="C544">
            <v>762380</v>
          </cell>
          <cell r="D544">
            <v>920960</v>
          </cell>
          <cell r="E544">
            <v>1683340</v>
          </cell>
          <cell r="F544">
            <v>3486546</v>
          </cell>
          <cell r="G544">
            <v>5169886</v>
          </cell>
          <cell r="H544">
            <v>831870</v>
          </cell>
        </row>
        <row r="545">
          <cell r="A545" t="str">
            <v>2200</v>
          </cell>
          <cell r="B545" t="str">
            <v>小林　昇　　　　</v>
          </cell>
          <cell r="C545">
            <v>811060</v>
          </cell>
          <cell r="D545">
            <v>919030</v>
          </cell>
          <cell r="E545">
            <v>1730090</v>
          </cell>
          <cell r="F545">
            <v>3980455</v>
          </cell>
          <cell r="G545">
            <v>5710545</v>
          </cell>
          <cell r="H545">
            <v>823800</v>
          </cell>
        </row>
        <row r="546">
          <cell r="A546" t="str">
            <v>2206</v>
          </cell>
          <cell r="B546" t="str">
            <v>田中　宣司　　　</v>
          </cell>
          <cell r="C546">
            <v>791960</v>
          </cell>
          <cell r="D546">
            <v>917400</v>
          </cell>
          <cell r="E546">
            <v>1709360</v>
          </cell>
          <cell r="F546">
            <v>3769234</v>
          </cell>
          <cell r="G546">
            <v>5478594</v>
          </cell>
          <cell r="H546">
            <v>872630</v>
          </cell>
        </row>
        <row r="547">
          <cell r="A547" t="str">
            <v>2561</v>
          </cell>
          <cell r="B547" t="str">
            <v>三浦　高嗣　　　</v>
          </cell>
          <cell r="C547">
            <v>799470</v>
          </cell>
          <cell r="D547">
            <v>917300</v>
          </cell>
          <cell r="E547">
            <v>1716770</v>
          </cell>
          <cell r="F547">
            <v>4020910</v>
          </cell>
          <cell r="G547">
            <v>5737680</v>
          </cell>
          <cell r="H547">
            <v>872540</v>
          </cell>
        </row>
        <row r="548">
          <cell r="A548" t="str">
            <v>2890</v>
          </cell>
          <cell r="B548" t="str">
            <v>浜田　朋昭　　　</v>
          </cell>
          <cell r="C548">
            <v>819350</v>
          </cell>
          <cell r="D548">
            <v>917180</v>
          </cell>
          <cell r="E548">
            <v>1736530</v>
          </cell>
          <cell r="F548">
            <v>4174249</v>
          </cell>
          <cell r="G548">
            <v>5910779</v>
          </cell>
          <cell r="H548">
            <v>848200</v>
          </cell>
        </row>
        <row r="549">
          <cell r="A549" t="str">
            <v>2076</v>
          </cell>
          <cell r="B549" t="str">
            <v>田口　晃　　　　</v>
          </cell>
          <cell r="C549">
            <v>810460</v>
          </cell>
          <cell r="D549">
            <v>915420</v>
          </cell>
          <cell r="E549">
            <v>1725880</v>
          </cell>
          <cell r="F549">
            <v>4016345</v>
          </cell>
          <cell r="G549">
            <v>5742225</v>
          </cell>
          <cell r="H549">
            <v>830380</v>
          </cell>
        </row>
        <row r="550">
          <cell r="A550" t="str">
            <v>2072</v>
          </cell>
          <cell r="B550" t="str">
            <v>桜井　敏　　　　</v>
          </cell>
          <cell r="C550">
            <v>810750</v>
          </cell>
          <cell r="D550">
            <v>913680</v>
          </cell>
          <cell r="E550">
            <v>1724430</v>
          </cell>
          <cell r="F550">
            <v>3454357</v>
          </cell>
          <cell r="G550">
            <v>5178787</v>
          </cell>
          <cell r="H550">
            <v>830330</v>
          </cell>
        </row>
        <row r="551">
          <cell r="A551" t="str">
            <v>1261</v>
          </cell>
          <cell r="B551" t="str">
            <v>三井　健司　　　</v>
          </cell>
          <cell r="C551">
            <v>755820</v>
          </cell>
          <cell r="D551">
            <v>912310</v>
          </cell>
          <cell r="E551">
            <v>1668130</v>
          </cell>
          <cell r="F551">
            <v>4487101</v>
          </cell>
          <cell r="G551">
            <v>6155231</v>
          </cell>
          <cell r="H551">
            <v>842310</v>
          </cell>
        </row>
        <row r="552">
          <cell r="A552" t="str">
            <v>2420</v>
          </cell>
          <cell r="B552" t="str">
            <v>佐々井　孝　　　</v>
          </cell>
          <cell r="C552">
            <v>807100</v>
          </cell>
          <cell r="D552">
            <v>912050</v>
          </cell>
          <cell r="E552">
            <v>1719150</v>
          </cell>
          <cell r="F552">
            <v>4129551</v>
          </cell>
          <cell r="G552">
            <v>5848701</v>
          </cell>
          <cell r="H552">
            <v>852720</v>
          </cell>
        </row>
        <row r="553">
          <cell r="A553" t="str">
            <v>2272</v>
          </cell>
          <cell r="B553" t="str">
            <v>永野　淳　　　　</v>
          </cell>
          <cell r="C553">
            <v>807990</v>
          </cell>
          <cell r="D553">
            <v>911650</v>
          </cell>
          <cell r="E553">
            <v>1719640</v>
          </cell>
          <cell r="F553">
            <v>3582914</v>
          </cell>
          <cell r="G553">
            <v>5302554</v>
          </cell>
          <cell r="H553">
            <v>827460</v>
          </cell>
        </row>
        <row r="554">
          <cell r="A554" t="str">
            <v>1357</v>
          </cell>
          <cell r="B554" t="str">
            <v>宇都宮　孝二　　</v>
          </cell>
          <cell r="C554">
            <v>814010</v>
          </cell>
          <cell r="D554">
            <v>911530</v>
          </cell>
          <cell r="E554">
            <v>1725540</v>
          </cell>
          <cell r="F554">
            <v>3878841</v>
          </cell>
          <cell r="G554">
            <v>5604381</v>
          </cell>
          <cell r="H554">
            <v>826850</v>
          </cell>
        </row>
        <row r="555">
          <cell r="A555" t="str">
            <v>1636</v>
          </cell>
          <cell r="B555" t="str">
            <v>岡本　一郎　　　</v>
          </cell>
          <cell r="C555">
            <v>795310</v>
          </cell>
          <cell r="D555">
            <v>910580</v>
          </cell>
          <cell r="E555">
            <v>1705890</v>
          </cell>
          <cell r="F555">
            <v>4452919</v>
          </cell>
          <cell r="G555">
            <v>6158809</v>
          </cell>
          <cell r="H555">
            <v>897940</v>
          </cell>
        </row>
        <row r="556">
          <cell r="A556" t="str">
            <v>2065</v>
          </cell>
          <cell r="B556" t="str">
            <v>上田　美治　　　</v>
          </cell>
          <cell r="C556">
            <v>807400</v>
          </cell>
          <cell r="D556">
            <v>909970</v>
          </cell>
          <cell r="E556">
            <v>1717370</v>
          </cell>
          <cell r="F556">
            <v>4073429</v>
          </cell>
          <cell r="G556">
            <v>5790799</v>
          </cell>
          <cell r="H556">
            <v>826940</v>
          </cell>
        </row>
        <row r="557">
          <cell r="A557" t="str">
            <v>2728</v>
          </cell>
          <cell r="B557" t="str">
            <v>岩尾　邦彦　　　</v>
          </cell>
          <cell r="C557">
            <v>785000</v>
          </cell>
          <cell r="D557">
            <v>909740</v>
          </cell>
          <cell r="E557">
            <v>1694740</v>
          </cell>
          <cell r="F557">
            <v>3829830</v>
          </cell>
          <cell r="G557">
            <v>5524570</v>
          </cell>
          <cell r="H557">
            <v>776300</v>
          </cell>
        </row>
        <row r="558">
          <cell r="A558" t="str">
            <v>2265</v>
          </cell>
          <cell r="B558" t="str">
            <v>崎野　龍二　　　</v>
          </cell>
          <cell r="C558">
            <v>751410</v>
          </cell>
          <cell r="D558">
            <v>909530</v>
          </cell>
          <cell r="E558">
            <v>1660940</v>
          </cell>
          <cell r="F558">
            <v>3519441</v>
          </cell>
          <cell r="G558">
            <v>5180381</v>
          </cell>
          <cell r="H558">
            <v>839400</v>
          </cell>
        </row>
        <row r="559">
          <cell r="A559" t="str">
            <v>2263</v>
          </cell>
          <cell r="B559" t="str">
            <v>吉良　文生　　　</v>
          </cell>
          <cell r="C559">
            <v>792600</v>
          </cell>
          <cell r="D559">
            <v>909530</v>
          </cell>
          <cell r="E559">
            <v>1702130</v>
          </cell>
          <cell r="F559">
            <v>4079066</v>
          </cell>
          <cell r="G559">
            <v>5781196</v>
          </cell>
          <cell r="H559">
            <v>801550</v>
          </cell>
        </row>
        <row r="560">
          <cell r="A560" t="str">
            <v>2203</v>
          </cell>
          <cell r="B560" t="str">
            <v>関　光彦　　　　</v>
          </cell>
          <cell r="C560">
            <v>791650</v>
          </cell>
          <cell r="D560">
            <v>907640</v>
          </cell>
          <cell r="E560">
            <v>1699290</v>
          </cell>
          <cell r="F560">
            <v>3505000</v>
          </cell>
          <cell r="G560">
            <v>5204290</v>
          </cell>
          <cell r="H560">
            <v>823310</v>
          </cell>
        </row>
        <row r="561">
          <cell r="A561" t="str">
            <v>2061</v>
          </cell>
          <cell r="B561" t="str">
            <v>池田　佳生　　　</v>
          </cell>
          <cell r="C561">
            <v>756960</v>
          </cell>
          <cell r="D561">
            <v>907050</v>
          </cell>
          <cell r="E561">
            <v>1664010</v>
          </cell>
          <cell r="F561">
            <v>4043921</v>
          </cell>
          <cell r="G561">
            <v>5707931</v>
          </cell>
          <cell r="H561">
            <v>832190</v>
          </cell>
        </row>
        <row r="562">
          <cell r="A562" t="str">
            <v>2062</v>
          </cell>
          <cell r="B562" t="str">
            <v>石井　昭二　　　</v>
          </cell>
          <cell r="C562">
            <v>763550</v>
          </cell>
          <cell r="D562">
            <v>907050</v>
          </cell>
          <cell r="E562">
            <v>1670600</v>
          </cell>
          <cell r="F562">
            <v>4017968</v>
          </cell>
          <cell r="G562">
            <v>5688568</v>
          </cell>
          <cell r="H562">
            <v>875360</v>
          </cell>
        </row>
        <row r="563">
          <cell r="A563" t="str">
            <v>0190</v>
          </cell>
          <cell r="B563" t="str">
            <v>森崎　直人　　　</v>
          </cell>
          <cell r="C563">
            <v>759680</v>
          </cell>
          <cell r="D563">
            <v>905590</v>
          </cell>
          <cell r="E563">
            <v>1665270</v>
          </cell>
          <cell r="F563">
            <v>4658639</v>
          </cell>
          <cell r="G563">
            <v>6323909</v>
          </cell>
          <cell r="H563">
            <v>875430</v>
          </cell>
        </row>
        <row r="564">
          <cell r="A564" t="str">
            <v>1889</v>
          </cell>
          <cell r="B564" t="str">
            <v>黒澤　静一　　　</v>
          </cell>
          <cell r="C564">
            <v>833220</v>
          </cell>
          <cell r="D564">
            <v>905290</v>
          </cell>
          <cell r="E564">
            <v>1738510</v>
          </cell>
          <cell r="F564">
            <v>4294647</v>
          </cell>
          <cell r="G564">
            <v>6033157</v>
          </cell>
          <cell r="H564">
            <v>943150</v>
          </cell>
        </row>
        <row r="565">
          <cell r="A565" t="str">
            <v>2921</v>
          </cell>
          <cell r="B565" t="str">
            <v>西岡　誠一　　　</v>
          </cell>
          <cell r="C565">
            <v>754050</v>
          </cell>
          <cell r="D565">
            <v>902820</v>
          </cell>
          <cell r="E565">
            <v>1656870</v>
          </cell>
          <cell r="F565">
            <v>3171499</v>
          </cell>
          <cell r="G565">
            <v>4828369</v>
          </cell>
          <cell r="H565">
            <v>804110</v>
          </cell>
        </row>
        <row r="566">
          <cell r="A566" t="str">
            <v>2192</v>
          </cell>
          <cell r="B566" t="str">
            <v>新垣　信也　　　</v>
          </cell>
          <cell r="C566">
            <v>816100</v>
          </cell>
          <cell r="D566">
            <v>902680</v>
          </cell>
          <cell r="E566">
            <v>1718780</v>
          </cell>
          <cell r="F566">
            <v>3957587</v>
          </cell>
          <cell r="G566">
            <v>5676367</v>
          </cell>
          <cell r="H566">
            <v>761770</v>
          </cell>
        </row>
        <row r="567">
          <cell r="A567" t="str">
            <v>2360</v>
          </cell>
          <cell r="B567" t="str">
            <v>岡本　泰郎　　　</v>
          </cell>
          <cell r="C567">
            <v>769720</v>
          </cell>
          <cell r="D567">
            <v>901760</v>
          </cell>
          <cell r="E567">
            <v>1671480</v>
          </cell>
          <cell r="F567">
            <v>3254371</v>
          </cell>
          <cell r="G567">
            <v>4925851</v>
          </cell>
          <cell r="H567">
            <v>806350</v>
          </cell>
        </row>
        <row r="568">
          <cell r="A568" t="str">
            <v>1272</v>
          </cell>
          <cell r="B568" t="str">
            <v>小山　文男　　　</v>
          </cell>
          <cell r="C568">
            <v>798720</v>
          </cell>
          <cell r="D568">
            <v>899980</v>
          </cell>
          <cell r="E568">
            <v>1698700</v>
          </cell>
          <cell r="F568">
            <v>3788204</v>
          </cell>
          <cell r="G568">
            <v>5486904</v>
          </cell>
          <cell r="H568">
            <v>818930</v>
          </cell>
        </row>
        <row r="569">
          <cell r="A569" t="str">
            <v>2277</v>
          </cell>
          <cell r="B569" t="str">
            <v>藤城　克也　　　</v>
          </cell>
          <cell r="C569">
            <v>793620</v>
          </cell>
          <cell r="D569">
            <v>899880</v>
          </cell>
          <cell r="E569">
            <v>1693500</v>
          </cell>
          <cell r="F569">
            <v>3944434</v>
          </cell>
          <cell r="G569">
            <v>5637934</v>
          </cell>
          <cell r="H569">
            <v>816770</v>
          </cell>
        </row>
        <row r="570">
          <cell r="A570" t="str">
            <v>2266</v>
          </cell>
          <cell r="B570" t="str">
            <v>佐藤　光雄　　　</v>
          </cell>
          <cell r="C570">
            <v>793620</v>
          </cell>
          <cell r="D570">
            <v>899880</v>
          </cell>
          <cell r="E570">
            <v>1693500</v>
          </cell>
          <cell r="F570">
            <v>4071102</v>
          </cell>
          <cell r="G570">
            <v>5764602</v>
          </cell>
          <cell r="H570">
            <v>816770</v>
          </cell>
        </row>
        <row r="571">
          <cell r="A571" t="str">
            <v>1151</v>
          </cell>
          <cell r="B571" t="str">
            <v>木原　明彦　　　</v>
          </cell>
          <cell r="C571">
            <v>787590</v>
          </cell>
          <cell r="D571">
            <v>899240</v>
          </cell>
          <cell r="E571">
            <v>1686830</v>
          </cell>
          <cell r="F571">
            <v>4294805</v>
          </cell>
          <cell r="G571">
            <v>5981635</v>
          </cell>
          <cell r="H571">
            <v>813800</v>
          </cell>
        </row>
        <row r="572">
          <cell r="A572" t="str">
            <v>0101</v>
          </cell>
          <cell r="B572" t="str">
            <v>近藤　正　　　　</v>
          </cell>
          <cell r="C572">
            <v>825130</v>
          </cell>
          <cell r="D572">
            <v>899200</v>
          </cell>
          <cell r="E572">
            <v>1724330</v>
          </cell>
          <cell r="F572">
            <v>3753600</v>
          </cell>
          <cell r="G572">
            <v>5477930</v>
          </cell>
          <cell r="H572">
            <v>826370</v>
          </cell>
        </row>
        <row r="573">
          <cell r="A573" t="str">
            <v>2554</v>
          </cell>
          <cell r="B573" t="str">
            <v>三好　英二　　　</v>
          </cell>
          <cell r="C573">
            <v>772940</v>
          </cell>
          <cell r="D573">
            <v>898820</v>
          </cell>
          <cell r="E573">
            <v>1671760</v>
          </cell>
          <cell r="F573">
            <v>4030939</v>
          </cell>
          <cell r="G573">
            <v>5702699</v>
          </cell>
          <cell r="H573">
            <v>855240</v>
          </cell>
        </row>
        <row r="574">
          <cell r="A574" t="str">
            <v>1353</v>
          </cell>
          <cell r="B574" t="str">
            <v>森田　政直　　　</v>
          </cell>
          <cell r="C574">
            <v>748700</v>
          </cell>
          <cell r="D574">
            <v>897150</v>
          </cell>
          <cell r="E574">
            <v>1645850</v>
          </cell>
          <cell r="F574">
            <v>4043800</v>
          </cell>
          <cell r="G574">
            <v>5689650</v>
          </cell>
          <cell r="H574">
            <v>879070</v>
          </cell>
        </row>
        <row r="575">
          <cell r="A575" t="str">
            <v>2364</v>
          </cell>
          <cell r="B575" t="str">
            <v>唐川　誠樹　　　</v>
          </cell>
          <cell r="C575">
            <v>775820</v>
          </cell>
          <cell r="D575">
            <v>896640</v>
          </cell>
          <cell r="E575">
            <v>1672460</v>
          </cell>
          <cell r="F575">
            <v>3906804</v>
          </cell>
          <cell r="G575">
            <v>5579264</v>
          </cell>
          <cell r="H575">
            <v>800450</v>
          </cell>
        </row>
        <row r="576">
          <cell r="A576" t="str">
            <v>2441</v>
          </cell>
          <cell r="B576" t="str">
            <v>武田　廣　　　　</v>
          </cell>
          <cell r="C576">
            <v>792770</v>
          </cell>
          <cell r="D576">
            <v>895980</v>
          </cell>
          <cell r="E576">
            <v>1688750</v>
          </cell>
          <cell r="F576">
            <v>3202360</v>
          </cell>
          <cell r="G576">
            <v>4891110</v>
          </cell>
          <cell r="H576">
            <v>812750</v>
          </cell>
        </row>
        <row r="577">
          <cell r="A577" t="str">
            <v>2217</v>
          </cell>
          <cell r="B577" t="str">
            <v>村上　能章　　　</v>
          </cell>
          <cell r="C577">
            <v>780860</v>
          </cell>
          <cell r="D577">
            <v>894200</v>
          </cell>
          <cell r="E577">
            <v>1675060</v>
          </cell>
          <cell r="F577">
            <v>3576478</v>
          </cell>
          <cell r="G577">
            <v>5251538</v>
          </cell>
          <cell r="H577">
            <v>754610</v>
          </cell>
        </row>
        <row r="578">
          <cell r="A578" t="str">
            <v>1645</v>
          </cell>
          <cell r="B578" t="str">
            <v>小松　幹夫　　　</v>
          </cell>
          <cell r="C578">
            <v>816830</v>
          </cell>
          <cell r="D578">
            <v>894110</v>
          </cell>
          <cell r="E578">
            <v>1710940</v>
          </cell>
          <cell r="F578">
            <v>3959824</v>
          </cell>
          <cell r="G578">
            <v>5670764</v>
          </cell>
          <cell r="H578">
            <v>821700</v>
          </cell>
        </row>
        <row r="579">
          <cell r="A579" t="str">
            <v>0303</v>
          </cell>
          <cell r="B579" t="str">
            <v>七種　妙子　　　</v>
          </cell>
          <cell r="C579">
            <v>813660</v>
          </cell>
          <cell r="D579">
            <v>893240</v>
          </cell>
          <cell r="E579">
            <v>1706900</v>
          </cell>
          <cell r="F579">
            <v>3812403</v>
          </cell>
          <cell r="G579">
            <v>5519303</v>
          </cell>
          <cell r="H579">
            <v>774130</v>
          </cell>
        </row>
        <row r="580">
          <cell r="A580" t="str">
            <v>2369</v>
          </cell>
          <cell r="B580" t="str">
            <v>田岡　由光　　　</v>
          </cell>
          <cell r="C580">
            <v>772150</v>
          </cell>
          <cell r="D580">
            <v>892640</v>
          </cell>
          <cell r="E580">
            <v>1664790</v>
          </cell>
          <cell r="F580">
            <v>3493608</v>
          </cell>
          <cell r="G580">
            <v>5158398</v>
          </cell>
          <cell r="H580">
            <v>808740</v>
          </cell>
        </row>
        <row r="581">
          <cell r="A581" t="str">
            <v>1696</v>
          </cell>
          <cell r="B581" t="str">
            <v>市川　博　　　　</v>
          </cell>
          <cell r="C581">
            <v>739510</v>
          </cell>
          <cell r="D581">
            <v>892560</v>
          </cell>
          <cell r="E581">
            <v>1632070</v>
          </cell>
          <cell r="F581">
            <v>4216860</v>
          </cell>
          <cell r="G581">
            <v>5848930</v>
          </cell>
          <cell r="H581">
            <v>812180</v>
          </cell>
        </row>
        <row r="582">
          <cell r="A582" t="str">
            <v>0469</v>
          </cell>
          <cell r="B582" t="str">
            <v>高井　喜啓　　　</v>
          </cell>
          <cell r="C582">
            <v>807230</v>
          </cell>
          <cell r="D582">
            <v>892370</v>
          </cell>
          <cell r="E582">
            <v>1699600</v>
          </cell>
          <cell r="F582">
            <v>4351053</v>
          </cell>
          <cell r="G582">
            <v>6050653</v>
          </cell>
          <cell r="H582">
            <v>815190</v>
          </cell>
        </row>
        <row r="583">
          <cell r="A583" t="str">
            <v>2138</v>
          </cell>
          <cell r="B583" t="str">
            <v>甲斐　宗武　　　</v>
          </cell>
          <cell r="C583">
            <v>763820</v>
          </cell>
          <cell r="D583">
            <v>891400</v>
          </cell>
          <cell r="E583">
            <v>1655220</v>
          </cell>
          <cell r="F583">
            <v>3828500</v>
          </cell>
          <cell r="G583">
            <v>5483720</v>
          </cell>
          <cell r="H583">
            <v>823800</v>
          </cell>
        </row>
        <row r="584">
          <cell r="A584" t="str">
            <v>2209</v>
          </cell>
          <cell r="B584" t="str">
            <v>谷口　建次　　　</v>
          </cell>
          <cell r="C584">
            <v>731690</v>
          </cell>
          <cell r="D584">
            <v>890430</v>
          </cell>
          <cell r="E584">
            <v>1622120</v>
          </cell>
          <cell r="F584">
            <v>3773790</v>
          </cell>
          <cell r="G584">
            <v>5395910</v>
          </cell>
          <cell r="H584">
            <v>797100</v>
          </cell>
        </row>
        <row r="585">
          <cell r="A585" t="str">
            <v>2596</v>
          </cell>
          <cell r="B585" t="str">
            <v>松岡　喜一郎　　</v>
          </cell>
          <cell r="C585">
            <v>808690</v>
          </cell>
          <cell r="D585">
            <v>890340</v>
          </cell>
          <cell r="E585">
            <v>1699030</v>
          </cell>
          <cell r="F585">
            <v>3576779</v>
          </cell>
          <cell r="G585">
            <v>5275809</v>
          </cell>
          <cell r="H585">
            <v>807620</v>
          </cell>
        </row>
        <row r="586">
          <cell r="A586" t="str">
            <v>2198</v>
          </cell>
          <cell r="B586" t="str">
            <v>片桐　省司　　　</v>
          </cell>
          <cell r="C586">
            <v>783600</v>
          </cell>
          <cell r="D586">
            <v>889320</v>
          </cell>
          <cell r="E586">
            <v>1672920</v>
          </cell>
          <cell r="F586">
            <v>3802972</v>
          </cell>
          <cell r="G586">
            <v>5475892</v>
          </cell>
          <cell r="H586">
            <v>818560</v>
          </cell>
        </row>
        <row r="587">
          <cell r="A587" t="str">
            <v>1944</v>
          </cell>
          <cell r="B587" t="str">
            <v>西村　裕　　　　</v>
          </cell>
          <cell r="C587">
            <v>737750</v>
          </cell>
          <cell r="D587">
            <v>888630</v>
          </cell>
          <cell r="E587">
            <v>1626380</v>
          </cell>
          <cell r="F587">
            <v>3969797</v>
          </cell>
          <cell r="G587">
            <v>5596177</v>
          </cell>
          <cell r="H587">
            <v>805100</v>
          </cell>
        </row>
        <row r="588">
          <cell r="A588" t="str">
            <v>1739</v>
          </cell>
          <cell r="B588" t="str">
            <v>松尾　修　　　　</v>
          </cell>
          <cell r="C588">
            <v>912760</v>
          </cell>
          <cell r="D588">
            <v>888170</v>
          </cell>
          <cell r="E588">
            <v>1800930</v>
          </cell>
          <cell r="F588">
            <v>4095659</v>
          </cell>
          <cell r="G588">
            <v>5896589</v>
          </cell>
          <cell r="H588">
            <v>938470</v>
          </cell>
        </row>
        <row r="589">
          <cell r="A589" t="str">
            <v>1902</v>
          </cell>
          <cell r="B589" t="str">
            <v>鳥川　慎策　　　</v>
          </cell>
          <cell r="C589">
            <v>788320</v>
          </cell>
          <cell r="D589">
            <v>887680</v>
          </cell>
          <cell r="E589">
            <v>1676000</v>
          </cell>
          <cell r="F589">
            <v>4115994</v>
          </cell>
          <cell r="G589">
            <v>5791994</v>
          </cell>
          <cell r="H589">
            <v>830670</v>
          </cell>
        </row>
        <row r="590">
          <cell r="A590" t="str">
            <v>1526</v>
          </cell>
          <cell r="B590" t="str">
            <v>残間　和博　　　</v>
          </cell>
          <cell r="C590">
            <v>765140</v>
          </cell>
          <cell r="D590">
            <v>887140</v>
          </cell>
          <cell r="E590">
            <v>1652280</v>
          </cell>
          <cell r="F590">
            <v>3821072</v>
          </cell>
          <cell r="G590">
            <v>5473352</v>
          </cell>
          <cell r="H590">
            <v>793030</v>
          </cell>
        </row>
        <row r="591">
          <cell r="A591" t="str">
            <v>1808</v>
          </cell>
          <cell r="B591" t="str">
            <v>河橋　譲二　　　</v>
          </cell>
          <cell r="C591">
            <v>786830</v>
          </cell>
          <cell r="D591">
            <v>886350</v>
          </cell>
          <cell r="E591">
            <v>1673180</v>
          </cell>
          <cell r="F591">
            <v>4334184</v>
          </cell>
          <cell r="G591">
            <v>6007364</v>
          </cell>
          <cell r="H591">
            <v>842460</v>
          </cell>
        </row>
        <row r="592">
          <cell r="A592" t="str">
            <v>3435</v>
          </cell>
          <cell r="B592" t="str">
            <v>寺村　典之　　　</v>
          </cell>
          <cell r="C592">
            <v>724660</v>
          </cell>
          <cell r="D592">
            <v>886210</v>
          </cell>
          <cell r="E592">
            <v>1610870</v>
          </cell>
          <cell r="F592">
            <v>3875927</v>
          </cell>
          <cell r="G592">
            <v>5486797</v>
          </cell>
          <cell r="H592">
            <v>807900</v>
          </cell>
        </row>
        <row r="593">
          <cell r="A593" t="str">
            <v>2077</v>
          </cell>
          <cell r="B593" t="str">
            <v>多田　昌弘　　　</v>
          </cell>
          <cell r="C593">
            <v>789720</v>
          </cell>
          <cell r="D593">
            <v>885620</v>
          </cell>
          <cell r="E593">
            <v>1675340</v>
          </cell>
          <cell r="F593">
            <v>3463470</v>
          </cell>
          <cell r="G593">
            <v>5138810</v>
          </cell>
          <cell r="H593">
            <v>805860</v>
          </cell>
        </row>
        <row r="594">
          <cell r="A594" t="str">
            <v>1470</v>
          </cell>
          <cell r="B594" t="str">
            <v>遠藤　聡　　　　</v>
          </cell>
          <cell r="C594">
            <v>780860</v>
          </cell>
          <cell r="D594">
            <v>884920</v>
          </cell>
          <cell r="E594">
            <v>1665780</v>
          </cell>
          <cell r="F594">
            <v>3779236</v>
          </cell>
          <cell r="G594">
            <v>5445016</v>
          </cell>
          <cell r="H594">
            <v>805220</v>
          </cell>
        </row>
        <row r="595">
          <cell r="A595" t="str">
            <v>2376</v>
          </cell>
          <cell r="B595" t="str">
            <v>平田　雅史　　　</v>
          </cell>
          <cell r="C595">
            <v>734230</v>
          </cell>
          <cell r="D595">
            <v>884610</v>
          </cell>
          <cell r="E595">
            <v>1618840</v>
          </cell>
          <cell r="F595">
            <v>3683981</v>
          </cell>
          <cell r="G595">
            <v>5302821</v>
          </cell>
          <cell r="H595">
            <v>777490</v>
          </cell>
        </row>
        <row r="596">
          <cell r="A596" t="str">
            <v>2197</v>
          </cell>
          <cell r="B596" t="str">
            <v>岡内　秀樹　　　</v>
          </cell>
          <cell r="C596">
            <v>783670</v>
          </cell>
          <cell r="D596">
            <v>883960</v>
          </cell>
          <cell r="E596">
            <v>1667630</v>
          </cell>
          <cell r="F596">
            <v>4064077</v>
          </cell>
          <cell r="G596">
            <v>5731707</v>
          </cell>
          <cell r="H596">
            <v>803330</v>
          </cell>
        </row>
        <row r="597">
          <cell r="A597" t="str">
            <v>0132</v>
          </cell>
          <cell r="B597" t="str">
            <v>柳田　行雄　　　</v>
          </cell>
          <cell r="C597">
            <v>914770</v>
          </cell>
          <cell r="D597">
            <v>883900</v>
          </cell>
          <cell r="E597">
            <v>1798670</v>
          </cell>
          <cell r="F597">
            <v>4135230</v>
          </cell>
          <cell r="G597">
            <v>5933900</v>
          </cell>
          <cell r="H597">
            <v>801520</v>
          </cell>
        </row>
        <row r="598">
          <cell r="A598" t="str">
            <v>2220</v>
          </cell>
          <cell r="B598" t="str">
            <v>森本　洋　　　　</v>
          </cell>
          <cell r="C598">
            <v>783060</v>
          </cell>
          <cell r="D598">
            <v>883820</v>
          </cell>
          <cell r="E598">
            <v>1666880</v>
          </cell>
          <cell r="F598">
            <v>3667267</v>
          </cell>
          <cell r="G598">
            <v>5334147</v>
          </cell>
          <cell r="H598">
            <v>802670</v>
          </cell>
        </row>
        <row r="599">
          <cell r="A599" t="str">
            <v>2270</v>
          </cell>
          <cell r="B599" t="str">
            <v>玉理　元浩　　　</v>
          </cell>
          <cell r="C599">
            <v>758270</v>
          </cell>
          <cell r="D599">
            <v>883250</v>
          </cell>
          <cell r="E599">
            <v>1641520</v>
          </cell>
          <cell r="F599">
            <v>3717230</v>
          </cell>
          <cell r="G599">
            <v>5358750</v>
          </cell>
          <cell r="H599">
            <v>778400</v>
          </cell>
        </row>
        <row r="600">
          <cell r="A600" t="str">
            <v>2015</v>
          </cell>
          <cell r="B600" t="str">
            <v>武井　宏之　　　</v>
          </cell>
          <cell r="C600">
            <v>773170</v>
          </cell>
          <cell r="D600">
            <v>882560</v>
          </cell>
          <cell r="E600">
            <v>1655730</v>
          </cell>
          <cell r="F600">
            <v>3721525</v>
          </cell>
          <cell r="G600">
            <v>5377255</v>
          </cell>
          <cell r="H600">
            <v>733760</v>
          </cell>
        </row>
        <row r="601">
          <cell r="A601" t="str">
            <v>1678</v>
          </cell>
          <cell r="B601" t="str">
            <v>井上　義雄　　　</v>
          </cell>
          <cell r="C601">
            <v>795590</v>
          </cell>
          <cell r="D601">
            <v>881400</v>
          </cell>
          <cell r="E601">
            <v>1676990</v>
          </cell>
          <cell r="F601">
            <v>4226700</v>
          </cell>
          <cell r="G601">
            <v>5903690</v>
          </cell>
          <cell r="H601">
            <v>803540</v>
          </cell>
        </row>
        <row r="602">
          <cell r="A602" t="str">
            <v>1941</v>
          </cell>
          <cell r="B602" t="str">
            <v>清水　克己　　　</v>
          </cell>
          <cell r="C602">
            <v>743070</v>
          </cell>
          <cell r="D602">
            <v>881020</v>
          </cell>
          <cell r="E602">
            <v>1624090</v>
          </cell>
          <cell r="F602">
            <v>4084768</v>
          </cell>
          <cell r="G602">
            <v>5708858</v>
          </cell>
          <cell r="H602">
            <v>776560</v>
          </cell>
        </row>
        <row r="603">
          <cell r="A603" t="str">
            <v>2362</v>
          </cell>
          <cell r="B603" t="str">
            <v>海堀　昌三　　　</v>
          </cell>
          <cell r="C603">
            <v>752280</v>
          </cell>
          <cell r="D603">
            <v>881020</v>
          </cell>
          <cell r="E603">
            <v>1633300</v>
          </cell>
          <cell r="F603">
            <v>3767131</v>
          </cell>
          <cell r="G603">
            <v>5400431</v>
          </cell>
          <cell r="H603">
            <v>799650</v>
          </cell>
        </row>
        <row r="604">
          <cell r="A604" t="str">
            <v>2267</v>
          </cell>
          <cell r="B604" t="str">
            <v>重松　詳章　　　</v>
          </cell>
          <cell r="C604">
            <v>786770</v>
          </cell>
          <cell r="D604">
            <v>880430</v>
          </cell>
          <cell r="E604">
            <v>1667200</v>
          </cell>
          <cell r="F604">
            <v>3959795</v>
          </cell>
          <cell r="G604">
            <v>5626995</v>
          </cell>
          <cell r="H604">
            <v>794710</v>
          </cell>
        </row>
        <row r="605">
          <cell r="A605" t="str">
            <v>2583</v>
          </cell>
          <cell r="B605" t="str">
            <v>豊田　賀一　　　</v>
          </cell>
          <cell r="C605">
            <v>731840</v>
          </cell>
          <cell r="D605">
            <v>879250</v>
          </cell>
          <cell r="E605">
            <v>1611090</v>
          </cell>
          <cell r="F605">
            <v>2961453</v>
          </cell>
          <cell r="G605">
            <v>4572543</v>
          </cell>
          <cell r="H605">
            <v>774370</v>
          </cell>
        </row>
        <row r="606">
          <cell r="A606" t="str">
            <v>2262</v>
          </cell>
          <cell r="B606" t="str">
            <v>荻野　照雄　　　</v>
          </cell>
          <cell r="C606">
            <v>744510</v>
          </cell>
          <cell r="D606">
            <v>876540</v>
          </cell>
          <cell r="E606">
            <v>1621050</v>
          </cell>
          <cell r="F606">
            <v>3661587</v>
          </cell>
          <cell r="G606">
            <v>5282637</v>
          </cell>
          <cell r="H606">
            <v>795110</v>
          </cell>
        </row>
        <row r="607">
          <cell r="A607" t="str">
            <v>0472</v>
          </cell>
          <cell r="B607" t="str">
            <v>福永　浩三　　　</v>
          </cell>
          <cell r="C607">
            <v>831280</v>
          </cell>
          <cell r="D607">
            <v>875850</v>
          </cell>
          <cell r="E607">
            <v>1707130</v>
          </cell>
          <cell r="F607">
            <v>4194680</v>
          </cell>
          <cell r="G607">
            <v>5901810</v>
          </cell>
          <cell r="H607">
            <v>620290</v>
          </cell>
        </row>
        <row r="608">
          <cell r="A608" t="str">
            <v>2359</v>
          </cell>
          <cell r="B608" t="str">
            <v>大脇　藤人　　　</v>
          </cell>
          <cell r="C608">
            <v>734230</v>
          </cell>
          <cell r="D608">
            <v>875480</v>
          </cell>
          <cell r="E608">
            <v>1609710</v>
          </cell>
          <cell r="F608">
            <v>3433949</v>
          </cell>
          <cell r="G608">
            <v>5043659</v>
          </cell>
          <cell r="H608">
            <v>814710</v>
          </cell>
        </row>
        <row r="609">
          <cell r="A609" t="str">
            <v>1518</v>
          </cell>
          <cell r="B609" t="str">
            <v>山本　博　　　　</v>
          </cell>
          <cell r="C609">
            <v>803580</v>
          </cell>
          <cell r="D609">
            <v>875220</v>
          </cell>
          <cell r="E609">
            <v>1678800</v>
          </cell>
          <cell r="F609">
            <v>3830970</v>
          </cell>
          <cell r="G609">
            <v>5509770</v>
          </cell>
          <cell r="H609">
            <v>889650</v>
          </cell>
        </row>
        <row r="610">
          <cell r="A610" t="str">
            <v>2582</v>
          </cell>
          <cell r="B610" t="str">
            <v>多田　智　　　　</v>
          </cell>
          <cell r="C610">
            <v>711350</v>
          </cell>
          <cell r="D610">
            <v>874440</v>
          </cell>
          <cell r="E610">
            <v>1585790</v>
          </cell>
          <cell r="F610">
            <v>3976289</v>
          </cell>
          <cell r="G610">
            <v>5562079</v>
          </cell>
          <cell r="H610">
            <v>808400</v>
          </cell>
        </row>
        <row r="611">
          <cell r="A611" t="str">
            <v>1887</v>
          </cell>
          <cell r="B611" t="str">
            <v>川上　博　　　　</v>
          </cell>
          <cell r="C611">
            <v>772160</v>
          </cell>
          <cell r="D611">
            <v>873890</v>
          </cell>
          <cell r="E611">
            <v>1646050</v>
          </cell>
          <cell r="F611">
            <v>3782438</v>
          </cell>
          <cell r="G611">
            <v>5428488</v>
          </cell>
          <cell r="H611">
            <v>832190</v>
          </cell>
        </row>
        <row r="612">
          <cell r="A612" t="str">
            <v>2370</v>
          </cell>
          <cell r="B612" t="str">
            <v>高杉　正史　　　</v>
          </cell>
          <cell r="C612">
            <v>773520</v>
          </cell>
          <cell r="D612">
            <v>872820</v>
          </cell>
          <cell r="E612">
            <v>1646340</v>
          </cell>
          <cell r="F612">
            <v>3770219</v>
          </cell>
          <cell r="G612">
            <v>5416559</v>
          </cell>
          <cell r="H612">
            <v>806930</v>
          </cell>
        </row>
        <row r="613">
          <cell r="A613" t="str">
            <v>1873</v>
          </cell>
          <cell r="B613" t="str">
            <v>村上　幸三　　　</v>
          </cell>
          <cell r="C613">
            <v>774960</v>
          </cell>
          <cell r="D613">
            <v>872170</v>
          </cell>
          <cell r="E613">
            <v>1647130</v>
          </cell>
          <cell r="F613">
            <v>3530119</v>
          </cell>
          <cell r="G613">
            <v>5177249</v>
          </cell>
          <cell r="H613">
            <v>736020</v>
          </cell>
        </row>
        <row r="614">
          <cell r="A614" t="str">
            <v>1006</v>
          </cell>
          <cell r="B614" t="str">
            <v>谷口　佳一　　　</v>
          </cell>
          <cell r="C614">
            <v>743420</v>
          </cell>
          <cell r="D614">
            <v>871830</v>
          </cell>
          <cell r="E614">
            <v>1615250</v>
          </cell>
          <cell r="F614">
            <v>4031381</v>
          </cell>
          <cell r="G614">
            <v>5646631</v>
          </cell>
          <cell r="H614">
            <v>803440</v>
          </cell>
        </row>
        <row r="615">
          <cell r="A615" t="str">
            <v>1519</v>
          </cell>
          <cell r="B615" t="str">
            <v>吉岡　茂夫　　　</v>
          </cell>
          <cell r="C615">
            <v>722820</v>
          </cell>
          <cell r="D615">
            <v>871230</v>
          </cell>
          <cell r="E615">
            <v>1594050</v>
          </cell>
          <cell r="F615">
            <v>4073459</v>
          </cell>
          <cell r="G615">
            <v>5667509</v>
          </cell>
          <cell r="H615">
            <v>803330</v>
          </cell>
        </row>
        <row r="616">
          <cell r="A616" t="str">
            <v>2142</v>
          </cell>
          <cell r="B616" t="str">
            <v>河崎　美保子　　</v>
          </cell>
          <cell r="C616">
            <v>744920</v>
          </cell>
          <cell r="D616">
            <v>870730</v>
          </cell>
          <cell r="E616">
            <v>1615650</v>
          </cell>
          <cell r="F616">
            <v>3792958</v>
          </cell>
          <cell r="G616">
            <v>5408608</v>
          </cell>
          <cell r="H616">
            <v>811940</v>
          </cell>
        </row>
        <row r="617">
          <cell r="A617" t="str">
            <v>2470</v>
          </cell>
          <cell r="B617" t="str">
            <v>楠本　寛　　　　</v>
          </cell>
          <cell r="C617">
            <v>773940</v>
          </cell>
          <cell r="D617">
            <v>869380</v>
          </cell>
          <cell r="E617">
            <v>1643320</v>
          </cell>
          <cell r="F617">
            <v>3364218</v>
          </cell>
          <cell r="G617">
            <v>5007538</v>
          </cell>
          <cell r="H617">
            <v>790050</v>
          </cell>
        </row>
        <row r="618">
          <cell r="A618" t="str">
            <v>0479</v>
          </cell>
          <cell r="B618" t="str">
            <v>木村　節夫　　　</v>
          </cell>
          <cell r="C618">
            <v>807800</v>
          </cell>
          <cell r="D618">
            <v>869050</v>
          </cell>
          <cell r="E618">
            <v>1676850</v>
          </cell>
          <cell r="F618">
            <v>4060753</v>
          </cell>
          <cell r="G618">
            <v>5737603</v>
          </cell>
          <cell r="H618">
            <v>784710</v>
          </cell>
        </row>
        <row r="619">
          <cell r="A619" t="str">
            <v>1751</v>
          </cell>
          <cell r="B619" t="str">
            <v>菊川　恵造　　　</v>
          </cell>
          <cell r="C619">
            <v>689040</v>
          </cell>
          <cell r="D619">
            <v>868770</v>
          </cell>
          <cell r="E619">
            <v>1557810</v>
          </cell>
          <cell r="F619">
            <v>3750104</v>
          </cell>
          <cell r="G619">
            <v>5307914</v>
          </cell>
          <cell r="H619">
            <v>765630</v>
          </cell>
        </row>
        <row r="620">
          <cell r="A620" t="str">
            <v>1351</v>
          </cell>
          <cell r="B620" t="str">
            <v>森　剛敬　　　　</v>
          </cell>
          <cell r="C620">
            <v>927500</v>
          </cell>
          <cell r="D620">
            <v>868220</v>
          </cell>
          <cell r="E620">
            <v>1795720</v>
          </cell>
          <cell r="F620">
            <v>4181368</v>
          </cell>
          <cell r="G620">
            <v>5977088</v>
          </cell>
          <cell r="H620">
            <v>971200</v>
          </cell>
        </row>
        <row r="621">
          <cell r="A621" t="str">
            <v>2900</v>
          </cell>
          <cell r="B621" t="str">
            <v>佐藤　直己　　　</v>
          </cell>
          <cell r="C621">
            <v>780240</v>
          </cell>
          <cell r="D621">
            <v>867730</v>
          </cell>
          <cell r="E621">
            <v>1647970</v>
          </cell>
          <cell r="F621">
            <v>3915428</v>
          </cell>
          <cell r="G621">
            <v>5563398</v>
          </cell>
          <cell r="H621">
            <v>753070</v>
          </cell>
        </row>
        <row r="622">
          <cell r="A622" t="str">
            <v>2741</v>
          </cell>
          <cell r="B622" t="str">
            <v>池田　信次　　　</v>
          </cell>
          <cell r="C622">
            <v>755900</v>
          </cell>
          <cell r="D622">
            <v>867700</v>
          </cell>
          <cell r="E622">
            <v>1623600</v>
          </cell>
          <cell r="F622">
            <v>3437272</v>
          </cell>
          <cell r="G622">
            <v>5060872</v>
          </cell>
          <cell r="H622">
            <v>764690</v>
          </cell>
        </row>
        <row r="623">
          <cell r="A623" t="str">
            <v>2353</v>
          </cell>
          <cell r="B623" t="str">
            <v>安達　友秋　　　</v>
          </cell>
          <cell r="C623">
            <v>783120</v>
          </cell>
          <cell r="D623">
            <v>867700</v>
          </cell>
          <cell r="E623">
            <v>1650820</v>
          </cell>
          <cell r="F623">
            <v>3447565</v>
          </cell>
          <cell r="G623">
            <v>5098385</v>
          </cell>
          <cell r="H623">
            <v>823270</v>
          </cell>
        </row>
        <row r="624">
          <cell r="A624" t="str">
            <v>3251</v>
          </cell>
          <cell r="B624" t="str">
            <v>林崎　巖　　　　</v>
          </cell>
          <cell r="C624">
            <v>689730</v>
          </cell>
          <cell r="D624">
            <v>866980</v>
          </cell>
          <cell r="E624">
            <v>1556710</v>
          </cell>
          <cell r="F624">
            <v>3402153</v>
          </cell>
          <cell r="G624">
            <v>4958863</v>
          </cell>
          <cell r="H624">
            <v>676400</v>
          </cell>
        </row>
        <row r="625">
          <cell r="A625" t="str">
            <v>2014</v>
          </cell>
          <cell r="B625" t="str">
            <v>小林　忠治　　　</v>
          </cell>
          <cell r="C625">
            <v>762910</v>
          </cell>
          <cell r="D625">
            <v>865610</v>
          </cell>
          <cell r="E625">
            <v>1628520</v>
          </cell>
          <cell r="F625">
            <v>4884390</v>
          </cell>
          <cell r="G625">
            <v>6512910</v>
          </cell>
          <cell r="H625">
            <v>776940</v>
          </cell>
        </row>
        <row r="626">
          <cell r="A626" t="str">
            <v>0343</v>
          </cell>
          <cell r="B626" t="str">
            <v>小林　勝　　　　</v>
          </cell>
          <cell r="C626">
            <v>775790</v>
          </cell>
          <cell r="D626">
            <v>864900</v>
          </cell>
          <cell r="E626">
            <v>1640690</v>
          </cell>
          <cell r="F626">
            <v>3889488</v>
          </cell>
          <cell r="G626">
            <v>5530178</v>
          </cell>
          <cell r="H626">
            <v>792760</v>
          </cell>
        </row>
        <row r="627">
          <cell r="A627" t="str">
            <v>0955</v>
          </cell>
          <cell r="B627" t="str">
            <v>川上　正雄　　　</v>
          </cell>
          <cell r="C627">
            <v>741790</v>
          </cell>
          <cell r="D627">
            <v>864460</v>
          </cell>
          <cell r="E627">
            <v>1606250</v>
          </cell>
          <cell r="F627">
            <v>3481100</v>
          </cell>
          <cell r="G627">
            <v>5087350</v>
          </cell>
          <cell r="H627">
            <v>853350</v>
          </cell>
        </row>
        <row r="628">
          <cell r="A628" t="str">
            <v>3088</v>
          </cell>
          <cell r="B628" t="str">
            <v>寺岡　修二　　　</v>
          </cell>
          <cell r="C628">
            <v>732990</v>
          </cell>
          <cell r="D628">
            <v>864460</v>
          </cell>
          <cell r="E628">
            <v>1597450</v>
          </cell>
          <cell r="F628">
            <v>4682560</v>
          </cell>
          <cell r="G628">
            <v>6280010</v>
          </cell>
          <cell r="H628">
            <v>788820</v>
          </cell>
        </row>
        <row r="629">
          <cell r="A629" t="str">
            <v>0241</v>
          </cell>
          <cell r="B629" t="str">
            <v>木下　力雄　　　</v>
          </cell>
          <cell r="C629">
            <v>726800</v>
          </cell>
          <cell r="D629">
            <v>863990</v>
          </cell>
          <cell r="E629">
            <v>1590790</v>
          </cell>
          <cell r="F629">
            <v>3914742</v>
          </cell>
          <cell r="G629">
            <v>5505532</v>
          </cell>
          <cell r="H629">
            <v>618380</v>
          </cell>
        </row>
        <row r="630">
          <cell r="A630" t="str">
            <v>2361</v>
          </cell>
          <cell r="B630" t="str">
            <v>尾崎　秀樹　　　</v>
          </cell>
          <cell r="C630">
            <v>748020</v>
          </cell>
          <cell r="D630">
            <v>863730</v>
          </cell>
          <cell r="E630">
            <v>1611750</v>
          </cell>
          <cell r="F630">
            <v>3740140</v>
          </cell>
          <cell r="G630">
            <v>5351890</v>
          </cell>
          <cell r="H630">
            <v>784430</v>
          </cell>
        </row>
        <row r="631">
          <cell r="A631" t="str">
            <v>1922</v>
          </cell>
          <cell r="B631" t="str">
            <v>吉山　進一　　　</v>
          </cell>
          <cell r="C631">
            <v>755540</v>
          </cell>
          <cell r="D631">
            <v>861250</v>
          </cell>
          <cell r="E631">
            <v>1616790</v>
          </cell>
          <cell r="F631">
            <v>4022919</v>
          </cell>
          <cell r="G631">
            <v>5639709</v>
          </cell>
          <cell r="H631">
            <v>779610</v>
          </cell>
        </row>
        <row r="632">
          <cell r="A632" t="str">
            <v>2067</v>
          </cell>
          <cell r="B632" t="str">
            <v>岡崎　敏彦　　　</v>
          </cell>
          <cell r="C632">
            <v>776530</v>
          </cell>
          <cell r="D632">
            <v>860860</v>
          </cell>
          <cell r="E632">
            <v>1637390</v>
          </cell>
          <cell r="F632">
            <v>3565770</v>
          </cell>
          <cell r="G632">
            <v>5203160</v>
          </cell>
          <cell r="H632">
            <v>757000</v>
          </cell>
        </row>
        <row r="633">
          <cell r="A633" t="str">
            <v>2196</v>
          </cell>
          <cell r="B633" t="str">
            <v>内　貴文　　　　</v>
          </cell>
          <cell r="C633">
            <v>790440</v>
          </cell>
          <cell r="D633">
            <v>860830</v>
          </cell>
          <cell r="E633">
            <v>1651270</v>
          </cell>
          <cell r="F633">
            <v>3747040</v>
          </cell>
          <cell r="G633">
            <v>5398310</v>
          </cell>
          <cell r="H633">
            <v>796030</v>
          </cell>
        </row>
        <row r="634">
          <cell r="A634" t="str">
            <v>2216</v>
          </cell>
          <cell r="B634" t="str">
            <v>堀内　元義　　　</v>
          </cell>
          <cell r="C634">
            <v>776390</v>
          </cell>
          <cell r="D634">
            <v>860110</v>
          </cell>
          <cell r="E634">
            <v>1636500</v>
          </cell>
          <cell r="F634">
            <v>3662340</v>
          </cell>
          <cell r="G634">
            <v>5298840</v>
          </cell>
          <cell r="H634">
            <v>755810</v>
          </cell>
        </row>
        <row r="635">
          <cell r="A635" t="str">
            <v>1822</v>
          </cell>
          <cell r="B635" t="str">
            <v>奥井　敏夫　　　</v>
          </cell>
          <cell r="C635">
            <v>773340</v>
          </cell>
          <cell r="D635">
            <v>859720</v>
          </cell>
          <cell r="E635">
            <v>1633060</v>
          </cell>
          <cell r="F635">
            <v>3954354</v>
          </cell>
          <cell r="G635">
            <v>5587414</v>
          </cell>
          <cell r="H635">
            <v>793310</v>
          </cell>
        </row>
        <row r="636">
          <cell r="A636" t="str">
            <v>2461</v>
          </cell>
          <cell r="B636" t="str">
            <v>占部　秀紀　　　</v>
          </cell>
          <cell r="C636">
            <v>742150</v>
          </cell>
          <cell r="D636">
            <v>858990</v>
          </cell>
          <cell r="E636">
            <v>1601140</v>
          </cell>
          <cell r="F636">
            <v>3731249</v>
          </cell>
          <cell r="G636">
            <v>5332389</v>
          </cell>
          <cell r="H636">
            <v>720380</v>
          </cell>
        </row>
        <row r="637">
          <cell r="A637" t="str">
            <v>2013</v>
          </cell>
          <cell r="B637" t="str">
            <v>岩崎　忠夫　　　</v>
          </cell>
          <cell r="C637">
            <v>742520</v>
          </cell>
          <cell r="D637">
            <v>858410</v>
          </cell>
          <cell r="E637">
            <v>1600930</v>
          </cell>
          <cell r="F637">
            <v>4298725</v>
          </cell>
          <cell r="G637">
            <v>5899655</v>
          </cell>
          <cell r="H637">
            <v>781120</v>
          </cell>
        </row>
        <row r="638">
          <cell r="A638" t="str">
            <v>1804</v>
          </cell>
          <cell r="B638" t="str">
            <v>黒川　賢治　　　</v>
          </cell>
          <cell r="C638">
            <v>700410</v>
          </cell>
          <cell r="D638">
            <v>857980</v>
          </cell>
          <cell r="E638">
            <v>1558390</v>
          </cell>
          <cell r="F638">
            <v>3861428</v>
          </cell>
          <cell r="G638">
            <v>5419818</v>
          </cell>
          <cell r="H638">
            <v>779690</v>
          </cell>
        </row>
        <row r="639">
          <cell r="A639" t="str">
            <v>2502</v>
          </cell>
          <cell r="B639" t="str">
            <v>米倉　壽人　　　</v>
          </cell>
          <cell r="C639">
            <v>700410</v>
          </cell>
          <cell r="D639">
            <v>857980</v>
          </cell>
          <cell r="E639">
            <v>1558390</v>
          </cell>
          <cell r="F639">
            <v>3120108</v>
          </cell>
          <cell r="G639">
            <v>4678498</v>
          </cell>
          <cell r="H639">
            <v>793430</v>
          </cell>
        </row>
        <row r="640">
          <cell r="A640" t="str">
            <v>1721</v>
          </cell>
          <cell r="B640" t="str">
            <v>小西　康己　　　</v>
          </cell>
          <cell r="C640">
            <v>808950</v>
          </cell>
          <cell r="D640">
            <v>856890</v>
          </cell>
          <cell r="E640">
            <v>1665840</v>
          </cell>
          <cell r="F640">
            <v>4141440</v>
          </cell>
          <cell r="G640">
            <v>5807280</v>
          </cell>
          <cell r="H640">
            <v>924900</v>
          </cell>
        </row>
        <row r="641">
          <cell r="A641" t="str">
            <v>2559</v>
          </cell>
          <cell r="B641" t="str">
            <v>帰山　藤人　　　</v>
          </cell>
          <cell r="C641">
            <v>765520</v>
          </cell>
          <cell r="D641">
            <v>856600</v>
          </cell>
          <cell r="E641">
            <v>1622120</v>
          </cell>
          <cell r="F641">
            <v>3782394</v>
          </cell>
          <cell r="G641">
            <v>5404514</v>
          </cell>
          <cell r="H641">
            <v>804550</v>
          </cell>
        </row>
        <row r="642">
          <cell r="A642" t="str">
            <v>0220</v>
          </cell>
          <cell r="B642" t="str">
            <v>片瀬　幹男　　　</v>
          </cell>
          <cell r="C642">
            <v>1054380</v>
          </cell>
          <cell r="D642">
            <v>855560</v>
          </cell>
          <cell r="E642">
            <v>1909940</v>
          </cell>
          <cell r="F642">
            <v>4741391</v>
          </cell>
          <cell r="G642">
            <v>6651331</v>
          </cell>
          <cell r="H642">
            <v>786280</v>
          </cell>
        </row>
        <row r="643">
          <cell r="A643" t="str">
            <v>2652</v>
          </cell>
          <cell r="B643" t="str">
            <v>星野　剛　　　　</v>
          </cell>
          <cell r="C643">
            <v>625820</v>
          </cell>
          <cell r="D643">
            <v>855260</v>
          </cell>
          <cell r="E643">
            <v>1481080</v>
          </cell>
          <cell r="F643">
            <v>3420353</v>
          </cell>
          <cell r="G643">
            <v>4901433</v>
          </cell>
          <cell r="H643">
            <v>719740</v>
          </cell>
        </row>
        <row r="644">
          <cell r="A644" t="str">
            <v>2202</v>
          </cell>
          <cell r="B644" t="str">
            <v>作田　暢生　　　</v>
          </cell>
          <cell r="C644">
            <v>757050</v>
          </cell>
          <cell r="D644">
            <v>855150</v>
          </cell>
          <cell r="E644">
            <v>1612200</v>
          </cell>
          <cell r="F644">
            <v>3097366</v>
          </cell>
          <cell r="G644">
            <v>4709566</v>
          </cell>
          <cell r="H644">
            <v>811590</v>
          </cell>
        </row>
        <row r="645">
          <cell r="A645" t="str">
            <v>2207</v>
          </cell>
          <cell r="B645" t="str">
            <v>田中　廣通　　　</v>
          </cell>
          <cell r="C645">
            <v>780120</v>
          </cell>
          <cell r="D645">
            <v>855150</v>
          </cell>
          <cell r="E645">
            <v>1635270</v>
          </cell>
          <cell r="F645">
            <v>3800763</v>
          </cell>
          <cell r="G645">
            <v>5436033</v>
          </cell>
          <cell r="H645">
            <v>844820</v>
          </cell>
        </row>
        <row r="646">
          <cell r="A646" t="str">
            <v>1835</v>
          </cell>
          <cell r="B646" t="str">
            <v>増村　貞次　　　</v>
          </cell>
          <cell r="C646">
            <v>746390</v>
          </cell>
          <cell r="D646">
            <v>854710</v>
          </cell>
          <cell r="E646">
            <v>1601100</v>
          </cell>
          <cell r="F646">
            <v>4302708</v>
          </cell>
          <cell r="G646">
            <v>5903808</v>
          </cell>
          <cell r="H646">
            <v>746000</v>
          </cell>
        </row>
        <row r="647">
          <cell r="A647" t="str">
            <v>3234</v>
          </cell>
          <cell r="B647" t="str">
            <v>梅津　義美　　　</v>
          </cell>
          <cell r="C647">
            <v>694450</v>
          </cell>
          <cell r="D647">
            <v>854680</v>
          </cell>
          <cell r="E647">
            <v>1549130</v>
          </cell>
          <cell r="F647">
            <v>3418614</v>
          </cell>
          <cell r="G647">
            <v>4967744</v>
          </cell>
          <cell r="H647">
            <v>789900</v>
          </cell>
        </row>
        <row r="648">
          <cell r="A648" t="str">
            <v>2219</v>
          </cell>
          <cell r="B648" t="str">
            <v>吉村　和昭　　　</v>
          </cell>
          <cell r="C648">
            <v>743070</v>
          </cell>
          <cell r="D648">
            <v>854530</v>
          </cell>
          <cell r="E648">
            <v>1597600</v>
          </cell>
          <cell r="F648">
            <v>3077118</v>
          </cell>
          <cell r="G648">
            <v>4674718</v>
          </cell>
          <cell r="H648">
            <v>762810</v>
          </cell>
        </row>
        <row r="649">
          <cell r="A649" t="str">
            <v>3086</v>
          </cell>
          <cell r="B649" t="str">
            <v>北原　正俊　　　</v>
          </cell>
          <cell r="C649">
            <v>744790</v>
          </cell>
          <cell r="D649">
            <v>854200</v>
          </cell>
          <cell r="E649">
            <v>1598990</v>
          </cell>
          <cell r="F649">
            <v>3395954</v>
          </cell>
          <cell r="G649">
            <v>4994944</v>
          </cell>
          <cell r="H649">
            <v>797700</v>
          </cell>
        </row>
        <row r="650">
          <cell r="A650" t="str">
            <v>2367</v>
          </cell>
          <cell r="B650" t="str">
            <v>小林　卓朗　　　</v>
          </cell>
          <cell r="C650">
            <v>741160</v>
          </cell>
          <cell r="D650">
            <v>852410</v>
          </cell>
          <cell r="E650">
            <v>1593570</v>
          </cell>
          <cell r="F650">
            <v>3759639</v>
          </cell>
          <cell r="G650">
            <v>5353209</v>
          </cell>
          <cell r="H650">
            <v>749580</v>
          </cell>
        </row>
        <row r="651">
          <cell r="A651" t="str">
            <v>2218</v>
          </cell>
          <cell r="B651" t="str">
            <v>山中　康英　　　</v>
          </cell>
          <cell r="C651">
            <v>743160</v>
          </cell>
          <cell r="D651">
            <v>851810</v>
          </cell>
          <cell r="E651">
            <v>1594970</v>
          </cell>
          <cell r="F651">
            <v>3262936</v>
          </cell>
          <cell r="G651">
            <v>4857906</v>
          </cell>
          <cell r="H651">
            <v>732080</v>
          </cell>
        </row>
        <row r="652">
          <cell r="A652" t="str">
            <v>2059</v>
          </cell>
          <cell r="B652" t="str">
            <v>秋岡　照久　　　</v>
          </cell>
          <cell r="C652">
            <v>789720</v>
          </cell>
          <cell r="D652">
            <v>851280</v>
          </cell>
          <cell r="E652">
            <v>1641000</v>
          </cell>
          <cell r="F652">
            <v>3479028</v>
          </cell>
          <cell r="G652">
            <v>5120028</v>
          </cell>
          <cell r="H652">
            <v>776080</v>
          </cell>
        </row>
        <row r="653">
          <cell r="A653" t="str">
            <v>2355</v>
          </cell>
          <cell r="B653" t="str">
            <v>今井　寛時　　　</v>
          </cell>
          <cell r="C653">
            <v>723770</v>
          </cell>
          <cell r="D653">
            <v>850720</v>
          </cell>
          <cell r="E653">
            <v>1574490</v>
          </cell>
          <cell r="F653">
            <v>2959853</v>
          </cell>
          <cell r="G653">
            <v>4534343</v>
          </cell>
          <cell r="H653">
            <v>747700</v>
          </cell>
        </row>
        <row r="654">
          <cell r="A654" t="str">
            <v>0995</v>
          </cell>
          <cell r="B654" t="str">
            <v>田中　博　　　　</v>
          </cell>
          <cell r="C654">
            <v>768690</v>
          </cell>
          <cell r="D654">
            <v>850150</v>
          </cell>
          <cell r="E654">
            <v>1618840</v>
          </cell>
          <cell r="F654">
            <v>4131046</v>
          </cell>
          <cell r="G654">
            <v>5749886</v>
          </cell>
          <cell r="H654">
            <v>811180</v>
          </cell>
        </row>
        <row r="655">
          <cell r="A655" t="str">
            <v>1898</v>
          </cell>
          <cell r="B655" t="str">
            <v>丹野　幸男　　　</v>
          </cell>
          <cell r="C655">
            <v>759790</v>
          </cell>
          <cell r="D655">
            <v>849370</v>
          </cell>
          <cell r="E655">
            <v>1609160</v>
          </cell>
          <cell r="F655">
            <v>3354551</v>
          </cell>
          <cell r="G655">
            <v>4963711</v>
          </cell>
          <cell r="H655">
            <v>796560</v>
          </cell>
        </row>
        <row r="656">
          <cell r="A656" t="str">
            <v>2379</v>
          </cell>
          <cell r="B656" t="str">
            <v>宮西　一仁　　　</v>
          </cell>
          <cell r="C656">
            <v>737460</v>
          </cell>
          <cell r="D656">
            <v>847190</v>
          </cell>
          <cell r="E656">
            <v>1584650</v>
          </cell>
          <cell r="F656">
            <v>3701364</v>
          </cell>
          <cell r="G656">
            <v>5286014</v>
          </cell>
          <cell r="H656">
            <v>780330</v>
          </cell>
        </row>
        <row r="657">
          <cell r="A657" t="str">
            <v>1319</v>
          </cell>
          <cell r="B657" t="str">
            <v>杉浦　宏　　　　</v>
          </cell>
          <cell r="C657">
            <v>816430</v>
          </cell>
          <cell r="D657">
            <v>846620</v>
          </cell>
          <cell r="E657">
            <v>1663050</v>
          </cell>
          <cell r="F657">
            <v>3433035</v>
          </cell>
          <cell r="G657">
            <v>5096085</v>
          </cell>
          <cell r="H657">
            <v>794000</v>
          </cell>
        </row>
        <row r="658">
          <cell r="A658" t="str">
            <v>1805</v>
          </cell>
          <cell r="B658" t="str">
            <v>阪本　利之　　　</v>
          </cell>
          <cell r="C658">
            <v>724520</v>
          </cell>
          <cell r="D658">
            <v>845970</v>
          </cell>
          <cell r="E658">
            <v>1570490</v>
          </cell>
          <cell r="F658">
            <v>3929548</v>
          </cell>
          <cell r="G658">
            <v>5500038</v>
          </cell>
          <cell r="H658">
            <v>769780</v>
          </cell>
        </row>
        <row r="659">
          <cell r="A659" t="str">
            <v>1904</v>
          </cell>
          <cell r="B659" t="str">
            <v>永瀬　融　　　　</v>
          </cell>
          <cell r="C659">
            <v>696380</v>
          </cell>
          <cell r="D659">
            <v>843600</v>
          </cell>
          <cell r="E659">
            <v>1539980</v>
          </cell>
          <cell r="F659">
            <v>3273297</v>
          </cell>
          <cell r="G659">
            <v>4813277</v>
          </cell>
          <cell r="H659">
            <v>738170</v>
          </cell>
        </row>
        <row r="660">
          <cell r="A660" t="str">
            <v>3278</v>
          </cell>
          <cell r="B660" t="str">
            <v>辻　孝　　　　　</v>
          </cell>
          <cell r="C660">
            <v>682580</v>
          </cell>
          <cell r="D660">
            <v>841730</v>
          </cell>
          <cell r="E660">
            <v>1524310</v>
          </cell>
          <cell r="F660">
            <v>4341814</v>
          </cell>
          <cell r="G660">
            <v>5866124</v>
          </cell>
          <cell r="H660">
            <v>780070</v>
          </cell>
        </row>
        <row r="661">
          <cell r="A661" t="str">
            <v>3087</v>
          </cell>
          <cell r="B661" t="str">
            <v>村上　真一　　　</v>
          </cell>
          <cell r="C661">
            <v>730650</v>
          </cell>
          <cell r="D661">
            <v>840590</v>
          </cell>
          <cell r="E661">
            <v>1571240</v>
          </cell>
          <cell r="F661">
            <v>3448688</v>
          </cell>
          <cell r="G661">
            <v>5019928</v>
          </cell>
          <cell r="H661">
            <v>673300</v>
          </cell>
        </row>
        <row r="662">
          <cell r="A662" t="str">
            <v>2595</v>
          </cell>
          <cell r="B662" t="str">
            <v>藤崎　潤造　　　</v>
          </cell>
          <cell r="C662">
            <v>712680</v>
          </cell>
          <cell r="D662">
            <v>839780</v>
          </cell>
          <cell r="E662">
            <v>1552460</v>
          </cell>
          <cell r="F662">
            <v>3476045</v>
          </cell>
          <cell r="G662">
            <v>5028505</v>
          </cell>
          <cell r="H662">
            <v>716590</v>
          </cell>
        </row>
        <row r="663">
          <cell r="A663" t="str">
            <v>3423</v>
          </cell>
          <cell r="B663" t="str">
            <v>青柿　惠二　　　</v>
          </cell>
          <cell r="C663">
            <v>749510</v>
          </cell>
          <cell r="D663">
            <v>839630</v>
          </cell>
          <cell r="E663">
            <v>1589140</v>
          </cell>
          <cell r="F663">
            <v>3682057</v>
          </cell>
          <cell r="G663">
            <v>5271197</v>
          </cell>
          <cell r="H663">
            <v>763020</v>
          </cell>
        </row>
        <row r="664">
          <cell r="A664" t="str">
            <v>2632</v>
          </cell>
          <cell r="B664" t="str">
            <v>十田　哲郎　　　</v>
          </cell>
          <cell r="C664">
            <v>730510</v>
          </cell>
          <cell r="D664">
            <v>839530</v>
          </cell>
          <cell r="E664">
            <v>1570040</v>
          </cell>
          <cell r="F664">
            <v>3778599</v>
          </cell>
          <cell r="G664">
            <v>5348639</v>
          </cell>
          <cell r="H664">
            <v>773380</v>
          </cell>
        </row>
        <row r="665">
          <cell r="A665" t="str">
            <v>0931</v>
          </cell>
          <cell r="B665" t="str">
            <v>豊久　征二　　　</v>
          </cell>
          <cell r="C665">
            <v>768610</v>
          </cell>
          <cell r="D665">
            <v>838330</v>
          </cell>
          <cell r="E665">
            <v>1606940</v>
          </cell>
          <cell r="F665">
            <v>4837413</v>
          </cell>
          <cell r="G665">
            <v>6444353</v>
          </cell>
          <cell r="H665">
            <v>781560</v>
          </cell>
        </row>
        <row r="666">
          <cell r="A666" t="str">
            <v>2556</v>
          </cell>
          <cell r="B666" t="str">
            <v>井野　智幸　　　</v>
          </cell>
          <cell r="C666">
            <v>751290</v>
          </cell>
          <cell r="D666">
            <v>838230</v>
          </cell>
          <cell r="E666">
            <v>1589520</v>
          </cell>
          <cell r="F666">
            <v>3466205</v>
          </cell>
          <cell r="G666">
            <v>5055725</v>
          </cell>
          <cell r="H666">
            <v>737120</v>
          </cell>
        </row>
        <row r="667">
          <cell r="A667" t="str">
            <v>2211</v>
          </cell>
          <cell r="B667" t="str">
            <v>長尾　晃裕　　　</v>
          </cell>
          <cell r="C667">
            <v>759790</v>
          </cell>
          <cell r="D667">
            <v>838000</v>
          </cell>
          <cell r="E667">
            <v>1597790</v>
          </cell>
          <cell r="F667">
            <v>3815718</v>
          </cell>
          <cell r="G667">
            <v>5413508</v>
          </cell>
          <cell r="H667">
            <v>799940</v>
          </cell>
        </row>
        <row r="668">
          <cell r="A668" t="str">
            <v>1173</v>
          </cell>
          <cell r="B668" t="str">
            <v>渕上　誠　　　　</v>
          </cell>
          <cell r="C668">
            <v>785960</v>
          </cell>
          <cell r="D668">
            <v>837880</v>
          </cell>
          <cell r="E668">
            <v>1623840</v>
          </cell>
          <cell r="F668">
            <v>4032860</v>
          </cell>
          <cell r="G668">
            <v>5656700</v>
          </cell>
          <cell r="H668">
            <v>799480</v>
          </cell>
        </row>
        <row r="669">
          <cell r="A669" t="str">
            <v>3430</v>
          </cell>
          <cell r="B669" t="str">
            <v>菊岡　勝司　　　</v>
          </cell>
          <cell r="C669">
            <v>762390</v>
          </cell>
          <cell r="D669">
            <v>837440</v>
          </cell>
          <cell r="E669">
            <v>1599830</v>
          </cell>
          <cell r="F669">
            <v>4355282</v>
          </cell>
          <cell r="G669">
            <v>5955112</v>
          </cell>
          <cell r="H669">
            <v>754020</v>
          </cell>
        </row>
        <row r="670">
          <cell r="A670" t="str">
            <v>2569</v>
          </cell>
          <cell r="B670" t="str">
            <v>稲石　英郎　　　</v>
          </cell>
          <cell r="C670">
            <v>707600</v>
          </cell>
          <cell r="D670">
            <v>836440</v>
          </cell>
          <cell r="E670">
            <v>1544040</v>
          </cell>
          <cell r="F670">
            <v>3509810</v>
          </cell>
          <cell r="G670">
            <v>5053850</v>
          </cell>
          <cell r="H670">
            <v>740640</v>
          </cell>
        </row>
        <row r="671">
          <cell r="A671" t="str">
            <v>1646</v>
          </cell>
          <cell r="B671" t="str">
            <v>仲田　貞夫　　　</v>
          </cell>
          <cell r="C671">
            <v>783130</v>
          </cell>
          <cell r="D671">
            <v>836040</v>
          </cell>
          <cell r="E671">
            <v>1619170</v>
          </cell>
          <cell r="F671">
            <v>3517800</v>
          </cell>
          <cell r="G671">
            <v>5136970</v>
          </cell>
          <cell r="H671">
            <v>785250</v>
          </cell>
        </row>
        <row r="672">
          <cell r="A672" t="str">
            <v>2073</v>
          </cell>
          <cell r="B672" t="str">
            <v>嶋崎　真司　　　</v>
          </cell>
          <cell r="C672">
            <v>712660</v>
          </cell>
          <cell r="D672">
            <v>835840</v>
          </cell>
          <cell r="E672">
            <v>1548500</v>
          </cell>
          <cell r="F672">
            <v>3374557</v>
          </cell>
          <cell r="G672">
            <v>4923057</v>
          </cell>
          <cell r="H672">
            <v>760570</v>
          </cell>
        </row>
        <row r="673">
          <cell r="A673" t="str">
            <v>2373</v>
          </cell>
          <cell r="B673" t="str">
            <v>中村　範彦　　　</v>
          </cell>
          <cell r="C673">
            <v>726640</v>
          </cell>
          <cell r="D673">
            <v>835680</v>
          </cell>
          <cell r="E673">
            <v>1562320</v>
          </cell>
          <cell r="F673">
            <v>3654712</v>
          </cell>
          <cell r="G673">
            <v>5217032</v>
          </cell>
          <cell r="H673">
            <v>782030</v>
          </cell>
        </row>
        <row r="674">
          <cell r="A674" t="str">
            <v>1749</v>
          </cell>
          <cell r="B674" t="str">
            <v>小澤　輝夫　　　</v>
          </cell>
          <cell r="C674">
            <v>702350</v>
          </cell>
          <cell r="D674">
            <v>834450</v>
          </cell>
          <cell r="E674">
            <v>1536800</v>
          </cell>
          <cell r="F674">
            <v>3916764</v>
          </cell>
          <cell r="G674">
            <v>5453564</v>
          </cell>
          <cell r="H674">
            <v>757850</v>
          </cell>
        </row>
        <row r="675">
          <cell r="A675" t="str">
            <v>2273</v>
          </cell>
          <cell r="B675" t="str">
            <v>難波　明宏　　　</v>
          </cell>
          <cell r="C675">
            <v>738540</v>
          </cell>
          <cell r="D675">
            <v>831590</v>
          </cell>
          <cell r="E675">
            <v>1570130</v>
          </cell>
          <cell r="F675">
            <v>3462415</v>
          </cell>
          <cell r="G675">
            <v>5032545</v>
          </cell>
          <cell r="H675">
            <v>687690</v>
          </cell>
        </row>
        <row r="676">
          <cell r="A676" t="str">
            <v>1639</v>
          </cell>
          <cell r="B676" t="str">
            <v>斎藤　繁　　　　</v>
          </cell>
          <cell r="C676">
            <v>722820</v>
          </cell>
          <cell r="D676">
            <v>831570</v>
          </cell>
          <cell r="E676">
            <v>1554390</v>
          </cell>
          <cell r="F676">
            <v>4784795</v>
          </cell>
          <cell r="G676">
            <v>6339185</v>
          </cell>
          <cell r="H676">
            <v>756690</v>
          </cell>
        </row>
        <row r="677">
          <cell r="A677" t="str">
            <v>1948</v>
          </cell>
          <cell r="B677" t="str">
            <v>山本　朗　　　　</v>
          </cell>
          <cell r="C677">
            <v>736790</v>
          </cell>
          <cell r="D677">
            <v>831390</v>
          </cell>
          <cell r="E677">
            <v>1568180</v>
          </cell>
          <cell r="F677">
            <v>3094680</v>
          </cell>
          <cell r="G677">
            <v>4662860</v>
          </cell>
          <cell r="H677">
            <v>769560</v>
          </cell>
        </row>
        <row r="678">
          <cell r="A678" t="str">
            <v>2042</v>
          </cell>
          <cell r="B678" t="str">
            <v>松本　稔　　　　</v>
          </cell>
          <cell r="C678">
            <v>760390</v>
          </cell>
          <cell r="D678">
            <v>830770</v>
          </cell>
          <cell r="E678">
            <v>1591160</v>
          </cell>
          <cell r="F678">
            <v>5159016</v>
          </cell>
          <cell r="G678">
            <v>6750176</v>
          </cell>
          <cell r="H678">
            <v>773830</v>
          </cell>
        </row>
        <row r="679">
          <cell r="A679" t="str">
            <v>2649</v>
          </cell>
          <cell r="B679" t="str">
            <v>福田　民人　　　</v>
          </cell>
          <cell r="C679">
            <v>632170</v>
          </cell>
          <cell r="D679">
            <v>830620</v>
          </cell>
          <cell r="E679">
            <v>1462790</v>
          </cell>
          <cell r="F679">
            <v>2824024</v>
          </cell>
          <cell r="G679">
            <v>4286814</v>
          </cell>
          <cell r="H679">
            <v>763470</v>
          </cell>
        </row>
        <row r="680">
          <cell r="A680" t="str">
            <v>1921</v>
          </cell>
          <cell r="B680" t="str">
            <v>吉田　勝彦　　　</v>
          </cell>
          <cell r="C680">
            <v>700410</v>
          </cell>
          <cell r="D680">
            <v>829140</v>
          </cell>
          <cell r="E680">
            <v>1529550</v>
          </cell>
          <cell r="F680">
            <v>3540403</v>
          </cell>
          <cell r="G680">
            <v>5069953</v>
          </cell>
          <cell r="H680">
            <v>731090</v>
          </cell>
        </row>
        <row r="681">
          <cell r="A681" t="str">
            <v>2457</v>
          </cell>
          <cell r="B681" t="str">
            <v>伊地知　治　　　</v>
          </cell>
          <cell r="C681">
            <v>640510</v>
          </cell>
          <cell r="D681">
            <v>828670</v>
          </cell>
          <cell r="E681">
            <v>1469180</v>
          </cell>
          <cell r="F681">
            <v>2974575</v>
          </cell>
          <cell r="G681">
            <v>4443755</v>
          </cell>
          <cell r="H681">
            <v>662250</v>
          </cell>
        </row>
        <row r="682">
          <cell r="A682" t="str">
            <v>2638</v>
          </cell>
          <cell r="B682" t="str">
            <v>田中　秀穂　　　</v>
          </cell>
          <cell r="C682">
            <v>628990</v>
          </cell>
          <cell r="D682">
            <v>828670</v>
          </cell>
          <cell r="E682">
            <v>1457660</v>
          </cell>
          <cell r="F682">
            <v>3193492</v>
          </cell>
          <cell r="G682">
            <v>4651152</v>
          </cell>
          <cell r="H682">
            <v>719740</v>
          </cell>
        </row>
        <row r="683">
          <cell r="A683" t="str">
            <v>2644</v>
          </cell>
          <cell r="B683" t="str">
            <v>長谷川　徹　　　</v>
          </cell>
          <cell r="C683">
            <v>615220</v>
          </cell>
          <cell r="D683">
            <v>826600</v>
          </cell>
          <cell r="E683">
            <v>1441820</v>
          </cell>
          <cell r="F683">
            <v>2806505</v>
          </cell>
          <cell r="G683">
            <v>4248325</v>
          </cell>
          <cell r="H683">
            <v>683420</v>
          </cell>
        </row>
        <row r="684">
          <cell r="A684" t="str">
            <v>2625</v>
          </cell>
          <cell r="B684" t="str">
            <v>榊原　志典　　　</v>
          </cell>
          <cell r="C684">
            <v>606030</v>
          </cell>
          <cell r="D684">
            <v>826600</v>
          </cell>
          <cell r="E684">
            <v>1432630</v>
          </cell>
          <cell r="F684">
            <v>3613599</v>
          </cell>
          <cell r="G684">
            <v>5046229</v>
          </cell>
          <cell r="H684">
            <v>759850</v>
          </cell>
        </row>
        <row r="685">
          <cell r="A685" t="str">
            <v>1643</v>
          </cell>
          <cell r="B685" t="str">
            <v>原　秀光　　　　</v>
          </cell>
          <cell r="C685">
            <v>712020</v>
          </cell>
          <cell r="D685">
            <v>824870</v>
          </cell>
          <cell r="E685">
            <v>1536890</v>
          </cell>
          <cell r="F685">
            <v>3167810</v>
          </cell>
          <cell r="G685">
            <v>4704700</v>
          </cell>
          <cell r="H685">
            <v>750600</v>
          </cell>
        </row>
        <row r="686">
          <cell r="A686" t="str">
            <v>2261</v>
          </cell>
          <cell r="B686" t="str">
            <v>岡本　尚人　　　</v>
          </cell>
          <cell r="C686">
            <v>720910</v>
          </cell>
          <cell r="D686">
            <v>824180</v>
          </cell>
          <cell r="E686">
            <v>1545090</v>
          </cell>
          <cell r="F686">
            <v>3888614</v>
          </cell>
          <cell r="G686">
            <v>5433704</v>
          </cell>
          <cell r="H686">
            <v>719320</v>
          </cell>
        </row>
        <row r="687">
          <cell r="A687" t="str">
            <v>2488</v>
          </cell>
          <cell r="B687" t="str">
            <v>西本　和実　　　</v>
          </cell>
          <cell r="C687">
            <v>693850</v>
          </cell>
          <cell r="D687">
            <v>824180</v>
          </cell>
          <cell r="E687">
            <v>1518030</v>
          </cell>
          <cell r="F687">
            <v>3385142</v>
          </cell>
          <cell r="G687">
            <v>4903172</v>
          </cell>
          <cell r="H687">
            <v>786670</v>
          </cell>
        </row>
        <row r="688">
          <cell r="A688" t="str">
            <v>1698</v>
          </cell>
          <cell r="B688" t="str">
            <v>上総　二夫　　　</v>
          </cell>
          <cell r="C688">
            <v>705410</v>
          </cell>
          <cell r="D688">
            <v>822420</v>
          </cell>
          <cell r="E688">
            <v>1527830</v>
          </cell>
          <cell r="F688">
            <v>3888022</v>
          </cell>
          <cell r="G688">
            <v>5415852</v>
          </cell>
          <cell r="H688">
            <v>746770</v>
          </cell>
        </row>
        <row r="689">
          <cell r="A689" t="str">
            <v>2383</v>
          </cell>
          <cell r="B689" t="str">
            <v>山本　昇　　　　</v>
          </cell>
          <cell r="C689">
            <v>702140</v>
          </cell>
          <cell r="D689">
            <v>821560</v>
          </cell>
          <cell r="E689">
            <v>1523700</v>
          </cell>
          <cell r="F689">
            <v>3355850</v>
          </cell>
          <cell r="G689">
            <v>4879550</v>
          </cell>
          <cell r="H689">
            <v>759450</v>
          </cell>
        </row>
        <row r="690">
          <cell r="A690" t="str">
            <v>2214</v>
          </cell>
          <cell r="B690" t="str">
            <v>橋詰　敏郎　　　</v>
          </cell>
          <cell r="C690">
            <v>703710</v>
          </cell>
          <cell r="D690">
            <v>821280</v>
          </cell>
          <cell r="E690">
            <v>1524990</v>
          </cell>
          <cell r="F690">
            <v>3455290</v>
          </cell>
          <cell r="G690">
            <v>4980280</v>
          </cell>
          <cell r="H690">
            <v>759790</v>
          </cell>
        </row>
        <row r="691">
          <cell r="A691" t="str">
            <v>1949</v>
          </cell>
          <cell r="B691" t="str">
            <v>山下　均　　　　</v>
          </cell>
          <cell r="C691">
            <v>717140</v>
          </cell>
          <cell r="D691">
            <v>820840</v>
          </cell>
          <cell r="E691">
            <v>1537980</v>
          </cell>
          <cell r="F691">
            <v>3961375</v>
          </cell>
          <cell r="G691">
            <v>5499355</v>
          </cell>
          <cell r="H691">
            <v>746910</v>
          </cell>
        </row>
        <row r="692">
          <cell r="A692" t="str">
            <v>2479</v>
          </cell>
          <cell r="B692" t="str">
            <v>高橋　和則　　　</v>
          </cell>
          <cell r="C692">
            <v>742960</v>
          </cell>
          <cell r="D692">
            <v>820380</v>
          </cell>
          <cell r="E692">
            <v>1563340</v>
          </cell>
          <cell r="F692">
            <v>3119817</v>
          </cell>
          <cell r="G692">
            <v>4683157</v>
          </cell>
          <cell r="H692">
            <v>744170</v>
          </cell>
        </row>
        <row r="693">
          <cell r="A693" t="str">
            <v>2486</v>
          </cell>
          <cell r="B693" t="str">
            <v>長野　光久　　　</v>
          </cell>
          <cell r="C693">
            <v>695650</v>
          </cell>
          <cell r="D693">
            <v>820380</v>
          </cell>
          <cell r="E693">
            <v>1516030</v>
          </cell>
          <cell r="F693">
            <v>3418340</v>
          </cell>
          <cell r="G693">
            <v>4934370</v>
          </cell>
          <cell r="H693">
            <v>744170</v>
          </cell>
        </row>
        <row r="694">
          <cell r="A694" t="str">
            <v>2560</v>
          </cell>
          <cell r="B694" t="str">
            <v>能代　達哉　　　</v>
          </cell>
          <cell r="C694">
            <v>605980</v>
          </cell>
          <cell r="D694">
            <v>820220</v>
          </cell>
          <cell r="E694">
            <v>1426200</v>
          </cell>
          <cell r="F694">
            <v>3206931</v>
          </cell>
          <cell r="G694">
            <v>4633131</v>
          </cell>
          <cell r="H694">
            <v>735810</v>
          </cell>
        </row>
        <row r="695">
          <cell r="A695" t="str">
            <v>2371</v>
          </cell>
          <cell r="B695" t="str">
            <v>高橋　真浩　　　</v>
          </cell>
          <cell r="C695">
            <v>712290</v>
          </cell>
          <cell r="D695">
            <v>818000</v>
          </cell>
          <cell r="E695">
            <v>1530290</v>
          </cell>
          <cell r="F695">
            <v>2958560</v>
          </cell>
          <cell r="G695">
            <v>4488850</v>
          </cell>
          <cell r="H695">
            <v>743360</v>
          </cell>
        </row>
        <row r="696">
          <cell r="A696" t="str">
            <v>1205</v>
          </cell>
          <cell r="B696" t="str">
            <v>遠藤　泰子　　　</v>
          </cell>
          <cell r="C696">
            <v>706850</v>
          </cell>
          <cell r="D696">
            <v>817210</v>
          </cell>
          <cell r="E696">
            <v>1524060</v>
          </cell>
          <cell r="F696">
            <v>3469959</v>
          </cell>
          <cell r="G696">
            <v>4994019</v>
          </cell>
          <cell r="H696">
            <v>718420</v>
          </cell>
        </row>
        <row r="697">
          <cell r="A697" t="str">
            <v>1819</v>
          </cell>
          <cell r="B697" t="str">
            <v>香川　昌和　　　</v>
          </cell>
          <cell r="C697">
            <v>729810</v>
          </cell>
          <cell r="D697">
            <v>817140</v>
          </cell>
          <cell r="E697">
            <v>1546950</v>
          </cell>
          <cell r="F697">
            <v>3750982</v>
          </cell>
          <cell r="G697">
            <v>5297932</v>
          </cell>
          <cell r="H697">
            <v>788040</v>
          </cell>
        </row>
        <row r="698">
          <cell r="A698" t="str">
            <v>0430</v>
          </cell>
          <cell r="B698" t="str">
            <v>坂本　村子　　　</v>
          </cell>
          <cell r="C698">
            <v>683680</v>
          </cell>
          <cell r="D698">
            <v>816800</v>
          </cell>
          <cell r="E698">
            <v>1500480</v>
          </cell>
          <cell r="F698">
            <v>3805750</v>
          </cell>
          <cell r="G698">
            <v>5306230</v>
          </cell>
          <cell r="H698">
            <v>729800</v>
          </cell>
        </row>
        <row r="699">
          <cell r="A699" t="str">
            <v>1758</v>
          </cell>
          <cell r="B699" t="str">
            <v>涌島　武志　　　</v>
          </cell>
          <cell r="C699">
            <v>721820</v>
          </cell>
          <cell r="D699">
            <v>816660</v>
          </cell>
          <cell r="E699">
            <v>1538480</v>
          </cell>
          <cell r="F699">
            <v>4530121</v>
          </cell>
          <cell r="G699">
            <v>6068601</v>
          </cell>
          <cell r="H699">
            <v>753490</v>
          </cell>
        </row>
        <row r="700">
          <cell r="A700" t="str">
            <v>1708</v>
          </cell>
          <cell r="B700" t="str">
            <v>田阪　正之　　　</v>
          </cell>
          <cell r="C700">
            <v>715840</v>
          </cell>
          <cell r="D700">
            <v>816590</v>
          </cell>
          <cell r="E700">
            <v>1532430</v>
          </cell>
          <cell r="F700">
            <v>3920425</v>
          </cell>
          <cell r="G700">
            <v>5452855</v>
          </cell>
          <cell r="H700">
            <v>744440</v>
          </cell>
        </row>
        <row r="701">
          <cell r="A701" t="str">
            <v>2274</v>
          </cell>
          <cell r="B701" t="str">
            <v>西谷　秋義　　　</v>
          </cell>
          <cell r="C701">
            <v>740100</v>
          </cell>
          <cell r="D701">
            <v>816410</v>
          </cell>
          <cell r="E701">
            <v>1556510</v>
          </cell>
          <cell r="F701">
            <v>3646194</v>
          </cell>
          <cell r="G701">
            <v>5202704</v>
          </cell>
          <cell r="H701">
            <v>756510</v>
          </cell>
        </row>
        <row r="702">
          <cell r="A702" t="str">
            <v>2722</v>
          </cell>
          <cell r="B702" t="str">
            <v>佐藤　淳　　　　</v>
          </cell>
          <cell r="C702">
            <v>690580</v>
          </cell>
          <cell r="D702">
            <v>816360</v>
          </cell>
          <cell r="E702">
            <v>1506940</v>
          </cell>
          <cell r="F702">
            <v>3713452</v>
          </cell>
          <cell r="G702">
            <v>5220392</v>
          </cell>
          <cell r="H702">
            <v>728920</v>
          </cell>
        </row>
        <row r="703">
          <cell r="A703" t="str">
            <v>0906</v>
          </cell>
          <cell r="B703" t="str">
            <v>眞柄　忠彦　　　</v>
          </cell>
          <cell r="C703">
            <v>812550</v>
          </cell>
          <cell r="D703">
            <v>816200</v>
          </cell>
          <cell r="E703">
            <v>1628750</v>
          </cell>
          <cell r="F703">
            <v>4308612</v>
          </cell>
          <cell r="G703">
            <v>5937362</v>
          </cell>
          <cell r="H703">
            <v>782080</v>
          </cell>
        </row>
        <row r="704">
          <cell r="A704" t="str">
            <v>3425</v>
          </cell>
          <cell r="B704" t="str">
            <v>浜本　純子　　　</v>
          </cell>
          <cell r="C704">
            <v>734600</v>
          </cell>
          <cell r="D704">
            <v>815470</v>
          </cell>
          <cell r="E704">
            <v>1550070</v>
          </cell>
          <cell r="F704">
            <v>3146554</v>
          </cell>
          <cell r="G704">
            <v>4696624</v>
          </cell>
          <cell r="H704">
            <v>743500</v>
          </cell>
        </row>
        <row r="705">
          <cell r="A705" t="str">
            <v>2617</v>
          </cell>
          <cell r="B705" t="str">
            <v>尾川　由洋　　　</v>
          </cell>
          <cell r="C705">
            <v>621430</v>
          </cell>
          <cell r="D705">
            <v>814550</v>
          </cell>
          <cell r="E705">
            <v>1435980</v>
          </cell>
          <cell r="F705">
            <v>2866088</v>
          </cell>
          <cell r="G705">
            <v>4302068</v>
          </cell>
          <cell r="H705">
            <v>737120</v>
          </cell>
        </row>
        <row r="706">
          <cell r="A706" t="str">
            <v>2372</v>
          </cell>
          <cell r="B706" t="str">
            <v>寺原　浩　　　　</v>
          </cell>
          <cell r="C706">
            <v>720370</v>
          </cell>
          <cell r="D706">
            <v>814420</v>
          </cell>
          <cell r="E706">
            <v>1534790</v>
          </cell>
          <cell r="F706">
            <v>3624129</v>
          </cell>
          <cell r="G706">
            <v>5158919</v>
          </cell>
          <cell r="H706">
            <v>697830</v>
          </cell>
        </row>
        <row r="707">
          <cell r="A707" t="str">
            <v>2201</v>
          </cell>
          <cell r="B707" t="str">
            <v>斉藤　努　　　　</v>
          </cell>
          <cell r="C707">
            <v>631930</v>
          </cell>
          <cell r="D707">
            <v>814230</v>
          </cell>
          <cell r="E707">
            <v>1446160</v>
          </cell>
          <cell r="F707">
            <v>3273616</v>
          </cell>
          <cell r="G707">
            <v>4719776</v>
          </cell>
          <cell r="H707">
            <v>727160</v>
          </cell>
        </row>
        <row r="708">
          <cell r="A708" t="str">
            <v>2482</v>
          </cell>
          <cell r="B708" t="str">
            <v>道羅　泰志　　　</v>
          </cell>
          <cell r="C708">
            <v>671470</v>
          </cell>
          <cell r="D708">
            <v>812740</v>
          </cell>
          <cell r="E708">
            <v>1484210</v>
          </cell>
          <cell r="F708">
            <v>3228215</v>
          </cell>
          <cell r="G708">
            <v>4712425</v>
          </cell>
          <cell r="H708">
            <v>772840</v>
          </cell>
        </row>
        <row r="709">
          <cell r="A709" t="str">
            <v>0165</v>
          </cell>
          <cell r="B709" t="str">
            <v>大政　友明　　　</v>
          </cell>
          <cell r="C709">
            <v>756520</v>
          </cell>
          <cell r="D709">
            <v>812420</v>
          </cell>
          <cell r="E709">
            <v>1568940</v>
          </cell>
          <cell r="F709">
            <v>4040200</v>
          </cell>
          <cell r="G709">
            <v>5609140</v>
          </cell>
          <cell r="H709">
            <v>752820</v>
          </cell>
        </row>
        <row r="710">
          <cell r="A710" t="str">
            <v>1938</v>
          </cell>
          <cell r="B710" t="str">
            <v>黒川　孝志　　　</v>
          </cell>
          <cell r="C710">
            <v>641430</v>
          </cell>
          <cell r="D710">
            <v>811830</v>
          </cell>
          <cell r="E710">
            <v>1453260</v>
          </cell>
          <cell r="F710">
            <v>3506115</v>
          </cell>
          <cell r="G710">
            <v>4959375</v>
          </cell>
          <cell r="H710">
            <v>758890</v>
          </cell>
        </row>
        <row r="711">
          <cell r="A711" t="str">
            <v>2881</v>
          </cell>
          <cell r="B711" t="str">
            <v>伊藤　一生　　　</v>
          </cell>
          <cell r="C711">
            <v>683200</v>
          </cell>
          <cell r="D711">
            <v>811180</v>
          </cell>
          <cell r="E711">
            <v>1494380</v>
          </cell>
          <cell r="F711">
            <v>3558515</v>
          </cell>
          <cell r="G711">
            <v>5052895</v>
          </cell>
          <cell r="H711">
            <v>739190</v>
          </cell>
        </row>
        <row r="712">
          <cell r="A712" t="str">
            <v>2630</v>
          </cell>
          <cell r="B712" t="str">
            <v>柴尾　孝之　　　</v>
          </cell>
          <cell r="C712">
            <v>615220</v>
          </cell>
          <cell r="D712">
            <v>810530</v>
          </cell>
          <cell r="E712">
            <v>1425750</v>
          </cell>
          <cell r="F712">
            <v>3139813</v>
          </cell>
          <cell r="G712">
            <v>4565563</v>
          </cell>
          <cell r="H712">
            <v>733590</v>
          </cell>
        </row>
        <row r="713">
          <cell r="A713" t="str">
            <v>2463</v>
          </cell>
          <cell r="B713" t="str">
            <v>大野　浩明　　　</v>
          </cell>
          <cell r="C713">
            <v>681270</v>
          </cell>
          <cell r="D713">
            <v>807890</v>
          </cell>
          <cell r="E713">
            <v>1489160</v>
          </cell>
          <cell r="F713">
            <v>3883945</v>
          </cell>
          <cell r="G713">
            <v>5373105</v>
          </cell>
          <cell r="H713">
            <v>710440</v>
          </cell>
        </row>
        <row r="714">
          <cell r="A714" t="str">
            <v>2093</v>
          </cell>
          <cell r="B714" t="str">
            <v>早坂　佐富　　　</v>
          </cell>
          <cell r="C714">
            <v>726640</v>
          </cell>
          <cell r="D714">
            <v>807740</v>
          </cell>
          <cell r="E714">
            <v>1534380</v>
          </cell>
          <cell r="F714">
            <v>3261660</v>
          </cell>
          <cell r="G714">
            <v>4796040</v>
          </cell>
          <cell r="H714">
            <v>746600</v>
          </cell>
        </row>
        <row r="715">
          <cell r="A715" t="str">
            <v>2191</v>
          </cell>
          <cell r="B715" t="str">
            <v>浅野　俊吾　　　</v>
          </cell>
          <cell r="C715">
            <v>714720</v>
          </cell>
          <cell r="D715">
            <v>806570</v>
          </cell>
          <cell r="E715">
            <v>1521290</v>
          </cell>
          <cell r="F715">
            <v>3713101</v>
          </cell>
          <cell r="G715">
            <v>5234391</v>
          </cell>
          <cell r="H715">
            <v>776910</v>
          </cell>
        </row>
        <row r="716">
          <cell r="A716" t="str">
            <v>1868</v>
          </cell>
          <cell r="B716" t="str">
            <v>中村　芳子　　　</v>
          </cell>
          <cell r="C716">
            <v>742920</v>
          </cell>
          <cell r="D716">
            <v>806440</v>
          </cell>
          <cell r="E716">
            <v>1549360</v>
          </cell>
          <cell r="F716">
            <v>3684904</v>
          </cell>
          <cell r="G716">
            <v>5234264</v>
          </cell>
          <cell r="H716">
            <v>720420</v>
          </cell>
        </row>
        <row r="717">
          <cell r="A717" t="str">
            <v>2426</v>
          </cell>
          <cell r="B717" t="str">
            <v>佐藤　正　　　　</v>
          </cell>
          <cell r="C717">
            <v>723610</v>
          </cell>
          <cell r="D717">
            <v>803620</v>
          </cell>
          <cell r="E717">
            <v>1527230</v>
          </cell>
          <cell r="F717">
            <v>3533308</v>
          </cell>
          <cell r="G717">
            <v>5060538</v>
          </cell>
          <cell r="H717">
            <v>696700</v>
          </cell>
        </row>
        <row r="718">
          <cell r="A718" t="str">
            <v>2382</v>
          </cell>
          <cell r="B718" t="str">
            <v>山田　浩　　　　</v>
          </cell>
          <cell r="C718">
            <v>712840</v>
          </cell>
          <cell r="D718">
            <v>803580</v>
          </cell>
          <cell r="E718">
            <v>1516420</v>
          </cell>
          <cell r="F718">
            <v>3584590</v>
          </cell>
          <cell r="G718">
            <v>5101010</v>
          </cell>
          <cell r="H718">
            <v>706650</v>
          </cell>
        </row>
        <row r="719">
          <cell r="A719" t="str">
            <v>2742</v>
          </cell>
          <cell r="B719" t="str">
            <v>武内　徳高　　　</v>
          </cell>
          <cell r="C719">
            <v>716440</v>
          </cell>
          <cell r="D719">
            <v>803580</v>
          </cell>
          <cell r="E719">
            <v>1520020</v>
          </cell>
          <cell r="F719">
            <v>3291362</v>
          </cell>
          <cell r="G719">
            <v>4811382</v>
          </cell>
          <cell r="H719">
            <v>706650</v>
          </cell>
        </row>
        <row r="720">
          <cell r="A720" t="str">
            <v>1161</v>
          </cell>
          <cell r="B720" t="str">
            <v>築田　正道　　　</v>
          </cell>
          <cell r="C720">
            <v>721220</v>
          </cell>
          <cell r="D720">
            <v>802960</v>
          </cell>
          <cell r="E720">
            <v>1524180</v>
          </cell>
          <cell r="F720">
            <v>4445441</v>
          </cell>
          <cell r="G720">
            <v>5969621</v>
          </cell>
          <cell r="H720">
            <v>741470</v>
          </cell>
        </row>
        <row r="721">
          <cell r="A721" t="str">
            <v>2740</v>
          </cell>
          <cell r="B721" t="str">
            <v>中野　武司　　　</v>
          </cell>
          <cell r="C721">
            <v>706280</v>
          </cell>
          <cell r="D721">
            <v>802540</v>
          </cell>
          <cell r="E721">
            <v>1508820</v>
          </cell>
          <cell r="F721">
            <v>3616386</v>
          </cell>
          <cell r="G721">
            <v>5125206</v>
          </cell>
          <cell r="H721">
            <v>719880</v>
          </cell>
        </row>
        <row r="722">
          <cell r="A722" t="str">
            <v>1552</v>
          </cell>
          <cell r="B722" t="str">
            <v>安達　文江　　　</v>
          </cell>
          <cell r="C722">
            <v>678420</v>
          </cell>
          <cell r="D722">
            <v>802430</v>
          </cell>
          <cell r="E722">
            <v>1480850</v>
          </cell>
          <cell r="F722">
            <v>2968115</v>
          </cell>
          <cell r="G722">
            <v>4448965</v>
          </cell>
          <cell r="H722">
            <v>733630</v>
          </cell>
        </row>
        <row r="723">
          <cell r="A723" t="str">
            <v>2473</v>
          </cell>
          <cell r="B723" t="str">
            <v>小山田　浩幸　　</v>
          </cell>
          <cell r="C723">
            <v>656240</v>
          </cell>
          <cell r="D723">
            <v>800900</v>
          </cell>
          <cell r="E723">
            <v>1457140</v>
          </cell>
          <cell r="F723">
            <v>3153176</v>
          </cell>
          <cell r="G723">
            <v>4610316</v>
          </cell>
          <cell r="H723">
            <v>737120</v>
          </cell>
        </row>
        <row r="724">
          <cell r="A724" t="str">
            <v>2580</v>
          </cell>
          <cell r="B724" t="str">
            <v>須田　淳　　　　</v>
          </cell>
          <cell r="C724">
            <v>688770</v>
          </cell>
          <cell r="D724">
            <v>800900</v>
          </cell>
          <cell r="E724">
            <v>1489670</v>
          </cell>
          <cell r="F724">
            <v>3288367</v>
          </cell>
          <cell r="G724">
            <v>4778037</v>
          </cell>
          <cell r="H724">
            <v>737120</v>
          </cell>
        </row>
        <row r="725">
          <cell r="A725" t="str">
            <v>2718</v>
          </cell>
          <cell r="B725" t="str">
            <v>鈴木　博史　　　</v>
          </cell>
          <cell r="C725">
            <v>645190</v>
          </cell>
          <cell r="D725">
            <v>800880</v>
          </cell>
          <cell r="E725">
            <v>1446070</v>
          </cell>
          <cell r="F725">
            <v>2834379</v>
          </cell>
          <cell r="G725">
            <v>4280449</v>
          </cell>
          <cell r="H725">
            <v>716110</v>
          </cell>
        </row>
        <row r="726">
          <cell r="A726" t="str">
            <v>2587</v>
          </cell>
          <cell r="B726" t="str">
            <v>宮前　浩明　　　</v>
          </cell>
          <cell r="C726">
            <v>712840</v>
          </cell>
          <cell r="D726">
            <v>799820</v>
          </cell>
          <cell r="E726">
            <v>1512660</v>
          </cell>
          <cell r="F726">
            <v>2893800</v>
          </cell>
          <cell r="G726">
            <v>4406460</v>
          </cell>
          <cell r="H726">
            <v>726380</v>
          </cell>
        </row>
        <row r="727">
          <cell r="A727" t="str">
            <v>2465</v>
          </cell>
          <cell r="B727" t="str">
            <v>角谷　満　　　　</v>
          </cell>
          <cell r="C727">
            <v>657760</v>
          </cell>
          <cell r="D727">
            <v>799270</v>
          </cell>
          <cell r="E727">
            <v>1457030</v>
          </cell>
          <cell r="F727">
            <v>3817624</v>
          </cell>
          <cell r="G727">
            <v>5274654</v>
          </cell>
          <cell r="H727">
            <v>709020</v>
          </cell>
        </row>
        <row r="728">
          <cell r="A728" t="str">
            <v>2910</v>
          </cell>
          <cell r="B728" t="str">
            <v>関　博　　　　　</v>
          </cell>
          <cell r="C728">
            <v>670920</v>
          </cell>
          <cell r="D728">
            <v>799170</v>
          </cell>
          <cell r="E728">
            <v>1470090</v>
          </cell>
          <cell r="F728">
            <v>3753773</v>
          </cell>
          <cell r="G728">
            <v>5223863</v>
          </cell>
          <cell r="H728">
            <v>727200</v>
          </cell>
        </row>
        <row r="729">
          <cell r="A729" t="str">
            <v>2501</v>
          </cell>
          <cell r="B729" t="str">
            <v>余田　茂樹　　　</v>
          </cell>
          <cell r="C729">
            <v>697100</v>
          </cell>
          <cell r="D729">
            <v>797650</v>
          </cell>
          <cell r="E729">
            <v>1494750</v>
          </cell>
          <cell r="F729">
            <v>3235469</v>
          </cell>
          <cell r="G729">
            <v>4730219</v>
          </cell>
          <cell r="H729">
            <v>704760</v>
          </cell>
        </row>
        <row r="730">
          <cell r="A730" t="str">
            <v>2193</v>
          </cell>
          <cell r="B730" t="str">
            <v>井上　正勝　　　</v>
          </cell>
          <cell r="C730">
            <v>761320</v>
          </cell>
          <cell r="D730">
            <v>797250</v>
          </cell>
          <cell r="E730">
            <v>1558570</v>
          </cell>
          <cell r="F730">
            <v>4122048</v>
          </cell>
          <cell r="G730">
            <v>5680618</v>
          </cell>
          <cell r="H730">
            <v>683580</v>
          </cell>
        </row>
        <row r="731">
          <cell r="A731" t="str">
            <v>2243</v>
          </cell>
          <cell r="B731" t="str">
            <v>古谷　正夫　　　</v>
          </cell>
          <cell r="C731">
            <v>820120</v>
          </cell>
          <cell r="D731">
            <v>796570</v>
          </cell>
          <cell r="E731">
            <v>1616690</v>
          </cell>
          <cell r="F731">
            <v>3772792</v>
          </cell>
          <cell r="G731">
            <v>5389482</v>
          </cell>
          <cell r="H731">
            <v>763510</v>
          </cell>
        </row>
        <row r="732">
          <cell r="A732" t="str">
            <v>2280</v>
          </cell>
          <cell r="B732" t="str">
            <v>山根　俊一　　　</v>
          </cell>
          <cell r="C732">
            <v>696560</v>
          </cell>
          <cell r="D732">
            <v>796250</v>
          </cell>
          <cell r="E732">
            <v>1492810</v>
          </cell>
          <cell r="F732">
            <v>2240819</v>
          </cell>
          <cell r="G732">
            <v>3733629</v>
          </cell>
          <cell r="H732">
            <v>724550</v>
          </cell>
        </row>
        <row r="733">
          <cell r="A733" t="str">
            <v>2264</v>
          </cell>
          <cell r="B733" t="str">
            <v>小泉　勝　　　　</v>
          </cell>
          <cell r="C733">
            <v>707740</v>
          </cell>
          <cell r="D733">
            <v>796250</v>
          </cell>
          <cell r="E733">
            <v>1503990</v>
          </cell>
          <cell r="F733">
            <v>3008420</v>
          </cell>
          <cell r="G733">
            <v>4512410</v>
          </cell>
          <cell r="H733">
            <v>735270</v>
          </cell>
        </row>
        <row r="734">
          <cell r="A734" t="str">
            <v>2453</v>
          </cell>
          <cell r="B734" t="str">
            <v>安藤　利治　　　</v>
          </cell>
          <cell r="C734">
            <v>709540</v>
          </cell>
          <cell r="D734">
            <v>796040</v>
          </cell>
          <cell r="E734">
            <v>1505580</v>
          </cell>
          <cell r="F734">
            <v>3548643</v>
          </cell>
          <cell r="G734">
            <v>5054223</v>
          </cell>
          <cell r="H734">
            <v>754740</v>
          </cell>
        </row>
        <row r="735">
          <cell r="A735" t="str">
            <v>2481</v>
          </cell>
          <cell r="B735" t="str">
            <v>為定　誠　　　　</v>
          </cell>
          <cell r="C735">
            <v>678430</v>
          </cell>
          <cell r="D735">
            <v>795560</v>
          </cell>
          <cell r="E735">
            <v>1473990</v>
          </cell>
          <cell r="F735">
            <v>3722372</v>
          </cell>
          <cell r="G735">
            <v>5196362</v>
          </cell>
          <cell r="H735">
            <v>684670</v>
          </cell>
        </row>
        <row r="736">
          <cell r="A736" t="str">
            <v>2483</v>
          </cell>
          <cell r="B736" t="str">
            <v>戸川　隆夫　　　</v>
          </cell>
          <cell r="C736">
            <v>678430</v>
          </cell>
          <cell r="D736">
            <v>795560</v>
          </cell>
          <cell r="E736">
            <v>1473990</v>
          </cell>
          <cell r="F736">
            <v>3410845</v>
          </cell>
          <cell r="G736">
            <v>4884835</v>
          </cell>
          <cell r="H736">
            <v>722970</v>
          </cell>
        </row>
        <row r="737">
          <cell r="A737" t="str">
            <v>0467</v>
          </cell>
          <cell r="B737" t="str">
            <v>大門　実　　　　</v>
          </cell>
          <cell r="C737">
            <v>736240</v>
          </cell>
          <cell r="D737">
            <v>795450</v>
          </cell>
          <cell r="E737">
            <v>1531690</v>
          </cell>
          <cell r="F737">
            <v>3758252</v>
          </cell>
          <cell r="G737">
            <v>5289942</v>
          </cell>
          <cell r="H737">
            <v>774270</v>
          </cell>
        </row>
        <row r="738">
          <cell r="A738" t="str">
            <v>2932</v>
          </cell>
          <cell r="B738" t="str">
            <v>木原　広志　　　</v>
          </cell>
          <cell r="C738">
            <v>647760</v>
          </cell>
          <cell r="D738">
            <v>794240</v>
          </cell>
          <cell r="E738">
            <v>1442000</v>
          </cell>
          <cell r="F738">
            <v>4605498</v>
          </cell>
          <cell r="G738">
            <v>6047498</v>
          </cell>
          <cell r="H738">
            <v>713940</v>
          </cell>
        </row>
        <row r="739">
          <cell r="A739" t="str">
            <v>1343</v>
          </cell>
          <cell r="B739" t="str">
            <v>松田　茂治　　　</v>
          </cell>
          <cell r="C739">
            <v>719960</v>
          </cell>
          <cell r="D739">
            <v>792680</v>
          </cell>
          <cell r="E739">
            <v>1512640</v>
          </cell>
          <cell r="F739">
            <v>4353179</v>
          </cell>
          <cell r="G739">
            <v>5865819</v>
          </cell>
          <cell r="H739">
            <v>743580</v>
          </cell>
        </row>
        <row r="740">
          <cell r="A740" t="str">
            <v>1937</v>
          </cell>
          <cell r="B740" t="str">
            <v>神尾　嘉利　　　</v>
          </cell>
          <cell r="C740">
            <v>679530</v>
          </cell>
          <cell r="D740">
            <v>792280</v>
          </cell>
          <cell r="E740">
            <v>1471810</v>
          </cell>
          <cell r="F740">
            <v>3757688</v>
          </cell>
          <cell r="G740">
            <v>5229498</v>
          </cell>
          <cell r="H740">
            <v>659630</v>
          </cell>
        </row>
        <row r="741">
          <cell r="A741" t="str">
            <v>2548</v>
          </cell>
          <cell r="B741" t="str">
            <v>浅野　述　　　　</v>
          </cell>
          <cell r="C741">
            <v>621250</v>
          </cell>
          <cell r="D741">
            <v>792270</v>
          </cell>
          <cell r="E741">
            <v>1413520</v>
          </cell>
          <cell r="F741">
            <v>3451380</v>
          </cell>
          <cell r="G741">
            <v>4864900</v>
          </cell>
          <cell r="H741">
            <v>740620</v>
          </cell>
        </row>
        <row r="742">
          <cell r="A742" t="str">
            <v>0097</v>
          </cell>
          <cell r="B742" t="str">
            <v>小川　源一郎　　</v>
          </cell>
          <cell r="C742">
            <v>734900</v>
          </cell>
          <cell r="D742">
            <v>791500</v>
          </cell>
          <cell r="E742">
            <v>1526400</v>
          </cell>
          <cell r="F742">
            <v>3703259</v>
          </cell>
          <cell r="G742">
            <v>5229659</v>
          </cell>
          <cell r="H742">
            <v>741580</v>
          </cell>
        </row>
        <row r="743">
          <cell r="A743" t="str">
            <v>2278</v>
          </cell>
          <cell r="B743" t="str">
            <v>森　健　　　　　</v>
          </cell>
          <cell r="C743">
            <v>703120</v>
          </cell>
          <cell r="D743">
            <v>791350</v>
          </cell>
          <cell r="E743">
            <v>1494470</v>
          </cell>
          <cell r="F743">
            <v>3838555</v>
          </cell>
          <cell r="G743">
            <v>5333025</v>
          </cell>
          <cell r="H743">
            <v>731090</v>
          </cell>
        </row>
        <row r="744">
          <cell r="A744" t="str">
            <v>1815</v>
          </cell>
          <cell r="B744" t="str">
            <v>野村　浩三　　　</v>
          </cell>
          <cell r="C744">
            <v>775500</v>
          </cell>
          <cell r="D744">
            <v>789990</v>
          </cell>
          <cell r="E744">
            <v>1565490</v>
          </cell>
          <cell r="F744">
            <v>4426203</v>
          </cell>
          <cell r="G744">
            <v>5991693</v>
          </cell>
          <cell r="H744">
            <v>814850</v>
          </cell>
        </row>
        <row r="745">
          <cell r="A745" t="str">
            <v>2717</v>
          </cell>
          <cell r="B745" t="str">
            <v>石黒　清高　　　</v>
          </cell>
          <cell r="C745">
            <v>622650</v>
          </cell>
          <cell r="D745">
            <v>789260</v>
          </cell>
          <cell r="E745">
            <v>1411910</v>
          </cell>
          <cell r="F745">
            <v>3433435</v>
          </cell>
          <cell r="G745">
            <v>4845345</v>
          </cell>
          <cell r="H745">
            <v>726540</v>
          </cell>
        </row>
        <row r="746">
          <cell r="A746" t="str">
            <v>3391</v>
          </cell>
          <cell r="B746" t="str">
            <v>大滝　哲司　　　</v>
          </cell>
          <cell r="C746">
            <v>614380</v>
          </cell>
          <cell r="D746">
            <v>788900</v>
          </cell>
          <cell r="E746">
            <v>1403280</v>
          </cell>
          <cell r="F746">
            <v>3547266</v>
          </cell>
          <cell r="G746">
            <v>4950546</v>
          </cell>
          <cell r="H746">
            <v>728520</v>
          </cell>
        </row>
        <row r="747">
          <cell r="A747" t="str">
            <v>2268</v>
          </cell>
          <cell r="B747" t="str">
            <v>末永　慶二　　　</v>
          </cell>
          <cell r="C747">
            <v>699780</v>
          </cell>
          <cell r="D747">
            <v>788630</v>
          </cell>
          <cell r="E747">
            <v>1488410</v>
          </cell>
          <cell r="F747">
            <v>3722091</v>
          </cell>
          <cell r="G747">
            <v>5210501</v>
          </cell>
          <cell r="H747">
            <v>668680</v>
          </cell>
        </row>
        <row r="748">
          <cell r="A748" t="str">
            <v>2480</v>
          </cell>
          <cell r="B748" t="str">
            <v>巽　方史　　　　</v>
          </cell>
          <cell r="C748">
            <v>685190</v>
          </cell>
          <cell r="D748">
            <v>788490</v>
          </cell>
          <cell r="E748">
            <v>1473680</v>
          </cell>
          <cell r="F748">
            <v>3708621</v>
          </cell>
          <cell r="G748">
            <v>5182301</v>
          </cell>
          <cell r="H748">
            <v>770750</v>
          </cell>
        </row>
        <row r="749">
          <cell r="A749" t="str">
            <v>2762</v>
          </cell>
          <cell r="B749" t="str">
            <v>野崎　雅男　　　</v>
          </cell>
          <cell r="C749">
            <v>702290</v>
          </cell>
          <cell r="D749">
            <v>787640</v>
          </cell>
          <cell r="E749">
            <v>1489930</v>
          </cell>
          <cell r="F749">
            <v>3409666</v>
          </cell>
          <cell r="G749">
            <v>4899596</v>
          </cell>
          <cell r="H749">
            <v>715770</v>
          </cell>
        </row>
        <row r="750">
          <cell r="A750" t="str">
            <v>2714</v>
          </cell>
          <cell r="B750" t="str">
            <v>成澤　嘉彦　　　</v>
          </cell>
          <cell r="C750">
            <v>619260</v>
          </cell>
          <cell r="D750">
            <v>785860</v>
          </cell>
          <cell r="E750">
            <v>1405120</v>
          </cell>
          <cell r="F750">
            <v>3444018</v>
          </cell>
          <cell r="G750">
            <v>4849138</v>
          </cell>
          <cell r="H750">
            <v>727010</v>
          </cell>
        </row>
        <row r="751">
          <cell r="A751" t="str">
            <v>2358</v>
          </cell>
          <cell r="B751" t="str">
            <v>上原　亨一　　　</v>
          </cell>
          <cell r="C751">
            <v>684000</v>
          </cell>
          <cell r="D751">
            <v>785450</v>
          </cell>
          <cell r="E751">
            <v>1469450</v>
          </cell>
          <cell r="F751">
            <v>3169341</v>
          </cell>
          <cell r="G751">
            <v>4638791</v>
          </cell>
          <cell r="H751">
            <v>714720</v>
          </cell>
        </row>
        <row r="752">
          <cell r="A752" t="str">
            <v>2177</v>
          </cell>
          <cell r="B752" t="str">
            <v>菅原　登　　　　</v>
          </cell>
          <cell r="C752">
            <v>616300</v>
          </cell>
          <cell r="D752">
            <v>785330</v>
          </cell>
          <cell r="E752">
            <v>1401630</v>
          </cell>
          <cell r="F752">
            <v>3426170</v>
          </cell>
          <cell r="G752">
            <v>4827800</v>
          </cell>
          <cell r="H752">
            <v>722990</v>
          </cell>
        </row>
        <row r="753">
          <cell r="A753" t="str">
            <v>2618</v>
          </cell>
          <cell r="B753" t="str">
            <v>奥山　恭弘　　　</v>
          </cell>
          <cell r="C753">
            <v>593870</v>
          </cell>
          <cell r="D753">
            <v>785330</v>
          </cell>
          <cell r="E753">
            <v>1379200</v>
          </cell>
          <cell r="F753">
            <v>2742761</v>
          </cell>
          <cell r="G753">
            <v>4121961</v>
          </cell>
          <cell r="H753">
            <v>670140</v>
          </cell>
        </row>
        <row r="754">
          <cell r="A754" t="str">
            <v>1890</v>
          </cell>
          <cell r="B754" t="str">
            <v>源當　忠彦　　　</v>
          </cell>
          <cell r="C754">
            <v>649060</v>
          </cell>
          <cell r="D754">
            <v>785290</v>
          </cell>
          <cell r="E754">
            <v>1434350</v>
          </cell>
          <cell r="F754">
            <v>3665574</v>
          </cell>
          <cell r="G754">
            <v>5099924</v>
          </cell>
          <cell r="H754">
            <v>714570</v>
          </cell>
        </row>
        <row r="755">
          <cell r="A755" t="str">
            <v>2744</v>
          </cell>
          <cell r="B755" t="str">
            <v>高橋　透　　　　</v>
          </cell>
          <cell r="C755">
            <v>672880</v>
          </cell>
          <cell r="D755">
            <v>784680</v>
          </cell>
          <cell r="E755">
            <v>1457560</v>
          </cell>
          <cell r="F755">
            <v>3384838</v>
          </cell>
          <cell r="G755">
            <v>4842398</v>
          </cell>
          <cell r="H755">
            <v>700010</v>
          </cell>
        </row>
        <row r="756">
          <cell r="A756" t="str">
            <v>2175</v>
          </cell>
          <cell r="B756" t="str">
            <v>高沢　信廣　　　</v>
          </cell>
          <cell r="C756">
            <v>664190</v>
          </cell>
          <cell r="D756">
            <v>782840</v>
          </cell>
          <cell r="E756">
            <v>1447030</v>
          </cell>
          <cell r="F756">
            <v>3261538</v>
          </cell>
          <cell r="G756">
            <v>4708568</v>
          </cell>
          <cell r="H756">
            <v>712330</v>
          </cell>
        </row>
        <row r="757">
          <cell r="A757" t="str">
            <v>2368</v>
          </cell>
          <cell r="B757" t="str">
            <v>清水　富志　　　</v>
          </cell>
          <cell r="C757">
            <v>614950</v>
          </cell>
          <cell r="D757">
            <v>781860</v>
          </cell>
          <cell r="E757">
            <v>1396810</v>
          </cell>
          <cell r="F757">
            <v>2932657</v>
          </cell>
          <cell r="G757">
            <v>4329467</v>
          </cell>
          <cell r="H757">
            <v>744290</v>
          </cell>
        </row>
        <row r="758">
          <cell r="A758" t="str">
            <v>2711</v>
          </cell>
          <cell r="B758" t="str">
            <v>西山　晶子　　　</v>
          </cell>
          <cell r="C758">
            <v>609080</v>
          </cell>
          <cell r="D758">
            <v>781380</v>
          </cell>
          <cell r="E758">
            <v>1390460</v>
          </cell>
          <cell r="F758">
            <v>2830840</v>
          </cell>
          <cell r="G758">
            <v>4221300</v>
          </cell>
          <cell r="H758">
            <v>719690</v>
          </cell>
        </row>
        <row r="759">
          <cell r="A759" t="str">
            <v>2487</v>
          </cell>
          <cell r="B759" t="str">
            <v>並木　範行　　　</v>
          </cell>
          <cell r="C759">
            <v>622300</v>
          </cell>
          <cell r="D759">
            <v>780950</v>
          </cell>
          <cell r="E759">
            <v>1403250</v>
          </cell>
          <cell r="F759">
            <v>3142592</v>
          </cell>
          <cell r="G759">
            <v>4545842</v>
          </cell>
          <cell r="H759">
            <v>649460</v>
          </cell>
        </row>
        <row r="760">
          <cell r="A760" t="str">
            <v>1940</v>
          </cell>
          <cell r="B760" t="str">
            <v>真田　波男　　　</v>
          </cell>
          <cell r="C760">
            <v>600750</v>
          </cell>
          <cell r="D760">
            <v>780020</v>
          </cell>
          <cell r="E760">
            <v>1380770</v>
          </cell>
          <cell r="F760">
            <v>3345773</v>
          </cell>
          <cell r="G760">
            <v>4726543</v>
          </cell>
          <cell r="H760">
            <v>744150</v>
          </cell>
        </row>
        <row r="761">
          <cell r="A761" t="str">
            <v>1743</v>
          </cell>
          <cell r="B761" t="str">
            <v>矢内　清治　　　</v>
          </cell>
          <cell r="C761">
            <v>723290</v>
          </cell>
          <cell r="D761">
            <v>779980</v>
          </cell>
          <cell r="E761">
            <v>1503270</v>
          </cell>
          <cell r="F761">
            <v>3637065</v>
          </cell>
          <cell r="G761">
            <v>5140335</v>
          </cell>
          <cell r="H761">
            <v>816080</v>
          </cell>
        </row>
        <row r="762">
          <cell r="A762" t="str">
            <v>2188</v>
          </cell>
          <cell r="B762" t="str">
            <v>青木　哲也　　　</v>
          </cell>
          <cell r="C762">
            <v>681860</v>
          </cell>
          <cell r="D762">
            <v>778620</v>
          </cell>
          <cell r="E762">
            <v>1460480</v>
          </cell>
          <cell r="F762">
            <v>3138022</v>
          </cell>
          <cell r="G762">
            <v>4598502</v>
          </cell>
          <cell r="H762">
            <v>636550</v>
          </cell>
        </row>
        <row r="763">
          <cell r="A763" t="str">
            <v>2471</v>
          </cell>
          <cell r="B763" t="str">
            <v>小谷　和司　　　</v>
          </cell>
          <cell r="C763">
            <v>629090</v>
          </cell>
          <cell r="D763">
            <v>777180</v>
          </cell>
          <cell r="E763">
            <v>1406270</v>
          </cell>
          <cell r="F763">
            <v>3701366</v>
          </cell>
          <cell r="G763">
            <v>5107636</v>
          </cell>
          <cell r="H763">
            <v>726500</v>
          </cell>
        </row>
        <row r="764">
          <cell r="A764" t="str">
            <v>1630</v>
          </cell>
          <cell r="B764" t="str">
            <v>山本　政平　　　</v>
          </cell>
          <cell r="C764">
            <v>932630</v>
          </cell>
          <cell r="D764">
            <v>776890</v>
          </cell>
          <cell r="E764">
            <v>1709520</v>
          </cell>
          <cell r="F764">
            <v>4092082</v>
          </cell>
          <cell r="G764">
            <v>5801602</v>
          </cell>
          <cell r="H764">
            <v>718110</v>
          </cell>
        </row>
        <row r="765">
          <cell r="A765" t="str">
            <v>3267</v>
          </cell>
          <cell r="B765" t="str">
            <v>小林　実　　　　</v>
          </cell>
          <cell r="C765">
            <v>718740</v>
          </cell>
          <cell r="D765">
            <v>776670</v>
          </cell>
          <cell r="E765">
            <v>1495410</v>
          </cell>
          <cell r="F765">
            <v>4373830</v>
          </cell>
          <cell r="G765">
            <v>5869240</v>
          </cell>
          <cell r="H765">
            <v>725090</v>
          </cell>
        </row>
        <row r="766">
          <cell r="A766" t="str">
            <v>2357</v>
          </cell>
          <cell r="B766" t="str">
            <v>植田　誠司　　　</v>
          </cell>
          <cell r="C766">
            <v>677450</v>
          </cell>
          <cell r="D766">
            <v>776420</v>
          </cell>
          <cell r="E766">
            <v>1453870</v>
          </cell>
          <cell r="F766">
            <v>2893870</v>
          </cell>
          <cell r="G766">
            <v>4347740</v>
          </cell>
          <cell r="H766">
            <v>715740</v>
          </cell>
        </row>
        <row r="767">
          <cell r="A767" t="str">
            <v>3275</v>
          </cell>
          <cell r="B767" t="str">
            <v>三野　憲治　　　</v>
          </cell>
          <cell r="C767">
            <v>655510</v>
          </cell>
          <cell r="D767">
            <v>775390</v>
          </cell>
          <cell r="E767">
            <v>1430900</v>
          </cell>
          <cell r="F767">
            <v>4486982</v>
          </cell>
          <cell r="G767">
            <v>5917882</v>
          </cell>
          <cell r="H767">
            <v>746860</v>
          </cell>
        </row>
        <row r="768">
          <cell r="A768" t="str">
            <v>2469</v>
          </cell>
          <cell r="B768" t="str">
            <v>日下　栄司　　　</v>
          </cell>
          <cell r="C768">
            <v>693880</v>
          </cell>
          <cell r="D768">
            <v>774080</v>
          </cell>
          <cell r="E768">
            <v>1467960</v>
          </cell>
          <cell r="F768">
            <v>2966751</v>
          </cell>
          <cell r="G768">
            <v>4434711</v>
          </cell>
          <cell r="H768">
            <v>631290</v>
          </cell>
        </row>
        <row r="769">
          <cell r="A769" t="str">
            <v>2716</v>
          </cell>
          <cell r="B769" t="str">
            <v>阪本　清次　　　</v>
          </cell>
          <cell r="C769">
            <v>634420</v>
          </cell>
          <cell r="D769">
            <v>773990</v>
          </cell>
          <cell r="E769">
            <v>1408410</v>
          </cell>
          <cell r="F769">
            <v>2965975</v>
          </cell>
          <cell r="G769">
            <v>4374385</v>
          </cell>
          <cell r="H769">
            <v>684960</v>
          </cell>
        </row>
        <row r="770">
          <cell r="A770" t="str">
            <v>2485</v>
          </cell>
          <cell r="B770" t="str">
            <v>永井　茂雄　　　</v>
          </cell>
          <cell r="C770">
            <v>618490</v>
          </cell>
          <cell r="D770">
            <v>773820</v>
          </cell>
          <cell r="E770">
            <v>1392310</v>
          </cell>
          <cell r="F770">
            <v>3382350</v>
          </cell>
          <cell r="G770">
            <v>4774660</v>
          </cell>
          <cell r="H770">
            <v>700690</v>
          </cell>
        </row>
        <row r="771">
          <cell r="A771" t="str">
            <v>2648</v>
          </cell>
          <cell r="B771" t="str">
            <v>福崎　雄一　　　</v>
          </cell>
          <cell r="C771">
            <v>612120</v>
          </cell>
          <cell r="D771">
            <v>773400</v>
          </cell>
          <cell r="E771">
            <v>1385520</v>
          </cell>
          <cell r="F771">
            <v>2780606</v>
          </cell>
          <cell r="G771">
            <v>4166126</v>
          </cell>
          <cell r="H771">
            <v>680120</v>
          </cell>
        </row>
        <row r="772">
          <cell r="A772" t="str">
            <v>2366</v>
          </cell>
          <cell r="B772" t="str">
            <v>肥塚　義樹　　　</v>
          </cell>
          <cell r="C772">
            <v>576670</v>
          </cell>
          <cell r="D772">
            <v>773000</v>
          </cell>
          <cell r="E772">
            <v>1349670</v>
          </cell>
          <cell r="F772">
            <v>3166181</v>
          </cell>
          <cell r="G772">
            <v>4515851</v>
          </cell>
          <cell r="H772">
            <v>727010</v>
          </cell>
        </row>
        <row r="773">
          <cell r="A773" t="str">
            <v>2563</v>
          </cell>
          <cell r="B773" t="str">
            <v>本田　隆雄　　　</v>
          </cell>
          <cell r="C773">
            <v>568320</v>
          </cell>
          <cell r="D773">
            <v>771130</v>
          </cell>
          <cell r="E773">
            <v>1339450</v>
          </cell>
          <cell r="F773">
            <v>2977649</v>
          </cell>
          <cell r="G773">
            <v>4317099</v>
          </cell>
          <cell r="H773">
            <v>694260</v>
          </cell>
        </row>
        <row r="774">
          <cell r="A774" t="str">
            <v>2380</v>
          </cell>
          <cell r="B774" t="str">
            <v>村田　茂樹　　　</v>
          </cell>
          <cell r="C774">
            <v>674180</v>
          </cell>
          <cell r="D774">
            <v>771070</v>
          </cell>
          <cell r="E774">
            <v>1445250</v>
          </cell>
          <cell r="F774">
            <v>3397331</v>
          </cell>
          <cell r="G774">
            <v>4842581</v>
          </cell>
          <cell r="H774">
            <v>701630</v>
          </cell>
        </row>
        <row r="775">
          <cell r="A775" t="str">
            <v>1840</v>
          </cell>
          <cell r="B775" t="str">
            <v>井ノ原　憲一　　</v>
          </cell>
          <cell r="C775">
            <v>776830</v>
          </cell>
          <cell r="D775">
            <v>769690</v>
          </cell>
          <cell r="E775">
            <v>1546520</v>
          </cell>
          <cell r="F775">
            <v>3055031</v>
          </cell>
          <cell r="G775">
            <v>4601551</v>
          </cell>
          <cell r="H775">
            <v>612190</v>
          </cell>
        </row>
        <row r="776">
          <cell r="A776" t="str">
            <v>2490</v>
          </cell>
          <cell r="B776" t="str">
            <v>浜井　功　　　　</v>
          </cell>
          <cell r="C776">
            <v>661040</v>
          </cell>
          <cell r="D776">
            <v>769030</v>
          </cell>
          <cell r="E776">
            <v>1430070</v>
          </cell>
          <cell r="F776">
            <v>3435881</v>
          </cell>
          <cell r="G776">
            <v>4865951</v>
          </cell>
          <cell r="H776">
            <v>678100</v>
          </cell>
        </row>
        <row r="777">
          <cell r="A777" t="str">
            <v>2378</v>
          </cell>
          <cell r="B777" t="str">
            <v>三浦　明夫　　　</v>
          </cell>
          <cell r="C777">
            <v>680740</v>
          </cell>
          <cell r="D777">
            <v>766150</v>
          </cell>
          <cell r="E777">
            <v>1446890</v>
          </cell>
          <cell r="F777">
            <v>3346215</v>
          </cell>
          <cell r="G777">
            <v>4793105</v>
          </cell>
          <cell r="H777">
            <v>708170</v>
          </cell>
        </row>
        <row r="778">
          <cell r="A778" t="str">
            <v>2468</v>
          </cell>
          <cell r="B778" t="str">
            <v>木村　光宏　　　</v>
          </cell>
          <cell r="C778">
            <v>657760</v>
          </cell>
          <cell r="D778">
            <v>765320</v>
          </cell>
          <cell r="E778">
            <v>1423080</v>
          </cell>
          <cell r="F778">
            <v>3546010</v>
          </cell>
          <cell r="G778">
            <v>4969090</v>
          </cell>
          <cell r="H778">
            <v>695480</v>
          </cell>
        </row>
        <row r="779">
          <cell r="A779" t="str">
            <v>2733</v>
          </cell>
          <cell r="B779" t="str">
            <v>早川　忠平　　　</v>
          </cell>
          <cell r="C779">
            <v>692820</v>
          </cell>
          <cell r="D779">
            <v>764660</v>
          </cell>
          <cell r="E779">
            <v>1457480</v>
          </cell>
          <cell r="F779">
            <v>3686225</v>
          </cell>
          <cell r="G779">
            <v>5143705</v>
          </cell>
          <cell r="H779">
            <v>737120</v>
          </cell>
        </row>
        <row r="780">
          <cell r="A780" t="str">
            <v>3089</v>
          </cell>
          <cell r="B780" t="str">
            <v>富永　秀樹　　　</v>
          </cell>
          <cell r="C780">
            <v>620310</v>
          </cell>
          <cell r="D780">
            <v>763200</v>
          </cell>
          <cell r="E780">
            <v>1383510</v>
          </cell>
          <cell r="F780">
            <v>3461064</v>
          </cell>
          <cell r="G780">
            <v>4844574</v>
          </cell>
          <cell r="H780">
            <v>694460</v>
          </cell>
        </row>
        <row r="781">
          <cell r="A781" t="str">
            <v>2356</v>
          </cell>
          <cell r="B781" t="str">
            <v>岩本　周栄　　　</v>
          </cell>
          <cell r="C781">
            <v>677450</v>
          </cell>
          <cell r="D781">
            <v>763200</v>
          </cell>
          <cell r="E781">
            <v>1440650</v>
          </cell>
          <cell r="F781">
            <v>3285465</v>
          </cell>
          <cell r="G781">
            <v>4726115</v>
          </cell>
          <cell r="H781">
            <v>704330</v>
          </cell>
        </row>
        <row r="782">
          <cell r="A782" t="str">
            <v>1364</v>
          </cell>
          <cell r="B782" t="str">
            <v>長谷川　文伸　　</v>
          </cell>
          <cell r="C782">
            <v>810460</v>
          </cell>
          <cell r="D782">
            <v>760050</v>
          </cell>
          <cell r="E782">
            <v>1570510</v>
          </cell>
          <cell r="F782">
            <v>3886032</v>
          </cell>
          <cell r="G782">
            <v>5456542</v>
          </cell>
          <cell r="H782">
            <v>760570</v>
          </cell>
        </row>
        <row r="783">
          <cell r="A783" t="str">
            <v>2967</v>
          </cell>
          <cell r="B783" t="str">
            <v>川西　貴　　　　</v>
          </cell>
          <cell r="C783">
            <v>624150</v>
          </cell>
          <cell r="D783">
            <v>759590</v>
          </cell>
          <cell r="E783">
            <v>1383740</v>
          </cell>
          <cell r="F783">
            <v>3420576</v>
          </cell>
          <cell r="G783">
            <v>4804316</v>
          </cell>
          <cell r="H783">
            <v>730310</v>
          </cell>
        </row>
        <row r="784">
          <cell r="A784" t="str">
            <v>3258</v>
          </cell>
          <cell r="B784" t="str">
            <v>篠原　信夫　　　</v>
          </cell>
          <cell r="C784">
            <v>705170</v>
          </cell>
          <cell r="D784">
            <v>759590</v>
          </cell>
          <cell r="E784">
            <v>1464760</v>
          </cell>
          <cell r="F784">
            <v>3856108</v>
          </cell>
          <cell r="G784">
            <v>5320868</v>
          </cell>
          <cell r="H784">
            <v>692490</v>
          </cell>
        </row>
        <row r="785">
          <cell r="A785" t="str">
            <v>0435</v>
          </cell>
          <cell r="B785" t="str">
            <v>斉藤　平八郎　　</v>
          </cell>
          <cell r="C785">
            <v>767210</v>
          </cell>
          <cell r="D785">
            <v>758400</v>
          </cell>
          <cell r="E785">
            <v>1525610</v>
          </cell>
          <cell r="F785">
            <v>3221480</v>
          </cell>
          <cell r="G785">
            <v>4747090</v>
          </cell>
          <cell r="H785">
            <v>759670</v>
          </cell>
        </row>
        <row r="786">
          <cell r="A786" t="str">
            <v>1286</v>
          </cell>
          <cell r="B786" t="str">
            <v>高部　茂　　　　</v>
          </cell>
          <cell r="C786">
            <v>718160</v>
          </cell>
          <cell r="D786">
            <v>755080</v>
          </cell>
          <cell r="E786">
            <v>1473240</v>
          </cell>
          <cell r="F786">
            <v>3253066</v>
          </cell>
          <cell r="G786">
            <v>4726306</v>
          </cell>
          <cell r="H786">
            <v>728080</v>
          </cell>
        </row>
        <row r="787">
          <cell r="A787" t="str">
            <v>2662</v>
          </cell>
          <cell r="B787" t="str">
            <v>向口　祐一　　　</v>
          </cell>
          <cell r="C787">
            <v>622650</v>
          </cell>
          <cell r="D787">
            <v>754520</v>
          </cell>
          <cell r="E787">
            <v>1377170</v>
          </cell>
          <cell r="F787">
            <v>3489433</v>
          </cell>
          <cell r="G787">
            <v>4866603</v>
          </cell>
          <cell r="H787">
            <v>705860</v>
          </cell>
        </row>
        <row r="788">
          <cell r="A788" t="str">
            <v>0330</v>
          </cell>
          <cell r="B788" t="str">
            <v>永井　俊行　　　</v>
          </cell>
          <cell r="C788">
            <v>712240</v>
          </cell>
          <cell r="D788">
            <v>752010</v>
          </cell>
          <cell r="E788">
            <v>1464250</v>
          </cell>
          <cell r="F788">
            <v>3990781</v>
          </cell>
          <cell r="G788">
            <v>5455031</v>
          </cell>
          <cell r="H788">
            <v>725110</v>
          </cell>
        </row>
        <row r="789">
          <cell r="A789" t="str">
            <v>2593</v>
          </cell>
          <cell r="B789" t="str">
            <v>田中　秀司　　　</v>
          </cell>
          <cell r="C789">
            <v>688770</v>
          </cell>
          <cell r="D789">
            <v>751480</v>
          </cell>
          <cell r="E789">
            <v>1440250</v>
          </cell>
          <cell r="F789">
            <v>2789693</v>
          </cell>
          <cell r="G789">
            <v>4229943</v>
          </cell>
          <cell r="H789">
            <v>683420</v>
          </cell>
        </row>
        <row r="790">
          <cell r="A790" t="str">
            <v>2553</v>
          </cell>
          <cell r="B790" t="str">
            <v>伊豆　裕行　　　</v>
          </cell>
          <cell r="C790">
            <v>768970</v>
          </cell>
          <cell r="D790">
            <v>751280</v>
          </cell>
          <cell r="E790">
            <v>1520250</v>
          </cell>
          <cell r="F790">
            <v>3676418</v>
          </cell>
          <cell r="G790">
            <v>5196668</v>
          </cell>
          <cell r="H790">
            <v>768950</v>
          </cell>
        </row>
        <row r="791">
          <cell r="A791" t="str">
            <v>2659</v>
          </cell>
          <cell r="B791" t="str">
            <v>宮崎　斉　　　　</v>
          </cell>
          <cell r="C791">
            <v>596910</v>
          </cell>
          <cell r="D791">
            <v>750710</v>
          </cell>
          <cell r="E791">
            <v>1347620</v>
          </cell>
          <cell r="F791">
            <v>3083278</v>
          </cell>
          <cell r="G791">
            <v>4430898</v>
          </cell>
          <cell r="H791">
            <v>712380</v>
          </cell>
        </row>
        <row r="792">
          <cell r="A792" t="str">
            <v>2621</v>
          </cell>
          <cell r="B792" t="str">
            <v>河村　光昭　　　</v>
          </cell>
          <cell r="C792">
            <v>609020</v>
          </cell>
          <cell r="D792">
            <v>750710</v>
          </cell>
          <cell r="E792">
            <v>1359730</v>
          </cell>
          <cell r="F792">
            <v>3535475</v>
          </cell>
          <cell r="G792">
            <v>4895205</v>
          </cell>
          <cell r="H792">
            <v>692100</v>
          </cell>
        </row>
        <row r="793">
          <cell r="A793" t="str">
            <v>2613</v>
          </cell>
          <cell r="B793" t="str">
            <v>今西　秀明　　　</v>
          </cell>
          <cell r="C793">
            <v>590860</v>
          </cell>
          <cell r="D793">
            <v>750440</v>
          </cell>
          <cell r="E793">
            <v>1341300</v>
          </cell>
          <cell r="F793">
            <v>3513601</v>
          </cell>
          <cell r="G793">
            <v>4854901</v>
          </cell>
          <cell r="H793">
            <v>661690</v>
          </cell>
        </row>
        <row r="794">
          <cell r="A794" t="str">
            <v>2763</v>
          </cell>
          <cell r="B794" t="str">
            <v>花田　耕誌　　　</v>
          </cell>
          <cell r="C794">
            <v>593880</v>
          </cell>
          <cell r="D794">
            <v>750440</v>
          </cell>
          <cell r="E794">
            <v>1344320</v>
          </cell>
          <cell r="F794">
            <v>3152424</v>
          </cell>
          <cell r="G794">
            <v>4496744</v>
          </cell>
          <cell r="H794">
            <v>692120</v>
          </cell>
        </row>
        <row r="795">
          <cell r="A795" t="str">
            <v>2660</v>
          </cell>
          <cell r="B795" t="str">
            <v>宮本　庸一　　　</v>
          </cell>
          <cell r="C795">
            <v>602810</v>
          </cell>
          <cell r="D795">
            <v>749350</v>
          </cell>
          <cell r="E795">
            <v>1352160</v>
          </cell>
          <cell r="F795">
            <v>2791583</v>
          </cell>
          <cell r="G795">
            <v>4143743</v>
          </cell>
          <cell r="H795">
            <v>681490</v>
          </cell>
        </row>
        <row r="796">
          <cell r="A796" t="str">
            <v>2605</v>
          </cell>
          <cell r="B796" t="str">
            <v>秋月　健一　　　</v>
          </cell>
          <cell r="C796">
            <v>575830</v>
          </cell>
          <cell r="D796">
            <v>749270</v>
          </cell>
          <cell r="E796">
            <v>1325100</v>
          </cell>
          <cell r="F796">
            <v>3631786</v>
          </cell>
          <cell r="G796">
            <v>4956886</v>
          </cell>
          <cell r="H796">
            <v>694260</v>
          </cell>
        </row>
        <row r="797">
          <cell r="A797" t="str">
            <v>2941</v>
          </cell>
          <cell r="B797" t="str">
            <v>今井　美喜男　　</v>
          </cell>
          <cell r="C797">
            <v>709270</v>
          </cell>
          <cell r="D797">
            <v>748930</v>
          </cell>
          <cell r="E797">
            <v>1458200</v>
          </cell>
          <cell r="F797">
            <v>4246827</v>
          </cell>
          <cell r="G797">
            <v>5705027</v>
          </cell>
          <cell r="H797">
            <v>699200</v>
          </cell>
        </row>
        <row r="798">
          <cell r="A798" t="str">
            <v>2627</v>
          </cell>
          <cell r="B798" t="str">
            <v>塩飽　登士　　　</v>
          </cell>
          <cell r="C798">
            <v>590820</v>
          </cell>
          <cell r="D798">
            <v>746950</v>
          </cell>
          <cell r="E798">
            <v>1337770</v>
          </cell>
          <cell r="F798">
            <v>2745835</v>
          </cell>
          <cell r="G798">
            <v>4083605</v>
          </cell>
          <cell r="H798">
            <v>688670</v>
          </cell>
        </row>
        <row r="799">
          <cell r="A799" t="str">
            <v>2180</v>
          </cell>
          <cell r="B799" t="str">
            <v>森　康一　　　　</v>
          </cell>
          <cell r="C799">
            <v>587820</v>
          </cell>
          <cell r="D799">
            <v>746720</v>
          </cell>
          <cell r="E799">
            <v>1334540</v>
          </cell>
          <cell r="F799">
            <v>3265410</v>
          </cell>
          <cell r="G799">
            <v>4599950</v>
          </cell>
          <cell r="H799">
            <v>688740</v>
          </cell>
        </row>
        <row r="800">
          <cell r="A800" t="str">
            <v>2655</v>
          </cell>
          <cell r="B800" t="str">
            <v>真木　義幸　　　</v>
          </cell>
          <cell r="C800">
            <v>599700</v>
          </cell>
          <cell r="D800">
            <v>745700</v>
          </cell>
          <cell r="E800">
            <v>1345400</v>
          </cell>
          <cell r="F800">
            <v>3105754</v>
          </cell>
          <cell r="G800">
            <v>4451154</v>
          </cell>
          <cell r="H800">
            <v>620050</v>
          </cell>
        </row>
        <row r="801">
          <cell r="A801" t="str">
            <v>2929</v>
          </cell>
          <cell r="B801" t="str">
            <v>小川　公一　　　</v>
          </cell>
          <cell r="C801">
            <v>635140</v>
          </cell>
          <cell r="D801">
            <v>744430</v>
          </cell>
          <cell r="E801">
            <v>1379570</v>
          </cell>
          <cell r="F801">
            <v>4052813</v>
          </cell>
          <cell r="G801">
            <v>5432383</v>
          </cell>
          <cell r="H801">
            <v>707560</v>
          </cell>
        </row>
        <row r="802">
          <cell r="A802" t="str">
            <v>2607</v>
          </cell>
          <cell r="B802" t="str">
            <v>天川　光司　　　</v>
          </cell>
          <cell r="C802">
            <v>569900</v>
          </cell>
          <cell r="D802">
            <v>743000</v>
          </cell>
          <cell r="E802">
            <v>1312900</v>
          </cell>
          <cell r="F802">
            <v>3134605</v>
          </cell>
          <cell r="G802">
            <v>4447505</v>
          </cell>
          <cell r="H802">
            <v>655140</v>
          </cell>
        </row>
        <row r="803">
          <cell r="A803" t="str">
            <v>2899</v>
          </cell>
          <cell r="B803" t="str">
            <v>水田　幸治　　　</v>
          </cell>
          <cell r="C803">
            <v>569650</v>
          </cell>
          <cell r="D803">
            <v>743000</v>
          </cell>
          <cell r="E803">
            <v>1312650</v>
          </cell>
          <cell r="F803">
            <v>3547294</v>
          </cell>
          <cell r="G803">
            <v>4859944</v>
          </cell>
          <cell r="H803">
            <v>675220</v>
          </cell>
        </row>
        <row r="804">
          <cell r="A804" t="str">
            <v>2584</v>
          </cell>
          <cell r="B804" t="str">
            <v>内記　武彦　　　</v>
          </cell>
          <cell r="C804">
            <v>630200</v>
          </cell>
          <cell r="D804">
            <v>741590</v>
          </cell>
          <cell r="E804">
            <v>1371790</v>
          </cell>
          <cell r="F804">
            <v>2800588</v>
          </cell>
          <cell r="G804">
            <v>4172378</v>
          </cell>
          <cell r="H804">
            <v>674810</v>
          </cell>
        </row>
        <row r="805">
          <cell r="A805" t="str">
            <v>2458</v>
          </cell>
          <cell r="B805" t="str">
            <v>伊藤　裕之　　　</v>
          </cell>
          <cell r="C805">
            <v>610740</v>
          </cell>
          <cell r="D805">
            <v>741590</v>
          </cell>
          <cell r="E805">
            <v>1352330</v>
          </cell>
          <cell r="F805">
            <v>3575137</v>
          </cell>
          <cell r="G805">
            <v>4927467</v>
          </cell>
          <cell r="H805">
            <v>674810</v>
          </cell>
        </row>
        <row r="806">
          <cell r="A806" t="str">
            <v>3112</v>
          </cell>
          <cell r="B806" t="str">
            <v>山田　和良　　　</v>
          </cell>
          <cell r="C806">
            <v>596590</v>
          </cell>
          <cell r="D806">
            <v>741590</v>
          </cell>
          <cell r="E806">
            <v>1338180</v>
          </cell>
          <cell r="F806">
            <v>3973967</v>
          </cell>
          <cell r="G806">
            <v>5312147</v>
          </cell>
          <cell r="H806">
            <v>705650</v>
          </cell>
        </row>
        <row r="807">
          <cell r="A807" t="str">
            <v>2089</v>
          </cell>
          <cell r="B807" t="str">
            <v>今吉　重美　　　</v>
          </cell>
          <cell r="C807">
            <v>639490</v>
          </cell>
          <cell r="D807">
            <v>741010</v>
          </cell>
          <cell r="E807">
            <v>1380500</v>
          </cell>
          <cell r="F807">
            <v>2981144</v>
          </cell>
          <cell r="G807">
            <v>4361644</v>
          </cell>
          <cell r="H807">
            <v>666090</v>
          </cell>
        </row>
        <row r="808">
          <cell r="A808" t="str">
            <v>2259</v>
          </cell>
          <cell r="B808" t="str">
            <v>岩崎　裕也　　　</v>
          </cell>
          <cell r="C808">
            <v>667940</v>
          </cell>
          <cell r="D808">
            <v>740950</v>
          </cell>
          <cell r="E808">
            <v>1408890</v>
          </cell>
          <cell r="F808">
            <v>3600401</v>
          </cell>
          <cell r="G808">
            <v>5009291</v>
          </cell>
          <cell r="H808">
            <v>746940</v>
          </cell>
        </row>
        <row r="809">
          <cell r="A809" t="str">
            <v>2374</v>
          </cell>
          <cell r="B809" t="str">
            <v>中村　浩幸　　　</v>
          </cell>
          <cell r="C809">
            <v>648230</v>
          </cell>
          <cell r="D809">
            <v>740820</v>
          </cell>
          <cell r="E809">
            <v>1389050</v>
          </cell>
          <cell r="F809">
            <v>3137933</v>
          </cell>
          <cell r="G809">
            <v>4526983</v>
          </cell>
          <cell r="H809">
            <v>693350</v>
          </cell>
        </row>
        <row r="810">
          <cell r="A810" t="str">
            <v>0130</v>
          </cell>
          <cell r="B810" t="str">
            <v>阪本　広務　　　</v>
          </cell>
          <cell r="C810">
            <v>691730</v>
          </cell>
          <cell r="D810">
            <v>737170</v>
          </cell>
          <cell r="E810">
            <v>1428900</v>
          </cell>
          <cell r="F810">
            <v>3567530</v>
          </cell>
          <cell r="G810">
            <v>4996430</v>
          </cell>
          <cell r="H810">
            <v>691140</v>
          </cell>
        </row>
        <row r="811">
          <cell r="A811" t="str">
            <v>2795</v>
          </cell>
          <cell r="B811" t="str">
            <v>中川　隆　　　　</v>
          </cell>
          <cell r="C811">
            <v>622650</v>
          </cell>
          <cell r="D811">
            <v>736560</v>
          </cell>
          <cell r="E811">
            <v>1359210</v>
          </cell>
          <cell r="F811">
            <v>3283370</v>
          </cell>
          <cell r="G811">
            <v>4642580</v>
          </cell>
          <cell r="H811">
            <v>652850</v>
          </cell>
        </row>
        <row r="812">
          <cell r="A812" t="str">
            <v>2612</v>
          </cell>
          <cell r="B812" t="str">
            <v>井上　辰弥　　　</v>
          </cell>
          <cell r="C812">
            <v>602810</v>
          </cell>
          <cell r="D812">
            <v>735160</v>
          </cell>
          <cell r="E812">
            <v>1337970</v>
          </cell>
          <cell r="F812">
            <v>3550993</v>
          </cell>
          <cell r="G812">
            <v>4888963</v>
          </cell>
          <cell r="H812">
            <v>665830</v>
          </cell>
        </row>
        <row r="813">
          <cell r="A813" t="str">
            <v>2645</v>
          </cell>
          <cell r="B813" t="str">
            <v>畠山　昌敏　　　</v>
          </cell>
          <cell r="C813">
            <v>612120</v>
          </cell>
          <cell r="D813">
            <v>733220</v>
          </cell>
          <cell r="E813">
            <v>1345340</v>
          </cell>
          <cell r="F813">
            <v>2763099</v>
          </cell>
          <cell r="G813">
            <v>4108439</v>
          </cell>
          <cell r="H813">
            <v>719460</v>
          </cell>
        </row>
        <row r="814">
          <cell r="A814" t="str">
            <v>2935</v>
          </cell>
          <cell r="B814" t="str">
            <v>福濱　則之　　　</v>
          </cell>
          <cell r="C814">
            <v>531320</v>
          </cell>
          <cell r="D814">
            <v>731830</v>
          </cell>
          <cell r="E814">
            <v>1263150</v>
          </cell>
          <cell r="F814">
            <v>3905297</v>
          </cell>
          <cell r="G814">
            <v>5168447</v>
          </cell>
          <cell r="H814">
            <v>655140</v>
          </cell>
        </row>
        <row r="815">
          <cell r="A815" t="str">
            <v>2905</v>
          </cell>
          <cell r="B815" t="str">
            <v>伊左次　明彦　　</v>
          </cell>
          <cell r="C815">
            <v>620310</v>
          </cell>
          <cell r="D815">
            <v>730640</v>
          </cell>
          <cell r="E815">
            <v>1350950</v>
          </cell>
          <cell r="F815">
            <v>4149958</v>
          </cell>
          <cell r="G815">
            <v>5500908</v>
          </cell>
          <cell r="H815">
            <v>694460</v>
          </cell>
        </row>
        <row r="816">
          <cell r="A816" t="str">
            <v>3293</v>
          </cell>
          <cell r="B816" t="str">
            <v>後藤　正巳　　　</v>
          </cell>
          <cell r="C816">
            <v>685540</v>
          </cell>
          <cell r="D816">
            <v>730450</v>
          </cell>
          <cell r="E816">
            <v>1415990</v>
          </cell>
          <cell r="F816">
            <v>4239596</v>
          </cell>
          <cell r="G816">
            <v>5655586</v>
          </cell>
          <cell r="H816">
            <v>704330</v>
          </cell>
        </row>
        <row r="817">
          <cell r="A817" t="str">
            <v>3394</v>
          </cell>
          <cell r="B817" t="str">
            <v>吉崎　恵美子　　</v>
          </cell>
          <cell r="C817">
            <v>646990</v>
          </cell>
          <cell r="D817">
            <v>729830</v>
          </cell>
          <cell r="E817">
            <v>1376820</v>
          </cell>
          <cell r="F817">
            <v>2849197</v>
          </cell>
          <cell r="G817">
            <v>4226017</v>
          </cell>
          <cell r="H817">
            <v>693910</v>
          </cell>
        </row>
        <row r="818">
          <cell r="A818" t="str">
            <v>2608</v>
          </cell>
          <cell r="B818" t="str">
            <v>池内　一彰　　　</v>
          </cell>
          <cell r="C818">
            <v>625820</v>
          </cell>
          <cell r="D818">
            <v>729570</v>
          </cell>
          <cell r="E818">
            <v>1355390</v>
          </cell>
          <cell r="F818">
            <v>3080925</v>
          </cell>
          <cell r="G818">
            <v>4436315</v>
          </cell>
          <cell r="H818">
            <v>673480</v>
          </cell>
        </row>
        <row r="819">
          <cell r="A819" t="str">
            <v>1943</v>
          </cell>
          <cell r="B819" t="str">
            <v>中島　旨規　　　</v>
          </cell>
          <cell r="C819">
            <v>647760</v>
          </cell>
          <cell r="D819">
            <v>728910</v>
          </cell>
          <cell r="E819">
            <v>1376670</v>
          </cell>
          <cell r="F819">
            <v>3687169</v>
          </cell>
          <cell r="G819">
            <v>5063839</v>
          </cell>
          <cell r="H819">
            <v>674810</v>
          </cell>
        </row>
        <row r="820">
          <cell r="A820" t="str">
            <v>2654</v>
          </cell>
          <cell r="B820" t="str">
            <v>前田　正治　　　</v>
          </cell>
          <cell r="C820">
            <v>593880</v>
          </cell>
          <cell r="D820">
            <v>727180</v>
          </cell>
          <cell r="E820">
            <v>1321060</v>
          </cell>
          <cell r="F820">
            <v>2955577</v>
          </cell>
          <cell r="G820">
            <v>4276637</v>
          </cell>
          <cell r="H820">
            <v>671540</v>
          </cell>
        </row>
        <row r="821">
          <cell r="A821" t="str">
            <v>2667</v>
          </cell>
          <cell r="B821" t="str">
            <v>山本　雅史　　　</v>
          </cell>
          <cell r="C821">
            <v>578800</v>
          </cell>
          <cell r="D821">
            <v>727180</v>
          </cell>
          <cell r="E821">
            <v>1305980</v>
          </cell>
          <cell r="F821">
            <v>3398872</v>
          </cell>
          <cell r="G821">
            <v>4704852</v>
          </cell>
          <cell r="H821">
            <v>661690</v>
          </cell>
        </row>
        <row r="822">
          <cell r="A822" t="str">
            <v>2271</v>
          </cell>
          <cell r="B822" t="str">
            <v>辻　昭浩　　　　</v>
          </cell>
          <cell r="C822">
            <v>671130</v>
          </cell>
          <cell r="D822">
            <v>725970</v>
          </cell>
          <cell r="E822">
            <v>1397100</v>
          </cell>
          <cell r="F822">
            <v>3436370</v>
          </cell>
          <cell r="G822">
            <v>4833470</v>
          </cell>
          <cell r="H822">
            <v>709060</v>
          </cell>
        </row>
        <row r="823">
          <cell r="A823" t="str">
            <v>2478</v>
          </cell>
          <cell r="B823" t="str">
            <v>高島　康一　　　</v>
          </cell>
          <cell r="C823">
            <v>632290</v>
          </cell>
          <cell r="D823">
            <v>723340</v>
          </cell>
          <cell r="E823">
            <v>1355630</v>
          </cell>
          <cell r="F823">
            <v>3534890</v>
          </cell>
          <cell r="G823">
            <v>4890520</v>
          </cell>
          <cell r="H823">
            <v>709260</v>
          </cell>
        </row>
        <row r="824">
          <cell r="A824" t="str">
            <v>0293</v>
          </cell>
          <cell r="B824" t="str">
            <v>大川　時子　　　</v>
          </cell>
          <cell r="C824">
            <v>628360</v>
          </cell>
          <cell r="D824">
            <v>723130</v>
          </cell>
          <cell r="E824">
            <v>1351490</v>
          </cell>
          <cell r="F824">
            <v>3679115</v>
          </cell>
          <cell r="G824">
            <v>5030605</v>
          </cell>
          <cell r="H824">
            <v>652500</v>
          </cell>
        </row>
        <row r="825">
          <cell r="A825" t="str">
            <v>2653</v>
          </cell>
          <cell r="B825" t="str">
            <v>星野　俊樹　　　</v>
          </cell>
          <cell r="C825">
            <v>590820</v>
          </cell>
          <cell r="D825">
            <v>722250</v>
          </cell>
          <cell r="E825">
            <v>1313070</v>
          </cell>
          <cell r="F825">
            <v>3249822</v>
          </cell>
          <cell r="G825">
            <v>4562892</v>
          </cell>
          <cell r="H825">
            <v>623070</v>
          </cell>
        </row>
        <row r="826">
          <cell r="A826" t="str">
            <v>2651</v>
          </cell>
          <cell r="B826" t="str">
            <v>麓　和宏　　　　</v>
          </cell>
          <cell r="C826">
            <v>590820</v>
          </cell>
          <cell r="D826">
            <v>722250</v>
          </cell>
          <cell r="E826">
            <v>1313070</v>
          </cell>
          <cell r="F826">
            <v>3298897</v>
          </cell>
          <cell r="G826">
            <v>4611967</v>
          </cell>
          <cell r="H826">
            <v>678370</v>
          </cell>
        </row>
        <row r="827">
          <cell r="A827" t="str">
            <v>0370</v>
          </cell>
          <cell r="B827" t="str">
            <v>浜川　国和　　　</v>
          </cell>
          <cell r="C827">
            <v>642720</v>
          </cell>
          <cell r="D827">
            <v>721200</v>
          </cell>
          <cell r="E827">
            <v>1363920</v>
          </cell>
          <cell r="F827">
            <v>3727323</v>
          </cell>
          <cell r="G827">
            <v>5091243</v>
          </cell>
          <cell r="H827">
            <v>673310</v>
          </cell>
        </row>
        <row r="828">
          <cell r="A828" t="str">
            <v>2562</v>
          </cell>
          <cell r="B828" t="str">
            <v>沖永　五郎　　　</v>
          </cell>
          <cell r="C828">
            <v>652930</v>
          </cell>
          <cell r="D828">
            <v>720460</v>
          </cell>
          <cell r="E828">
            <v>1373390</v>
          </cell>
          <cell r="F828">
            <v>5287264</v>
          </cell>
          <cell r="G828">
            <v>6660654</v>
          </cell>
          <cell r="H828">
            <v>671660</v>
          </cell>
        </row>
        <row r="829">
          <cell r="A829" t="str">
            <v>1750</v>
          </cell>
          <cell r="B829" t="str">
            <v>河本　宗和　　　</v>
          </cell>
          <cell r="C829">
            <v>667460</v>
          </cell>
          <cell r="D829">
            <v>720270</v>
          </cell>
          <cell r="E829">
            <v>1387730</v>
          </cell>
          <cell r="F829">
            <v>3433735</v>
          </cell>
          <cell r="G829">
            <v>4821465</v>
          </cell>
          <cell r="H829">
            <v>694460</v>
          </cell>
        </row>
        <row r="830">
          <cell r="A830" t="str">
            <v>2090</v>
          </cell>
          <cell r="B830" t="str">
            <v>大沢　重光　　　</v>
          </cell>
          <cell r="C830">
            <v>563980</v>
          </cell>
          <cell r="D830">
            <v>719970</v>
          </cell>
          <cell r="E830">
            <v>1283950</v>
          </cell>
          <cell r="F830">
            <v>3418403</v>
          </cell>
          <cell r="G830">
            <v>4702353</v>
          </cell>
          <cell r="H830">
            <v>655140</v>
          </cell>
        </row>
        <row r="831">
          <cell r="A831" t="str">
            <v>2746</v>
          </cell>
          <cell r="B831" t="str">
            <v>直江　克人　　　</v>
          </cell>
          <cell r="C831">
            <v>581770</v>
          </cell>
          <cell r="D831">
            <v>719970</v>
          </cell>
          <cell r="E831">
            <v>1301740</v>
          </cell>
          <cell r="F831">
            <v>2863976</v>
          </cell>
          <cell r="G831">
            <v>4165716</v>
          </cell>
          <cell r="H831">
            <v>675220</v>
          </cell>
        </row>
        <row r="832">
          <cell r="A832" t="str">
            <v>2178</v>
          </cell>
          <cell r="B832" t="str">
            <v>増子　信行　　　</v>
          </cell>
          <cell r="C832">
            <v>549150</v>
          </cell>
          <cell r="D832">
            <v>719970</v>
          </cell>
          <cell r="E832">
            <v>1269120</v>
          </cell>
          <cell r="F832">
            <v>3528642</v>
          </cell>
          <cell r="G832">
            <v>4797762</v>
          </cell>
          <cell r="H832">
            <v>655140</v>
          </cell>
        </row>
        <row r="833">
          <cell r="A833" t="str">
            <v>2492</v>
          </cell>
          <cell r="B833" t="str">
            <v>福岡　賢一　　　</v>
          </cell>
          <cell r="C833">
            <v>702680</v>
          </cell>
          <cell r="D833">
            <v>719830</v>
          </cell>
          <cell r="E833">
            <v>1422510</v>
          </cell>
          <cell r="F833">
            <v>3496745</v>
          </cell>
          <cell r="G833">
            <v>4919255</v>
          </cell>
          <cell r="H833">
            <v>673120</v>
          </cell>
        </row>
        <row r="834">
          <cell r="A834" t="str">
            <v>2269</v>
          </cell>
          <cell r="B834" t="str">
            <v>聖代橋　健　　　</v>
          </cell>
          <cell r="C834">
            <v>682860</v>
          </cell>
          <cell r="D834">
            <v>719290</v>
          </cell>
          <cell r="E834">
            <v>1402150</v>
          </cell>
          <cell r="F834">
            <v>3594304</v>
          </cell>
          <cell r="G834">
            <v>4996454</v>
          </cell>
          <cell r="H834">
            <v>656820</v>
          </cell>
        </row>
        <row r="835">
          <cell r="A835" t="str">
            <v>2668</v>
          </cell>
          <cell r="B835" t="str">
            <v>若月　憲之　　　</v>
          </cell>
          <cell r="C835">
            <v>587770</v>
          </cell>
          <cell r="D835">
            <v>718600</v>
          </cell>
          <cell r="E835">
            <v>1306370</v>
          </cell>
          <cell r="F835">
            <v>2699160</v>
          </cell>
          <cell r="G835">
            <v>4005530</v>
          </cell>
          <cell r="H835">
            <v>663510</v>
          </cell>
        </row>
        <row r="836">
          <cell r="A836" t="str">
            <v>2623</v>
          </cell>
          <cell r="B836" t="str">
            <v>木下　猛　　　　</v>
          </cell>
          <cell r="C836">
            <v>612120</v>
          </cell>
          <cell r="D836">
            <v>718510</v>
          </cell>
          <cell r="E836">
            <v>1330630</v>
          </cell>
          <cell r="F836">
            <v>2833949</v>
          </cell>
          <cell r="G836">
            <v>4164579</v>
          </cell>
          <cell r="H836">
            <v>652850</v>
          </cell>
        </row>
        <row r="837">
          <cell r="A837" t="str">
            <v>1482</v>
          </cell>
          <cell r="B837" t="str">
            <v>後藤　英二　　　</v>
          </cell>
          <cell r="C837">
            <v>686280</v>
          </cell>
          <cell r="D837">
            <v>717470</v>
          </cell>
          <cell r="E837">
            <v>1403750</v>
          </cell>
          <cell r="F837">
            <v>3733160</v>
          </cell>
          <cell r="G837">
            <v>5136910</v>
          </cell>
          <cell r="H837">
            <v>770390</v>
          </cell>
        </row>
        <row r="838">
          <cell r="A838" t="str">
            <v>2729</v>
          </cell>
          <cell r="B838" t="str">
            <v>安藤　達也　　　</v>
          </cell>
          <cell r="C838">
            <v>647760</v>
          </cell>
          <cell r="D838">
            <v>716890</v>
          </cell>
          <cell r="E838">
            <v>1364650</v>
          </cell>
          <cell r="F838">
            <v>3979909</v>
          </cell>
          <cell r="G838">
            <v>5344559</v>
          </cell>
          <cell r="H838">
            <v>671540</v>
          </cell>
        </row>
        <row r="839">
          <cell r="A839" t="str">
            <v>2730</v>
          </cell>
          <cell r="B839" t="str">
            <v>小林　正樹　　　</v>
          </cell>
          <cell r="C839">
            <v>647760</v>
          </cell>
          <cell r="D839">
            <v>716890</v>
          </cell>
          <cell r="E839">
            <v>1364650</v>
          </cell>
          <cell r="F839">
            <v>4081088</v>
          </cell>
          <cell r="G839">
            <v>5445738</v>
          </cell>
          <cell r="H839">
            <v>671540</v>
          </cell>
        </row>
        <row r="840">
          <cell r="A840" t="str">
            <v>3245</v>
          </cell>
          <cell r="B840" t="str">
            <v>佐藤　美雪　　　</v>
          </cell>
          <cell r="C840">
            <v>648370</v>
          </cell>
          <cell r="D840">
            <v>716840</v>
          </cell>
          <cell r="E840">
            <v>1365210</v>
          </cell>
          <cell r="F840">
            <v>3024352</v>
          </cell>
          <cell r="G840">
            <v>4389562</v>
          </cell>
          <cell r="H840">
            <v>681550</v>
          </cell>
        </row>
        <row r="841">
          <cell r="A841" t="str">
            <v>2772</v>
          </cell>
          <cell r="B841" t="str">
            <v>浮田　裕之　　　</v>
          </cell>
          <cell r="C841">
            <v>636280</v>
          </cell>
          <cell r="D841">
            <v>715020</v>
          </cell>
          <cell r="E841">
            <v>1351300</v>
          </cell>
          <cell r="F841">
            <v>2673395</v>
          </cell>
          <cell r="G841">
            <v>4024695</v>
          </cell>
          <cell r="H841">
            <v>635230</v>
          </cell>
        </row>
        <row r="842">
          <cell r="A842" t="str">
            <v>2768</v>
          </cell>
          <cell r="B842" t="str">
            <v>石黒　久和　　　</v>
          </cell>
          <cell r="C842">
            <v>612120</v>
          </cell>
          <cell r="D842">
            <v>715020</v>
          </cell>
          <cell r="E842">
            <v>1327140</v>
          </cell>
          <cell r="F842">
            <v>2775585</v>
          </cell>
          <cell r="G842">
            <v>4102725</v>
          </cell>
          <cell r="H842">
            <v>664130</v>
          </cell>
        </row>
        <row r="843">
          <cell r="A843" t="str">
            <v>2916</v>
          </cell>
          <cell r="B843" t="str">
            <v>三好　孝治　　　</v>
          </cell>
          <cell r="C843">
            <v>572860</v>
          </cell>
          <cell r="D843">
            <v>712750</v>
          </cell>
          <cell r="E843">
            <v>1285610</v>
          </cell>
          <cell r="F843">
            <v>2691130</v>
          </cell>
          <cell r="G843">
            <v>3976740</v>
          </cell>
          <cell r="H843">
            <v>708850</v>
          </cell>
        </row>
        <row r="844">
          <cell r="A844" t="str">
            <v>2770</v>
          </cell>
          <cell r="B844" t="str">
            <v>稲垣　克行　　　</v>
          </cell>
          <cell r="C844">
            <v>629790</v>
          </cell>
          <cell r="D844">
            <v>711500</v>
          </cell>
          <cell r="E844">
            <v>1341290</v>
          </cell>
          <cell r="F844">
            <v>3025521</v>
          </cell>
          <cell r="G844">
            <v>4366811</v>
          </cell>
          <cell r="H844">
            <v>619300</v>
          </cell>
        </row>
        <row r="845">
          <cell r="A845" t="str">
            <v>2819</v>
          </cell>
          <cell r="B845" t="str">
            <v>山田　繁紀　　　</v>
          </cell>
          <cell r="C845">
            <v>609020</v>
          </cell>
          <cell r="D845">
            <v>711500</v>
          </cell>
          <cell r="E845">
            <v>1320520</v>
          </cell>
          <cell r="F845">
            <v>2810037</v>
          </cell>
          <cell r="G845">
            <v>4130557</v>
          </cell>
          <cell r="H845">
            <v>646460</v>
          </cell>
        </row>
        <row r="846">
          <cell r="A846" t="str">
            <v>1359</v>
          </cell>
          <cell r="B846" t="str">
            <v>白井　仁人　　　</v>
          </cell>
          <cell r="C846">
            <v>667940</v>
          </cell>
          <cell r="D846">
            <v>711260</v>
          </cell>
          <cell r="E846">
            <v>1379200</v>
          </cell>
          <cell r="F846">
            <v>3355117</v>
          </cell>
          <cell r="G846">
            <v>4734317</v>
          </cell>
          <cell r="H846">
            <v>697710</v>
          </cell>
        </row>
        <row r="847">
          <cell r="A847" t="str">
            <v>3279</v>
          </cell>
          <cell r="B847" t="str">
            <v>津村　昭子　　　</v>
          </cell>
          <cell r="C847">
            <v>562190</v>
          </cell>
          <cell r="D847">
            <v>711060</v>
          </cell>
          <cell r="E847">
            <v>1273250</v>
          </cell>
          <cell r="F847">
            <v>3273645</v>
          </cell>
          <cell r="G847">
            <v>4546895</v>
          </cell>
          <cell r="H847">
            <v>665700</v>
          </cell>
        </row>
        <row r="848">
          <cell r="A848" t="str">
            <v>1939</v>
          </cell>
          <cell r="B848" t="str">
            <v>佐伯　達也　　　</v>
          </cell>
          <cell r="C848">
            <v>651430</v>
          </cell>
          <cell r="D848">
            <v>710250</v>
          </cell>
          <cell r="E848">
            <v>1361680</v>
          </cell>
          <cell r="F848">
            <v>3867113</v>
          </cell>
          <cell r="G848">
            <v>5228793</v>
          </cell>
          <cell r="H848">
            <v>711450</v>
          </cell>
        </row>
        <row r="849">
          <cell r="A849" t="str">
            <v>2455</v>
          </cell>
          <cell r="B849" t="str">
            <v>井草　剛史　　　</v>
          </cell>
          <cell r="C849">
            <v>630200</v>
          </cell>
          <cell r="D849">
            <v>709960</v>
          </cell>
          <cell r="E849">
            <v>1340160</v>
          </cell>
          <cell r="F849">
            <v>3237647</v>
          </cell>
          <cell r="G849">
            <v>4577807</v>
          </cell>
          <cell r="H849">
            <v>655850</v>
          </cell>
        </row>
        <row r="850">
          <cell r="A850" t="str">
            <v>2179</v>
          </cell>
          <cell r="B850" t="str">
            <v>茂木　実　　　　</v>
          </cell>
          <cell r="C850">
            <v>560370</v>
          </cell>
          <cell r="D850">
            <v>709380</v>
          </cell>
          <cell r="E850">
            <v>1269750</v>
          </cell>
          <cell r="F850">
            <v>2725655</v>
          </cell>
          <cell r="G850">
            <v>3995405</v>
          </cell>
          <cell r="H850">
            <v>715930</v>
          </cell>
        </row>
        <row r="851">
          <cell r="A851" t="str">
            <v>0480</v>
          </cell>
          <cell r="B851" t="str">
            <v>岡崎　豊太郎　　</v>
          </cell>
          <cell r="C851">
            <v>646110</v>
          </cell>
          <cell r="D851">
            <v>708290</v>
          </cell>
          <cell r="E851">
            <v>1354400</v>
          </cell>
          <cell r="F851">
            <v>3375557</v>
          </cell>
          <cell r="G851">
            <v>4729957</v>
          </cell>
          <cell r="H851">
            <v>626540</v>
          </cell>
        </row>
        <row r="852">
          <cell r="A852" t="str">
            <v>1723</v>
          </cell>
          <cell r="B852" t="str">
            <v>坂井　哲也　　　</v>
          </cell>
          <cell r="C852">
            <v>655210</v>
          </cell>
          <cell r="D852">
            <v>706360</v>
          </cell>
          <cell r="E852">
            <v>1361570</v>
          </cell>
          <cell r="F852">
            <v>3263498</v>
          </cell>
          <cell r="G852">
            <v>4625068</v>
          </cell>
          <cell r="H852">
            <v>637980</v>
          </cell>
        </row>
        <row r="853">
          <cell r="A853" t="str">
            <v>0957</v>
          </cell>
          <cell r="B853" t="str">
            <v>五十嵐　主税　　</v>
          </cell>
          <cell r="C853">
            <v>673690</v>
          </cell>
          <cell r="D853">
            <v>705800</v>
          </cell>
          <cell r="E853">
            <v>1379490</v>
          </cell>
          <cell r="F853">
            <v>3662347</v>
          </cell>
          <cell r="G853">
            <v>5041837</v>
          </cell>
          <cell r="H853">
            <v>680550</v>
          </cell>
        </row>
        <row r="854">
          <cell r="A854" t="str">
            <v>2794</v>
          </cell>
          <cell r="B854" t="str">
            <v>戸田　正志　　　</v>
          </cell>
          <cell r="C854">
            <v>602810</v>
          </cell>
          <cell r="D854">
            <v>704500</v>
          </cell>
          <cell r="E854">
            <v>1307310</v>
          </cell>
          <cell r="F854">
            <v>3048460</v>
          </cell>
          <cell r="G854">
            <v>4355770</v>
          </cell>
          <cell r="H854">
            <v>640110</v>
          </cell>
        </row>
        <row r="855">
          <cell r="A855" t="str">
            <v>2807</v>
          </cell>
          <cell r="B855" t="str">
            <v>濱元　浩一　　　</v>
          </cell>
          <cell r="C855">
            <v>571330</v>
          </cell>
          <cell r="D855">
            <v>704500</v>
          </cell>
          <cell r="E855">
            <v>1275830</v>
          </cell>
          <cell r="F855">
            <v>3326940</v>
          </cell>
          <cell r="G855">
            <v>4602770</v>
          </cell>
          <cell r="H855">
            <v>640110</v>
          </cell>
        </row>
        <row r="856">
          <cell r="A856" t="str">
            <v>2818</v>
          </cell>
          <cell r="B856" t="str">
            <v>多賀谷　哲　　　</v>
          </cell>
          <cell r="C856">
            <v>613120</v>
          </cell>
          <cell r="D856">
            <v>704500</v>
          </cell>
          <cell r="E856">
            <v>1317620</v>
          </cell>
          <cell r="F856">
            <v>3211752</v>
          </cell>
          <cell r="G856">
            <v>4529372</v>
          </cell>
          <cell r="H856">
            <v>654340</v>
          </cell>
        </row>
        <row r="857">
          <cell r="A857" t="str">
            <v>2785</v>
          </cell>
          <cell r="B857" t="str">
            <v>佐和　邦彦　　　</v>
          </cell>
          <cell r="C857">
            <v>619480</v>
          </cell>
          <cell r="D857">
            <v>704500</v>
          </cell>
          <cell r="E857">
            <v>1323980</v>
          </cell>
          <cell r="F857">
            <v>3490986</v>
          </cell>
          <cell r="G857">
            <v>4814966</v>
          </cell>
          <cell r="H857">
            <v>640110</v>
          </cell>
        </row>
        <row r="858">
          <cell r="A858" t="str">
            <v>1999</v>
          </cell>
          <cell r="B858" t="str">
            <v>大古田　和広　　</v>
          </cell>
          <cell r="C858">
            <v>612870</v>
          </cell>
          <cell r="D858">
            <v>703090</v>
          </cell>
          <cell r="E858">
            <v>1315960</v>
          </cell>
          <cell r="F858">
            <v>2878551</v>
          </cell>
          <cell r="G858">
            <v>4194511</v>
          </cell>
          <cell r="H858">
            <v>687800</v>
          </cell>
        </row>
        <row r="859">
          <cell r="A859" t="str">
            <v>2786</v>
          </cell>
          <cell r="B859" t="str">
            <v>芝田　匡　　　　</v>
          </cell>
          <cell r="C859">
            <v>599700</v>
          </cell>
          <cell r="D859">
            <v>701000</v>
          </cell>
          <cell r="E859">
            <v>1300700</v>
          </cell>
          <cell r="F859">
            <v>3329417</v>
          </cell>
          <cell r="G859">
            <v>4630117</v>
          </cell>
          <cell r="H859">
            <v>651100</v>
          </cell>
        </row>
        <row r="860">
          <cell r="A860" t="str">
            <v>3027</v>
          </cell>
          <cell r="B860" t="str">
            <v>山本　雅仁　　　</v>
          </cell>
          <cell r="C860">
            <v>587010</v>
          </cell>
          <cell r="D860">
            <v>701000</v>
          </cell>
          <cell r="E860">
            <v>1288010</v>
          </cell>
          <cell r="F860">
            <v>3216341</v>
          </cell>
          <cell r="G860">
            <v>4504351</v>
          </cell>
          <cell r="H860">
            <v>636940</v>
          </cell>
        </row>
        <row r="861">
          <cell r="A861" t="str">
            <v>2804</v>
          </cell>
          <cell r="B861" t="str">
            <v>西村　俊哉　　　</v>
          </cell>
          <cell r="C861">
            <v>625820</v>
          </cell>
          <cell r="D861">
            <v>698860</v>
          </cell>
          <cell r="E861">
            <v>1324680</v>
          </cell>
          <cell r="F861">
            <v>3218462</v>
          </cell>
          <cell r="G861">
            <v>4543142</v>
          </cell>
          <cell r="H861">
            <v>635230</v>
          </cell>
        </row>
        <row r="862">
          <cell r="A862" t="str">
            <v>2809</v>
          </cell>
          <cell r="B862" t="str">
            <v>藤井　護　　　　</v>
          </cell>
          <cell r="C862">
            <v>609020</v>
          </cell>
          <cell r="D862">
            <v>698860</v>
          </cell>
          <cell r="E862">
            <v>1307880</v>
          </cell>
          <cell r="F862">
            <v>2762991</v>
          </cell>
          <cell r="G862">
            <v>4070871</v>
          </cell>
          <cell r="H862">
            <v>649680</v>
          </cell>
        </row>
        <row r="863">
          <cell r="A863" t="str">
            <v>2610</v>
          </cell>
          <cell r="B863" t="str">
            <v>池本　正浩　　　</v>
          </cell>
          <cell r="C863">
            <v>622650</v>
          </cell>
          <cell r="D863">
            <v>698860</v>
          </cell>
          <cell r="E863">
            <v>1321510</v>
          </cell>
          <cell r="F863">
            <v>2711747</v>
          </cell>
          <cell r="G863">
            <v>4033257</v>
          </cell>
          <cell r="H863">
            <v>601510</v>
          </cell>
        </row>
        <row r="864">
          <cell r="A864" t="str">
            <v>1150</v>
          </cell>
          <cell r="B864" t="str">
            <v>貴田　勇一　　　</v>
          </cell>
          <cell r="C864">
            <v>800930</v>
          </cell>
          <cell r="D864">
            <v>698770</v>
          </cell>
          <cell r="E864">
            <v>1499700</v>
          </cell>
          <cell r="F864">
            <v>1149126</v>
          </cell>
          <cell r="G864">
            <v>2648826</v>
          </cell>
          <cell r="H864">
            <v>771070</v>
          </cell>
        </row>
        <row r="865">
          <cell r="A865" t="str">
            <v>2988</v>
          </cell>
          <cell r="B865" t="str">
            <v>千葉　安男　　　</v>
          </cell>
          <cell r="C865">
            <v>572360</v>
          </cell>
          <cell r="D865">
            <v>697520</v>
          </cell>
          <cell r="E865">
            <v>1269880</v>
          </cell>
          <cell r="F865">
            <v>2628734</v>
          </cell>
          <cell r="G865">
            <v>3898614</v>
          </cell>
          <cell r="H865">
            <v>633750</v>
          </cell>
        </row>
        <row r="866">
          <cell r="A866" t="str">
            <v>2948</v>
          </cell>
          <cell r="B866" t="str">
            <v>天羽　光一　　　</v>
          </cell>
          <cell r="C866">
            <v>584480</v>
          </cell>
          <cell r="D866">
            <v>697520</v>
          </cell>
          <cell r="E866">
            <v>1282000</v>
          </cell>
          <cell r="F866">
            <v>2815181</v>
          </cell>
          <cell r="G866">
            <v>4097181</v>
          </cell>
          <cell r="H866">
            <v>619660</v>
          </cell>
        </row>
        <row r="867">
          <cell r="A867" t="str">
            <v>3019</v>
          </cell>
          <cell r="B867" t="str">
            <v>溝口　秀幸　　　</v>
          </cell>
          <cell r="C867">
            <v>587010</v>
          </cell>
          <cell r="D867">
            <v>695220</v>
          </cell>
          <cell r="E867">
            <v>1282230</v>
          </cell>
          <cell r="F867">
            <v>2657780</v>
          </cell>
          <cell r="G867">
            <v>3940010</v>
          </cell>
          <cell r="H867">
            <v>654340</v>
          </cell>
        </row>
        <row r="868">
          <cell r="A868" t="str">
            <v>2642</v>
          </cell>
          <cell r="B868" t="str">
            <v>中村　勝彦　　　</v>
          </cell>
          <cell r="C868">
            <v>596910</v>
          </cell>
          <cell r="D868">
            <v>691990</v>
          </cell>
          <cell r="E868">
            <v>1288900</v>
          </cell>
          <cell r="F868">
            <v>2779040</v>
          </cell>
          <cell r="G868">
            <v>4067940</v>
          </cell>
          <cell r="H868">
            <v>628980</v>
          </cell>
        </row>
        <row r="869">
          <cell r="A869" t="str">
            <v>2606</v>
          </cell>
          <cell r="B869" t="str">
            <v>阿手　勝範　　　</v>
          </cell>
          <cell r="C869">
            <v>596910</v>
          </cell>
          <cell r="D869">
            <v>691990</v>
          </cell>
          <cell r="E869">
            <v>1288900</v>
          </cell>
          <cell r="F869">
            <v>2653839</v>
          </cell>
          <cell r="G869">
            <v>3942739</v>
          </cell>
          <cell r="H869">
            <v>657600</v>
          </cell>
        </row>
        <row r="870">
          <cell r="A870" t="str">
            <v>2619</v>
          </cell>
          <cell r="B870" t="str">
            <v>小田　圭一　　　</v>
          </cell>
          <cell r="C870">
            <v>619480</v>
          </cell>
          <cell r="D870">
            <v>691990</v>
          </cell>
          <cell r="E870">
            <v>1311470</v>
          </cell>
          <cell r="F870">
            <v>2717229</v>
          </cell>
          <cell r="G870">
            <v>4028699</v>
          </cell>
          <cell r="H870">
            <v>616260</v>
          </cell>
        </row>
        <row r="871">
          <cell r="A871" t="str">
            <v>2927</v>
          </cell>
          <cell r="B871" t="str">
            <v>財津　誠司　　　</v>
          </cell>
          <cell r="C871">
            <v>621430</v>
          </cell>
          <cell r="D871">
            <v>689370</v>
          </cell>
          <cell r="E871">
            <v>1310800</v>
          </cell>
          <cell r="F871">
            <v>2714386</v>
          </cell>
          <cell r="G871">
            <v>4025186</v>
          </cell>
          <cell r="H871">
            <v>592800</v>
          </cell>
        </row>
        <row r="872">
          <cell r="A872" t="str">
            <v>2808</v>
          </cell>
          <cell r="B872" t="str">
            <v>平松　義則　　　</v>
          </cell>
          <cell r="C872">
            <v>602810</v>
          </cell>
          <cell r="D872">
            <v>688570</v>
          </cell>
          <cell r="E872">
            <v>1291380</v>
          </cell>
          <cell r="F872">
            <v>2630372</v>
          </cell>
          <cell r="G872">
            <v>3921752</v>
          </cell>
          <cell r="H872">
            <v>654340</v>
          </cell>
        </row>
        <row r="873">
          <cell r="A873" t="str">
            <v>2947</v>
          </cell>
          <cell r="B873" t="str">
            <v>阿部　徹　　　　</v>
          </cell>
          <cell r="C873">
            <v>599860</v>
          </cell>
          <cell r="D873">
            <v>688570</v>
          </cell>
          <cell r="E873">
            <v>1288430</v>
          </cell>
          <cell r="F873">
            <v>3045046</v>
          </cell>
          <cell r="G873">
            <v>4333476</v>
          </cell>
          <cell r="H873">
            <v>640110</v>
          </cell>
        </row>
        <row r="874">
          <cell r="A874" t="str">
            <v>2843</v>
          </cell>
          <cell r="B874" t="str">
            <v>岩田　和子　　　</v>
          </cell>
          <cell r="C874">
            <v>616300</v>
          </cell>
          <cell r="D874">
            <v>688570</v>
          </cell>
          <cell r="E874">
            <v>1304870</v>
          </cell>
          <cell r="F874">
            <v>2658637</v>
          </cell>
          <cell r="G874">
            <v>3963507</v>
          </cell>
          <cell r="H874">
            <v>640110</v>
          </cell>
        </row>
        <row r="875">
          <cell r="A875" t="str">
            <v>2987</v>
          </cell>
          <cell r="B875" t="str">
            <v>田川　和紀　　　</v>
          </cell>
          <cell r="C875">
            <v>599860</v>
          </cell>
          <cell r="D875">
            <v>688570</v>
          </cell>
          <cell r="E875">
            <v>1288430</v>
          </cell>
          <cell r="F875">
            <v>3449480</v>
          </cell>
          <cell r="G875">
            <v>4737910</v>
          </cell>
          <cell r="H875">
            <v>654340</v>
          </cell>
        </row>
        <row r="876">
          <cell r="A876" t="str">
            <v>3016</v>
          </cell>
          <cell r="B876" t="str">
            <v>松崎　明治　　　</v>
          </cell>
          <cell r="C876">
            <v>587010</v>
          </cell>
          <cell r="D876">
            <v>688570</v>
          </cell>
          <cell r="E876">
            <v>1275580</v>
          </cell>
          <cell r="F876">
            <v>2681511</v>
          </cell>
          <cell r="G876">
            <v>3957091</v>
          </cell>
          <cell r="H876">
            <v>640110</v>
          </cell>
        </row>
        <row r="877">
          <cell r="A877" t="str">
            <v>2640</v>
          </cell>
          <cell r="B877" t="str">
            <v>中谷　貞康　　　</v>
          </cell>
          <cell r="C877">
            <v>602810</v>
          </cell>
          <cell r="D877">
            <v>688350</v>
          </cell>
          <cell r="E877">
            <v>1291160</v>
          </cell>
          <cell r="F877">
            <v>2941316</v>
          </cell>
          <cell r="G877">
            <v>4232476</v>
          </cell>
          <cell r="H877">
            <v>678180</v>
          </cell>
        </row>
        <row r="878">
          <cell r="A878" t="str">
            <v>2813</v>
          </cell>
          <cell r="B878" t="str">
            <v>本田　稔　　　　</v>
          </cell>
          <cell r="C878">
            <v>602810</v>
          </cell>
          <cell r="D878">
            <v>685150</v>
          </cell>
          <cell r="E878">
            <v>1287960</v>
          </cell>
          <cell r="F878">
            <v>3137744</v>
          </cell>
          <cell r="G878">
            <v>4425704</v>
          </cell>
          <cell r="H878">
            <v>622770</v>
          </cell>
        </row>
        <row r="879">
          <cell r="A879" t="str">
            <v>2961</v>
          </cell>
          <cell r="B879" t="str">
            <v>大橋　弘之　　　</v>
          </cell>
          <cell r="C879">
            <v>597270</v>
          </cell>
          <cell r="D879">
            <v>685150</v>
          </cell>
          <cell r="E879">
            <v>1282420</v>
          </cell>
          <cell r="F879">
            <v>2720042</v>
          </cell>
          <cell r="G879">
            <v>4002462</v>
          </cell>
          <cell r="H879">
            <v>636940</v>
          </cell>
        </row>
        <row r="880">
          <cell r="A880" t="str">
            <v>2979</v>
          </cell>
          <cell r="B880" t="str">
            <v>白井　美樹　　　</v>
          </cell>
          <cell r="C880">
            <v>597270</v>
          </cell>
          <cell r="D880">
            <v>685150</v>
          </cell>
          <cell r="E880">
            <v>1282420</v>
          </cell>
          <cell r="F880">
            <v>2793729</v>
          </cell>
          <cell r="G880">
            <v>4076149</v>
          </cell>
          <cell r="H880">
            <v>636940</v>
          </cell>
        </row>
        <row r="881">
          <cell r="A881" t="str">
            <v>2997</v>
          </cell>
          <cell r="B881" t="str">
            <v>中野　正彦　　　</v>
          </cell>
          <cell r="C881">
            <v>584480</v>
          </cell>
          <cell r="D881">
            <v>685150</v>
          </cell>
          <cell r="E881">
            <v>1269630</v>
          </cell>
          <cell r="F881">
            <v>2694344</v>
          </cell>
          <cell r="G881">
            <v>3963974</v>
          </cell>
          <cell r="H881">
            <v>636940</v>
          </cell>
        </row>
        <row r="882">
          <cell r="A882" t="str">
            <v>3007</v>
          </cell>
          <cell r="B882" t="str">
            <v>花房　進一　　　</v>
          </cell>
          <cell r="C882">
            <v>599860</v>
          </cell>
          <cell r="D882">
            <v>685150</v>
          </cell>
          <cell r="E882">
            <v>1285010</v>
          </cell>
          <cell r="F882">
            <v>2866657</v>
          </cell>
          <cell r="G882">
            <v>4151667</v>
          </cell>
          <cell r="H882">
            <v>636940</v>
          </cell>
        </row>
        <row r="883">
          <cell r="A883" t="str">
            <v>2847</v>
          </cell>
          <cell r="B883" t="str">
            <v>杉山　美和　　　</v>
          </cell>
          <cell r="C883">
            <v>619480</v>
          </cell>
          <cell r="D883">
            <v>685150</v>
          </cell>
          <cell r="E883">
            <v>1304630</v>
          </cell>
          <cell r="F883">
            <v>2635946</v>
          </cell>
          <cell r="G883">
            <v>3940576</v>
          </cell>
          <cell r="H883">
            <v>610180</v>
          </cell>
        </row>
        <row r="884">
          <cell r="A884" t="str">
            <v>2969</v>
          </cell>
          <cell r="B884" t="str">
            <v>清原　吉幸　　　</v>
          </cell>
          <cell r="C884">
            <v>577380</v>
          </cell>
          <cell r="D884">
            <v>685150</v>
          </cell>
          <cell r="E884">
            <v>1262530</v>
          </cell>
          <cell r="F884">
            <v>2734529</v>
          </cell>
          <cell r="G884">
            <v>3997059</v>
          </cell>
          <cell r="H884">
            <v>636940</v>
          </cell>
        </row>
        <row r="885">
          <cell r="A885" t="str">
            <v>3026</v>
          </cell>
          <cell r="B885" t="str">
            <v>山本　隆夫　　　</v>
          </cell>
          <cell r="C885">
            <v>587010</v>
          </cell>
          <cell r="D885">
            <v>685150</v>
          </cell>
          <cell r="E885">
            <v>1272160</v>
          </cell>
          <cell r="F885">
            <v>2632311</v>
          </cell>
          <cell r="G885">
            <v>3904471</v>
          </cell>
          <cell r="H885">
            <v>610180</v>
          </cell>
        </row>
        <row r="886">
          <cell r="A886" t="str">
            <v>1891</v>
          </cell>
          <cell r="B886" t="str">
            <v>小池　正行　　　</v>
          </cell>
          <cell r="C886">
            <v>617210</v>
          </cell>
          <cell r="D886">
            <v>683940</v>
          </cell>
          <cell r="E886">
            <v>1301150</v>
          </cell>
          <cell r="F886">
            <v>3037740</v>
          </cell>
          <cell r="G886">
            <v>4338890</v>
          </cell>
          <cell r="H886">
            <v>770910</v>
          </cell>
        </row>
        <row r="887">
          <cell r="A887" t="str">
            <v>2823</v>
          </cell>
          <cell r="B887" t="str">
            <v>吉田　司　　　　</v>
          </cell>
          <cell r="C887">
            <v>596910</v>
          </cell>
          <cell r="D887">
            <v>682690</v>
          </cell>
          <cell r="E887">
            <v>1279600</v>
          </cell>
          <cell r="F887">
            <v>2718207</v>
          </cell>
          <cell r="G887">
            <v>3997807</v>
          </cell>
          <cell r="H887">
            <v>649680</v>
          </cell>
        </row>
        <row r="888">
          <cell r="A888" t="str">
            <v>2825</v>
          </cell>
          <cell r="B888" t="str">
            <v>和田　成弘　　　</v>
          </cell>
          <cell r="C888">
            <v>596910</v>
          </cell>
          <cell r="D888">
            <v>682690</v>
          </cell>
          <cell r="E888">
            <v>1279600</v>
          </cell>
          <cell r="F888">
            <v>2911142</v>
          </cell>
          <cell r="G888">
            <v>4190742</v>
          </cell>
          <cell r="H888">
            <v>635230</v>
          </cell>
        </row>
        <row r="889">
          <cell r="A889" t="str">
            <v>2347</v>
          </cell>
          <cell r="B889" t="str">
            <v>神庭　勇二　　　</v>
          </cell>
          <cell r="C889">
            <v>603640</v>
          </cell>
          <cell r="D889">
            <v>682510</v>
          </cell>
          <cell r="E889">
            <v>1286150</v>
          </cell>
          <cell r="F889">
            <v>3603686</v>
          </cell>
          <cell r="G889">
            <v>4889836</v>
          </cell>
          <cell r="H889">
            <v>644550</v>
          </cell>
        </row>
        <row r="890">
          <cell r="A890" t="str">
            <v>1918</v>
          </cell>
          <cell r="B890" t="str">
            <v>山縣　昇　　　　</v>
          </cell>
          <cell r="C890">
            <v>683610</v>
          </cell>
          <cell r="D890">
            <v>682270</v>
          </cell>
          <cell r="E890">
            <v>1365880</v>
          </cell>
          <cell r="F890">
            <v>2301498</v>
          </cell>
          <cell r="G890">
            <v>3667378</v>
          </cell>
          <cell r="H890">
            <v>641970</v>
          </cell>
        </row>
        <row r="891">
          <cell r="A891" t="str">
            <v>3024</v>
          </cell>
          <cell r="B891" t="str">
            <v>山地　利一　　　</v>
          </cell>
          <cell r="C891">
            <v>597270</v>
          </cell>
          <cell r="D891">
            <v>681750</v>
          </cell>
          <cell r="E891">
            <v>1279020</v>
          </cell>
          <cell r="F891">
            <v>2710892</v>
          </cell>
          <cell r="G891">
            <v>3989912</v>
          </cell>
          <cell r="H891">
            <v>633750</v>
          </cell>
        </row>
        <row r="892">
          <cell r="A892" t="str">
            <v>3037</v>
          </cell>
          <cell r="B892" t="str">
            <v>桧垣　博美　　　</v>
          </cell>
          <cell r="C892">
            <v>539730</v>
          </cell>
          <cell r="D892">
            <v>681750</v>
          </cell>
          <cell r="E892">
            <v>1221480</v>
          </cell>
          <cell r="F892">
            <v>2575070</v>
          </cell>
          <cell r="G892">
            <v>3796550</v>
          </cell>
          <cell r="H892">
            <v>619660</v>
          </cell>
        </row>
        <row r="893">
          <cell r="A893" t="str">
            <v>2811</v>
          </cell>
          <cell r="B893" t="str">
            <v>藤村　剛　　　　</v>
          </cell>
          <cell r="C893">
            <v>590820</v>
          </cell>
          <cell r="D893">
            <v>681750</v>
          </cell>
          <cell r="E893">
            <v>1272570</v>
          </cell>
          <cell r="F893">
            <v>2840520</v>
          </cell>
          <cell r="G893">
            <v>4113090</v>
          </cell>
          <cell r="H893">
            <v>619660</v>
          </cell>
        </row>
        <row r="894">
          <cell r="A894" t="str">
            <v>2765</v>
          </cell>
          <cell r="B894" t="str">
            <v>秋田　浩司　　　</v>
          </cell>
          <cell r="C894">
            <v>608650</v>
          </cell>
          <cell r="D894">
            <v>679870</v>
          </cell>
          <cell r="E894">
            <v>1288520</v>
          </cell>
          <cell r="F894">
            <v>2986178</v>
          </cell>
          <cell r="G894">
            <v>4274698</v>
          </cell>
          <cell r="H894">
            <v>632210</v>
          </cell>
        </row>
        <row r="895">
          <cell r="A895" t="str">
            <v>2771</v>
          </cell>
          <cell r="B895" t="str">
            <v>今江　雅樹　　　</v>
          </cell>
          <cell r="C895">
            <v>605920</v>
          </cell>
          <cell r="D895">
            <v>679330</v>
          </cell>
          <cell r="E895">
            <v>1285250</v>
          </cell>
          <cell r="F895">
            <v>3323252</v>
          </cell>
          <cell r="G895">
            <v>4608502</v>
          </cell>
          <cell r="H895">
            <v>632080</v>
          </cell>
        </row>
        <row r="896">
          <cell r="A896" t="str">
            <v>2622</v>
          </cell>
          <cell r="B896" t="str">
            <v>北宅　範久　　　</v>
          </cell>
          <cell r="C896">
            <v>612120</v>
          </cell>
          <cell r="D896">
            <v>679330</v>
          </cell>
          <cell r="E896">
            <v>1291450</v>
          </cell>
          <cell r="F896">
            <v>2882430</v>
          </cell>
          <cell r="G896">
            <v>4173880</v>
          </cell>
          <cell r="H896">
            <v>619300</v>
          </cell>
        </row>
        <row r="897">
          <cell r="A897" t="str">
            <v>0422</v>
          </cell>
          <cell r="B897" t="str">
            <v>森下　好子　　　</v>
          </cell>
          <cell r="C897">
            <v>610260</v>
          </cell>
          <cell r="D897">
            <v>679170</v>
          </cell>
          <cell r="E897">
            <v>1289430</v>
          </cell>
          <cell r="F897">
            <v>2969630</v>
          </cell>
          <cell r="G897">
            <v>4259060</v>
          </cell>
          <cell r="H897">
            <v>612830</v>
          </cell>
        </row>
        <row r="898">
          <cell r="A898" t="str">
            <v>2088</v>
          </cell>
          <cell r="B898" t="str">
            <v>石田　孝幸　　　</v>
          </cell>
          <cell r="C898">
            <v>549230</v>
          </cell>
          <cell r="D898">
            <v>678900</v>
          </cell>
          <cell r="E898">
            <v>1228130</v>
          </cell>
          <cell r="F898">
            <v>2968984</v>
          </cell>
          <cell r="G898">
            <v>4197114</v>
          </cell>
          <cell r="H898">
            <v>628380</v>
          </cell>
        </row>
        <row r="899">
          <cell r="A899" t="str">
            <v>3008</v>
          </cell>
          <cell r="B899" t="str">
            <v>花本　清治　　　</v>
          </cell>
          <cell r="C899">
            <v>572360</v>
          </cell>
          <cell r="D899">
            <v>678330</v>
          </cell>
          <cell r="E899">
            <v>1250690</v>
          </cell>
          <cell r="F899">
            <v>2592684</v>
          </cell>
          <cell r="G899">
            <v>3843374</v>
          </cell>
          <cell r="H899">
            <v>616560</v>
          </cell>
        </row>
        <row r="900">
          <cell r="A900" t="str">
            <v>2778</v>
          </cell>
          <cell r="B900" t="str">
            <v>香川　真志　　　</v>
          </cell>
          <cell r="C900">
            <v>584730</v>
          </cell>
          <cell r="D900">
            <v>678330</v>
          </cell>
          <cell r="E900">
            <v>1263060</v>
          </cell>
          <cell r="F900">
            <v>3325020</v>
          </cell>
          <cell r="G900">
            <v>4588080</v>
          </cell>
          <cell r="H900">
            <v>604100</v>
          </cell>
        </row>
        <row r="901">
          <cell r="A901" t="str">
            <v>2972</v>
          </cell>
          <cell r="B901" t="str">
            <v>小出　直樹　　　</v>
          </cell>
          <cell r="C901">
            <v>581910</v>
          </cell>
          <cell r="D901">
            <v>678330</v>
          </cell>
          <cell r="E901">
            <v>1260240</v>
          </cell>
          <cell r="F901">
            <v>2655983</v>
          </cell>
          <cell r="G901">
            <v>3916223</v>
          </cell>
          <cell r="H901">
            <v>630590</v>
          </cell>
        </row>
        <row r="902">
          <cell r="A902" t="str">
            <v>3000</v>
          </cell>
          <cell r="B902" t="str">
            <v>名越　聖一　　　</v>
          </cell>
          <cell r="C902">
            <v>572360</v>
          </cell>
          <cell r="D902">
            <v>678330</v>
          </cell>
          <cell r="E902">
            <v>1250690</v>
          </cell>
          <cell r="F902">
            <v>2654974</v>
          </cell>
          <cell r="G902">
            <v>3905664</v>
          </cell>
          <cell r="H902">
            <v>630590</v>
          </cell>
        </row>
        <row r="903">
          <cell r="A903" t="str">
            <v>2816</v>
          </cell>
          <cell r="B903" t="str">
            <v>安田　和宏　　　</v>
          </cell>
          <cell r="C903">
            <v>568390</v>
          </cell>
          <cell r="D903">
            <v>678330</v>
          </cell>
          <cell r="E903">
            <v>1246720</v>
          </cell>
          <cell r="F903">
            <v>2612581</v>
          </cell>
          <cell r="G903">
            <v>3859301</v>
          </cell>
          <cell r="H903">
            <v>604100</v>
          </cell>
        </row>
        <row r="904">
          <cell r="A904" t="str">
            <v>3014</v>
          </cell>
          <cell r="B904" t="str">
            <v>藤原　範行　　　</v>
          </cell>
          <cell r="C904">
            <v>611420</v>
          </cell>
          <cell r="D904">
            <v>675840</v>
          </cell>
          <cell r="E904">
            <v>1287260</v>
          </cell>
          <cell r="F904">
            <v>2602745</v>
          </cell>
          <cell r="G904">
            <v>3890005</v>
          </cell>
          <cell r="H904">
            <v>643420</v>
          </cell>
        </row>
        <row r="905">
          <cell r="A905" t="str">
            <v>2970</v>
          </cell>
          <cell r="B905" t="str">
            <v>栗生　丈裕　　　</v>
          </cell>
          <cell r="C905">
            <v>572360</v>
          </cell>
          <cell r="D905">
            <v>674870</v>
          </cell>
          <cell r="E905">
            <v>1247230</v>
          </cell>
          <cell r="F905">
            <v>2637965</v>
          </cell>
          <cell r="G905">
            <v>3885195</v>
          </cell>
          <cell r="H905">
            <v>601020</v>
          </cell>
        </row>
        <row r="906">
          <cell r="A906" t="str">
            <v>2981</v>
          </cell>
          <cell r="B906" t="str">
            <v>杉浦　賢司　　　</v>
          </cell>
          <cell r="C906">
            <v>572360</v>
          </cell>
          <cell r="D906">
            <v>674870</v>
          </cell>
          <cell r="E906">
            <v>1247230</v>
          </cell>
          <cell r="F906">
            <v>2631291</v>
          </cell>
          <cell r="G906">
            <v>3878521</v>
          </cell>
          <cell r="H906">
            <v>627380</v>
          </cell>
        </row>
        <row r="907">
          <cell r="A907" t="str">
            <v>2666</v>
          </cell>
          <cell r="B907" t="str">
            <v>森　泰史　　　　</v>
          </cell>
          <cell r="C907">
            <v>587770</v>
          </cell>
          <cell r="D907">
            <v>674870</v>
          </cell>
          <cell r="E907">
            <v>1262640</v>
          </cell>
          <cell r="F907">
            <v>2990430</v>
          </cell>
          <cell r="G907">
            <v>4253070</v>
          </cell>
          <cell r="H907">
            <v>601020</v>
          </cell>
        </row>
        <row r="908">
          <cell r="A908" t="str">
            <v>3010</v>
          </cell>
          <cell r="B908" t="str">
            <v>原　嘉彦　　　　</v>
          </cell>
          <cell r="C908">
            <v>534970</v>
          </cell>
          <cell r="D908">
            <v>674870</v>
          </cell>
          <cell r="E908">
            <v>1209840</v>
          </cell>
          <cell r="F908">
            <v>2637349</v>
          </cell>
          <cell r="G908">
            <v>3847189</v>
          </cell>
          <cell r="H908">
            <v>627380</v>
          </cell>
        </row>
        <row r="909">
          <cell r="A909" t="str">
            <v>2848</v>
          </cell>
          <cell r="B909" t="str">
            <v>中園　直子　　　</v>
          </cell>
          <cell r="C909">
            <v>587770</v>
          </cell>
          <cell r="D909">
            <v>674870</v>
          </cell>
          <cell r="E909">
            <v>1262640</v>
          </cell>
          <cell r="F909">
            <v>2666943</v>
          </cell>
          <cell r="G909">
            <v>3929583</v>
          </cell>
          <cell r="H909">
            <v>613420</v>
          </cell>
        </row>
        <row r="910">
          <cell r="A910" t="str">
            <v>2901</v>
          </cell>
          <cell r="B910" t="str">
            <v>甲斐　永久　　　</v>
          </cell>
          <cell r="C910">
            <v>621430</v>
          </cell>
          <cell r="D910">
            <v>674860</v>
          </cell>
          <cell r="E910">
            <v>1296290</v>
          </cell>
          <cell r="F910">
            <v>3319798</v>
          </cell>
          <cell r="G910">
            <v>4616088</v>
          </cell>
          <cell r="H910">
            <v>628470</v>
          </cell>
        </row>
        <row r="911">
          <cell r="A911" t="str">
            <v>2589</v>
          </cell>
          <cell r="B911" t="str">
            <v>山田　浩　　　　</v>
          </cell>
          <cell r="C911">
            <v>609010</v>
          </cell>
          <cell r="D911">
            <v>674480</v>
          </cell>
          <cell r="E911">
            <v>1283490</v>
          </cell>
          <cell r="F911">
            <v>2693578</v>
          </cell>
          <cell r="G911">
            <v>3977068</v>
          </cell>
          <cell r="H911">
            <v>615220</v>
          </cell>
        </row>
        <row r="912">
          <cell r="A912" t="str">
            <v>0216</v>
          </cell>
          <cell r="B912" t="str">
            <v>小木曽　ひな子　</v>
          </cell>
          <cell r="C912">
            <v>608760</v>
          </cell>
          <cell r="D912">
            <v>673820</v>
          </cell>
          <cell r="E912">
            <v>1282580</v>
          </cell>
          <cell r="F912">
            <v>3517326</v>
          </cell>
          <cell r="G912">
            <v>4799906</v>
          </cell>
          <cell r="H912">
            <v>631440</v>
          </cell>
        </row>
        <row r="913">
          <cell r="A913" t="str">
            <v>3017</v>
          </cell>
          <cell r="B913" t="str">
            <v>松下　拓也　　　</v>
          </cell>
          <cell r="C913">
            <v>577380</v>
          </cell>
          <cell r="D913">
            <v>672650</v>
          </cell>
          <cell r="E913">
            <v>1250030</v>
          </cell>
          <cell r="F913">
            <v>3489083</v>
          </cell>
          <cell r="G913">
            <v>4739113</v>
          </cell>
          <cell r="H913">
            <v>640110</v>
          </cell>
        </row>
        <row r="914">
          <cell r="A914" t="str">
            <v>2999</v>
          </cell>
          <cell r="B914" t="str">
            <v>中山　隆行　　　</v>
          </cell>
          <cell r="C914">
            <v>599860</v>
          </cell>
          <cell r="D914">
            <v>672650</v>
          </cell>
          <cell r="E914">
            <v>1272510</v>
          </cell>
          <cell r="F914">
            <v>2658128</v>
          </cell>
          <cell r="G914">
            <v>3930638</v>
          </cell>
          <cell r="H914">
            <v>625870</v>
          </cell>
        </row>
        <row r="915">
          <cell r="A915" t="str">
            <v>1641</v>
          </cell>
          <cell r="B915" t="str">
            <v>菊地　千吉　　　</v>
          </cell>
          <cell r="C915">
            <v>578300</v>
          </cell>
          <cell r="D915">
            <v>671910</v>
          </cell>
          <cell r="E915">
            <v>1250210</v>
          </cell>
          <cell r="F915">
            <v>3309129</v>
          </cell>
          <cell r="G915">
            <v>4559339</v>
          </cell>
          <cell r="H915">
            <v>647880</v>
          </cell>
        </row>
        <row r="916">
          <cell r="A916" t="str">
            <v>3011</v>
          </cell>
          <cell r="B916" t="str">
            <v>福藤　哲也　　　</v>
          </cell>
          <cell r="C916">
            <v>572360</v>
          </cell>
          <cell r="D916">
            <v>671460</v>
          </cell>
          <cell r="E916">
            <v>1243820</v>
          </cell>
          <cell r="F916">
            <v>2796884</v>
          </cell>
          <cell r="G916">
            <v>4040704</v>
          </cell>
          <cell r="H916">
            <v>610320</v>
          </cell>
        </row>
        <row r="917">
          <cell r="A917" t="str">
            <v>3034</v>
          </cell>
          <cell r="B917" t="str">
            <v>井場　博子　　　</v>
          </cell>
          <cell r="C917">
            <v>569820</v>
          </cell>
          <cell r="D917">
            <v>671460</v>
          </cell>
          <cell r="E917">
            <v>1241280</v>
          </cell>
          <cell r="F917">
            <v>2680487</v>
          </cell>
          <cell r="G917">
            <v>3921767</v>
          </cell>
          <cell r="H917">
            <v>557870</v>
          </cell>
        </row>
        <row r="918">
          <cell r="A918" t="str">
            <v>2779</v>
          </cell>
          <cell r="B918" t="str">
            <v>嘉嶋　成昭　　　</v>
          </cell>
          <cell r="C918">
            <v>565450</v>
          </cell>
          <cell r="D918">
            <v>671460</v>
          </cell>
          <cell r="E918">
            <v>1236910</v>
          </cell>
          <cell r="F918">
            <v>2610061</v>
          </cell>
          <cell r="G918">
            <v>3846971</v>
          </cell>
          <cell r="H918">
            <v>624200</v>
          </cell>
        </row>
        <row r="919">
          <cell r="A919" t="str">
            <v>2656</v>
          </cell>
          <cell r="B919" t="str">
            <v>松岡　潔　　　　</v>
          </cell>
          <cell r="C919">
            <v>590820</v>
          </cell>
          <cell r="D919">
            <v>669400</v>
          </cell>
          <cell r="E919">
            <v>1260220</v>
          </cell>
          <cell r="F919">
            <v>3360877</v>
          </cell>
          <cell r="G919">
            <v>4621097</v>
          </cell>
          <cell r="H919">
            <v>591140</v>
          </cell>
        </row>
        <row r="920">
          <cell r="A920" t="str">
            <v>2991</v>
          </cell>
          <cell r="B920" t="str">
            <v>寺尾　徹也　　　</v>
          </cell>
          <cell r="C920">
            <v>599860</v>
          </cell>
          <cell r="D920">
            <v>669300</v>
          </cell>
          <cell r="E920">
            <v>1269160</v>
          </cell>
          <cell r="F920">
            <v>3023707</v>
          </cell>
          <cell r="G920">
            <v>4292867</v>
          </cell>
          <cell r="H920">
            <v>636940</v>
          </cell>
        </row>
        <row r="921">
          <cell r="A921" t="str">
            <v>2998</v>
          </cell>
          <cell r="B921" t="str">
            <v>中村　聖一郎　　</v>
          </cell>
          <cell r="C921">
            <v>577380</v>
          </cell>
          <cell r="D921">
            <v>669300</v>
          </cell>
          <cell r="E921">
            <v>1246680</v>
          </cell>
          <cell r="F921">
            <v>3251504</v>
          </cell>
          <cell r="G921">
            <v>4498184</v>
          </cell>
          <cell r="H921">
            <v>622770</v>
          </cell>
        </row>
        <row r="922">
          <cell r="A922" t="str">
            <v>2800</v>
          </cell>
          <cell r="B922" t="str">
            <v>中本　正也　　　</v>
          </cell>
          <cell r="C922">
            <v>590820</v>
          </cell>
          <cell r="D922">
            <v>669300</v>
          </cell>
          <cell r="E922">
            <v>1260120</v>
          </cell>
          <cell r="F922">
            <v>3079470</v>
          </cell>
          <cell r="G922">
            <v>4339590</v>
          </cell>
          <cell r="H922">
            <v>622770</v>
          </cell>
        </row>
        <row r="923">
          <cell r="A923" t="str">
            <v>3015</v>
          </cell>
          <cell r="B923" t="str">
            <v>古山　秀正　　　</v>
          </cell>
          <cell r="C923">
            <v>599860</v>
          </cell>
          <cell r="D923">
            <v>669300</v>
          </cell>
          <cell r="E923">
            <v>1269160</v>
          </cell>
          <cell r="F923">
            <v>3234410</v>
          </cell>
          <cell r="G923">
            <v>4503570</v>
          </cell>
          <cell r="H923">
            <v>622770</v>
          </cell>
        </row>
        <row r="924">
          <cell r="A924" t="str">
            <v>2989</v>
          </cell>
          <cell r="B924" t="str">
            <v>土守　満　　　　</v>
          </cell>
          <cell r="C924">
            <v>597270</v>
          </cell>
          <cell r="D924">
            <v>669300</v>
          </cell>
          <cell r="E924">
            <v>1266570</v>
          </cell>
          <cell r="F924">
            <v>2684151</v>
          </cell>
          <cell r="G924">
            <v>3950721</v>
          </cell>
          <cell r="H924">
            <v>622770</v>
          </cell>
        </row>
        <row r="925">
          <cell r="A925" t="str">
            <v>3022</v>
          </cell>
          <cell r="B925" t="str">
            <v>矢島　徹　　　　</v>
          </cell>
          <cell r="C925">
            <v>584480</v>
          </cell>
          <cell r="D925">
            <v>669300</v>
          </cell>
          <cell r="E925">
            <v>1253780</v>
          </cell>
          <cell r="F925">
            <v>2635963</v>
          </cell>
          <cell r="G925">
            <v>3889743</v>
          </cell>
          <cell r="H925">
            <v>636940</v>
          </cell>
        </row>
        <row r="926">
          <cell r="A926" t="str">
            <v>2256</v>
          </cell>
          <cell r="B926" t="str">
            <v>野田　文範　　　</v>
          </cell>
          <cell r="C926">
            <v>592670</v>
          </cell>
          <cell r="D926">
            <v>668850</v>
          </cell>
          <cell r="E926">
            <v>1261520</v>
          </cell>
          <cell r="F926">
            <v>3444815</v>
          </cell>
          <cell r="G926">
            <v>4706335</v>
          </cell>
          <cell r="H926">
            <v>624430</v>
          </cell>
        </row>
        <row r="927">
          <cell r="A927" t="str">
            <v>1259</v>
          </cell>
          <cell r="B927" t="str">
            <v>倉持　喜一　　　</v>
          </cell>
          <cell r="C927">
            <v>858950</v>
          </cell>
          <cell r="D927">
            <v>668350</v>
          </cell>
          <cell r="E927">
            <v>1527300</v>
          </cell>
          <cell r="F927">
            <v>1306153</v>
          </cell>
          <cell r="G927">
            <v>2833453</v>
          </cell>
          <cell r="H927">
            <v>623920</v>
          </cell>
        </row>
        <row r="928">
          <cell r="A928" t="str">
            <v>3121</v>
          </cell>
          <cell r="B928" t="str">
            <v>高田　雅之　　　</v>
          </cell>
          <cell r="C928">
            <v>552320</v>
          </cell>
          <cell r="D928">
            <v>666300</v>
          </cell>
          <cell r="E928">
            <v>1218620</v>
          </cell>
          <cell r="F928">
            <v>2885755</v>
          </cell>
          <cell r="G928">
            <v>4104375</v>
          </cell>
          <cell r="H928">
            <v>634340</v>
          </cell>
        </row>
        <row r="929">
          <cell r="A929" t="str">
            <v>3122</v>
          </cell>
          <cell r="B929" t="str">
            <v>西崎　孝弘　　　</v>
          </cell>
          <cell r="C929">
            <v>552320</v>
          </cell>
          <cell r="D929">
            <v>666300</v>
          </cell>
          <cell r="E929">
            <v>1218620</v>
          </cell>
          <cell r="F929">
            <v>2629780</v>
          </cell>
          <cell r="G929">
            <v>3848400</v>
          </cell>
          <cell r="H929">
            <v>618920</v>
          </cell>
        </row>
        <row r="930">
          <cell r="A930" t="str">
            <v>3124</v>
          </cell>
          <cell r="B930" t="str">
            <v>原谷　昌宏　　　</v>
          </cell>
          <cell r="C930">
            <v>559020</v>
          </cell>
          <cell r="D930">
            <v>666300</v>
          </cell>
          <cell r="E930">
            <v>1225320</v>
          </cell>
          <cell r="F930">
            <v>2624995</v>
          </cell>
          <cell r="G930">
            <v>3850315</v>
          </cell>
          <cell r="H930">
            <v>621180</v>
          </cell>
        </row>
        <row r="931">
          <cell r="A931" t="str">
            <v>2983</v>
          </cell>
          <cell r="B931" t="str">
            <v>杉本　剛　　　　</v>
          </cell>
          <cell r="C931">
            <v>559720</v>
          </cell>
          <cell r="D931">
            <v>665980</v>
          </cell>
          <cell r="E931">
            <v>1225700</v>
          </cell>
          <cell r="F931">
            <v>2664333</v>
          </cell>
          <cell r="G931">
            <v>3890033</v>
          </cell>
          <cell r="H931">
            <v>607130</v>
          </cell>
        </row>
        <row r="932">
          <cell r="A932" t="str">
            <v>2960</v>
          </cell>
          <cell r="B932" t="str">
            <v>大西　豊　　　　</v>
          </cell>
          <cell r="C932">
            <v>574890</v>
          </cell>
          <cell r="D932">
            <v>665980</v>
          </cell>
          <cell r="E932">
            <v>1240870</v>
          </cell>
          <cell r="F932">
            <v>2630078</v>
          </cell>
          <cell r="G932">
            <v>3870948</v>
          </cell>
          <cell r="H932">
            <v>619660</v>
          </cell>
        </row>
        <row r="933">
          <cell r="A933" t="str">
            <v>2949</v>
          </cell>
          <cell r="B933" t="str">
            <v>荒木　健司　　　</v>
          </cell>
          <cell r="C933">
            <v>581910</v>
          </cell>
          <cell r="D933">
            <v>665980</v>
          </cell>
          <cell r="E933">
            <v>1247890</v>
          </cell>
          <cell r="F933">
            <v>2549226</v>
          </cell>
          <cell r="G933">
            <v>3797116</v>
          </cell>
          <cell r="H933">
            <v>607130</v>
          </cell>
        </row>
        <row r="934">
          <cell r="A934" t="str">
            <v>3001</v>
          </cell>
          <cell r="B934" t="str">
            <v>西川　博隆　　　</v>
          </cell>
          <cell r="C934">
            <v>584480</v>
          </cell>
          <cell r="D934">
            <v>665980</v>
          </cell>
          <cell r="E934">
            <v>1250460</v>
          </cell>
          <cell r="F934">
            <v>3227050</v>
          </cell>
          <cell r="G934">
            <v>4477510</v>
          </cell>
          <cell r="H934">
            <v>607130</v>
          </cell>
        </row>
        <row r="935">
          <cell r="A935" t="str">
            <v>2781</v>
          </cell>
          <cell r="B935" t="str">
            <v>後藤　勝宏　　　</v>
          </cell>
          <cell r="C935">
            <v>529610</v>
          </cell>
          <cell r="D935">
            <v>665980</v>
          </cell>
          <cell r="E935">
            <v>1195590</v>
          </cell>
          <cell r="F935">
            <v>2706854</v>
          </cell>
          <cell r="G935">
            <v>3902444</v>
          </cell>
          <cell r="H935">
            <v>607130</v>
          </cell>
        </row>
        <row r="936">
          <cell r="A936" t="str">
            <v>2628</v>
          </cell>
          <cell r="B936" t="str">
            <v>塩本　健造　　　</v>
          </cell>
          <cell r="C936">
            <v>596910</v>
          </cell>
          <cell r="D936">
            <v>665030</v>
          </cell>
          <cell r="E936">
            <v>1261940</v>
          </cell>
          <cell r="F936">
            <v>2680510</v>
          </cell>
          <cell r="G936">
            <v>3942450</v>
          </cell>
          <cell r="H936">
            <v>619300</v>
          </cell>
        </row>
        <row r="937">
          <cell r="A937" t="str">
            <v>3457</v>
          </cell>
          <cell r="B937" t="str">
            <v>木村　竜夫　　　</v>
          </cell>
          <cell r="C937">
            <v>173000</v>
          </cell>
          <cell r="D937">
            <v>665030</v>
          </cell>
          <cell r="E937">
            <v>838030</v>
          </cell>
          <cell r="F937">
            <v>3237056</v>
          </cell>
          <cell r="G937">
            <v>4075086</v>
          </cell>
          <cell r="H937">
            <v>619300</v>
          </cell>
        </row>
        <row r="938">
          <cell r="A938" t="str">
            <v>2285</v>
          </cell>
          <cell r="B938" t="str">
            <v>神田　晋一　　　</v>
          </cell>
          <cell r="C938">
            <v>594080</v>
          </cell>
          <cell r="D938">
            <v>664630</v>
          </cell>
          <cell r="E938">
            <v>1258710</v>
          </cell>
          <cell r="F938">
            <v>3322757</v>
          </cell>
          <cell r="G938">
            <v>4581467</v>
          </cell>
          <cell r="H938">
            <v>617850</v>
          </cell>
        </row>
        <row r="939">
          <cell r="A939" t="str">
            <v>3021</v>
          </cell>
          <cell r="B939" t="str">
            <v>森川　暢之　　　</v>
          </cell>
          <cell r="C939">
            <v>584480</v>
          </cell>
          <cell r="D939">
            <v>662640</v>
          </cell>
          <cell r="E939">
            <v>1247120</v>
          </cell>
          <cell r="F939">
            <v>3149072</v>
          </cell>
          <cell r="G939">
            <v>4396192</v>
          </cell>
          <cell r="H939">
            <v>604100</v>
          </cell>
        </row>
        <row r="940">
          <cell r="A940" t="str">
            <v>2996</v>
          </cell>
          <cell r="B940" t="str">
            <v>中辻　裕士　　　</v>
          </cell>
          <cell r="C940">
            <v>594640</v>
          </cell>
          <cell r="D940">
            <v>662640</v>
          </cell>
          <cell r="E940">
            <v>1257280</v>
          </cell>
          <cell r="F940">
            <v>2609139</v>
          </cell>
          <cell r="G940">
            <v>3866419</v>
          </cell>
          <cell r="H940">
            <v>604100</v>
          </cell>
        </row>
        <row r="941">
          <cell r="A941" t="str">
            <v>2743</v>
          </cell>
          <cell r="B941" t="str">
            <v>片岡　昇　　　　</v>
          </cell>
          <cell r="C941">
            <v>584730</v>
          </cell>
          <cell r="D941">
            <v>662640</v>
          </cell>
          <cell r="E941">
            <v>1247370</v>
          </cell>
          <cell r="F941">
            <v>2854091</v>
          </cell>
          <cell r="G941">
            <v>4101461</v>
          </cell>
          <cell r="H941">
            <v>604100</v>
          </cell>
        </row>
        <row r="942">
          <cell r="A942" t="str">
            <v>2954</v>
          </cell>
          <cell r="B942" t="str">
            <v>井関　貴雄　　　</v>
          </cell>
          <cell r="C942">
            <v>557310</v>
          </cell>
          <cell r="D942">
            <v>662640</v>
          </cell>
          <cell r="E942">
            <v>1219950</v>
          </cell>
          <cell r="F942">
            <v>3066030</v>
          </cell>
          <cell r="G942">
            <v>4285980</v>
          </cell>
          <cell r="H942">
            <v>616560</v>
          </cell>
        </row>
        <row r="943">
          <cell r="A943" t="str">
            <v>2976</v>
          </cell>
          <cell r="B943" t="str">
            <v>坂本　学　　　　</v>
          </cell>
          <cell r="C943">
            <v>554860</v>
          </cell>
          <cell r="D943">
            <v>662640</v>
          </cell>
          <cell r="E943">
            <v>1217500</v>
          </cell>
          <cell r="F943">
            <v>2621134</v>
          </cell>
          <cell r="G943">
            <v>3838634</v>
          </cell>
          <cell r="H943">
            <v>604100</v>
          </cell>
        </row>
        <row r="944">
          <cell r="A944" t="str">
            <v>2801</v>
          </cell>
          <cell r="B944" t="str">
            <v>中山　浩一　　　</v>
          </cell>
          <cell r="C944">
            <v>605920</v>
          </cell>
          <cell r="D944">
            <v>661760</v>
          </cell>
          <cell r="E944">
            <v>1267680</v>
          </cell>
          <cell r="F944">
            <v>3180890</v>
          </cell>
          <cell r="G944">
            <v>4448570</v>
          </cell>
          <cell r="H944">
            <v>628980</v>
          </cell>
        </row>
        <row r="945">
          <cell r="A945" t="str">
            <v>2810</v>
          </cell>
          <cell r="B945" t="str">
            <v>藤田　伸一　　　</v>
          </cell>
          <cell r="C945">
            <v>622650</v>
          </cell>
          <cell r="D945">
            <v>661460</v>
          </cell>
          <cell r="E945">
            <v>1284110</v>
          </cell>
          <cell r="F945">
            <v>3004685</v>
          </cell>
          <cell r="G945">
            <v>4288795</v>
          </cell>
          <cell r="H945">
            <v>616110</v>
          </cell>
        </row>
        <row r="946">
          <cell r="A946" t="str">
            <v>2798</v>
          </cell>
          <cell r="B946" t="str">
            <v>中津　雅充　　　</v>
          </cell>
          <cell r="C946">
            <v>529610</v>
          </cell>
          <cell r="D946">
            <v>659260</v>
          </cell>
          <cell r="E946">
            <v>1188870</v>
          </cell>
          <cell r="F946">
            <v>2678408</v>
          </cell>
          <cell r="G946">
            <v>3867278</v>
          </cell>
          <cell r="H946">
            <v>580860</v>
          </cell>
        </row>
        <row r="947">
          <cell r="A947" t="str">
            <v>2735</v>
          </cell>
          <cell r="B947" t="str">
            <v>原田　浩一　　　</v>
          </cell>
          <cell r="C947">
            <v>534280</v>
          </cell>
          <cell r="D947">
            <v>658550</v>
          </cell>
          <cell r="E947">
            <v>1192830</v>
          </cell>
          <cell r="F947">
            <v>3460185</v>
          </cell>
          <cell r="G947">
            <v>4653015</v>
          </cell>
          <cell r="H947">
            <v>655140</v>
          </cell>
        </row>
        <row r="948">
          <cell r="A948" t="str">
            <v>2766</v>
          </cell>
          <cell r="B948" t="str">
            <v>有本　立夫　　　</v>
          </cell>
          <cell r="C948">
            <v>593870</v>
          </cell>
          <cell r="D948">
            <v>658490</v>
          </cell>
          <cell r="E948">
            <v>1252360</v>
          </cell>
          <cell r="F948">
            <v>3000418</v>
          </cell>
          <cell r="G948">
            <v>4252778</v>
          </cell>
          <cell r="H948">
            <v>640110</v>
          </cell>
        </row>
        <row r="949">
          <cell r="A949" t="str">
            <v>2815</v>
          </cell>
          <cell r="B949" t="str">
            <v>松原　賢　　　　</v>
          </cell>
          <cell r="C949">
            <v>593870</v>
          </cell>
          <cell r="D949">
            <v>658490</v>
          </cell>
          <cell r="E949">
            <v>1252360</v>
          </cell>
          <cell r="F949">
            <v>2700688</v>
          </cell>
          <cell r="G949">
            <v>3953048</v>
          </cell>
          <cell r="H949">
            <v>592650</v>
          </cell>
        </row>
        <row r="950">
          <cell r="A950" t="str">
            <v>2952</v>
          </cell>
          <cell r="B950" t="str">
            <v>石塚　太一　　　</v>
          </cell>
          <cell r="C950">
            <v>559720</v>
          </cell>
          <cell r="D950">
            <v>658490</v>
          </cell>
          <cell r="E950">
            <v>1218210</v>
          </cell>
          <cell r="F950">
            <v>2776516</v>
          </cell>
          <cell r="G950">
            <v>3994726</v>
          </cell>
          <cell r="H950">
            <v>625870</v>
          </cell>
        </row>
        <row r="951">
          <cell r="A951" t="str">
            <v>2633</v>
          </cell>
          <cell r="B951" t="str">
            <v>鈴木　利行　　　</v>
          </cell>
          <cell r="C951">
            <v>600100</v>
          </cell>
          <cell r="D951">
            <v>658490</v>
          </cell>
          <cell r="E951">
            <v>1258590</v>
          </cell>
          <cell r="F951">
            <v>2635008</v>
          </cell>
          <cell r="G951">
            <v>3893598</v>
          </cell>
          <cell r="H951">
            <v>572090</v>
          </cell>
        </row>
        <row r="952">
          <cell r="A952" t="str">
            <v>2460</v>
          </cell>
          <cell r="B952" t="str">
            <v>浦野　靖　　　　</v>
          </cell>
          <cell r="C952">
            <v>553520</v>
          </cell>
          <cell r="D952">
            <v>657350</v>
          </cell>
          <cell r="E952">
            <v>1210870</v>
          </cell>
          <cell r="F952">
            <v>2908659</v>
          </cell>
          <cell r="G952">
            <v>4119529</v>
          </cell>
          <cell r="H952">
            <v>691470</v>
          </cell>
        </row>
        <row r="953">
          <cell r="A953" t="str">
            <v>3098</v>
          </cell>
          <cell r="B953" t="str">
            <v>名倉　章人　　　</v>
          </cell>
          <cell r="C953">
            <v>617340</v>
          </cell>
          <cell r="D953">
            <v>656520</v>
          </cell>
          <cell r="E953">
            <v>1273860</v>
          </cell>
          <cell r="F953">
            <v>3836565</v>
          </cell>
          <cell r="G953">
            <v>5110425</v>
          </cell>
          <cell r="H953">
            <v>633030</v>
          </cell>
        </row>
        <row r="954">
          <cell r="A954" t="str">
            <v>2982</v>
          </cell>
          <cell r="B954" t="str">
            <v>杉本　選矢　　　</v>
          </cell>
          <cell r="C954">
            <v>519120</v>
          </cell>
          <cell r="D954">
            <v>655930</v>
          </cell>
          <cell r="E954">
            <v>1175050</v>
          </cell>
          <cell r="F954">
            <v>2654507</v>
          </cell>
          <cell r="G954">
            <v>3829557</v>
          </cell>
          <cell r="H954">
            <v>577920</v>
          </cell>
        </row>
        <row r="955">
          <cell r="A955" t="str">
            <v>2822</v>
          </cell>
          <cell r="B955" t="str">
            <v>吉田　啓悟　　　</v>
          </cell>
          <cell r="C955">
            <v>590550</v>
          </cell>
          <cell r="D955">
            <v>655790</v>
          </cell>
          <cell r="E955">
            <v>1246340</v>
          </cell>
          <cell r="F955">
            <v>2752807</v>
          </cell>
          <cell r="G955">
            <v>3999147</v>
          </cell>
          <cell r="H955">
            <v>597920</v>
          </cell>
        </row>
        <row r="956">
          <cell r="A956" t="str">
            <v>2820</v>
          </cell>
          <cell r="B956" t="str">
            <v>山本　桂三　　　</v>
          </cell>
          <cell r="C956">
            <v>568390</v>
          </cell>
          <cell r="D956">
            <v>655220</v>
          </cell>
          <cell r="E956">
            <v>1223610</v>
          </cell>
          <cell r="F956">
            <v>2649009</v>
          </cell>
          <cell r="G956">
            <v>3872619</v>
          </cell>
          <cell r="H956">
            <v>610180</v>
          </cell>
        </row>
        <row r="957">
          <cell r="A957" t="str">
            <v>2637</v>
          </cell>
          <cell r="B957" t="str">
            <v>田中　豊之　　　</v>
          </cell>
          <cell r="C957">
            <v>557530</v>
          </cell>
          <cell r="D957">
            <v>654030</v>
          </cell>
          <cell r="E957">
            <v>1211560</v>
          </cell>
          <cell r="F957">
            <v>2738148</v>
          </cell>
          <cell r="G957">
            <v>3949708</v>
          </cell>
          <cell r="H957">
            <v>663510</v>
          </cell>
        </row>
        <row r="958">
          <cell r="A958" t="str">
            <v>2891</v>
          </cell>
          <cell r="B958" t="str">
            <v>真砂　秀代　　　</v>
          </cell>
          <cell r="C958">
            <v>572210</v>
          </cell>
          <cell r="D958">
            <v>653540</v>
          </cell>
          <cell r="E958">
            <v>1225750</v>
          </cell>
          <cell r="F958">
            <v>2470408</v>
          </cell>
          <cell r="G958">
            <v>3696158</v>
          </cell>
          <cell r="H958">
            <v>609290</v>
          </cell>
        </row>
        <row r="959">
          <cell r="A959" t="str">
            <v>3465</v>
          </cell>
          <cell r="B959" t="str">
            <v>古舘　俊和　　　</v>
          </cell>
          <cell r="C959">
            <v>150000</v>
          </cell>
          <cell r="D959">
            <v>653340</v>
          </cell>
          <cell r="E959">
            <v>803340</v>
          </cell>
          <cell r="F959">
            <v>2257299</v>
          </cell>
          <cell r="G959">
            <v>3060639</v>
          </cell>
          <cell r="H959">
            <v>631280</v>
          </cell>
        </row>
        <row r="960">
          <cell r="A960" t="str">
            <v>0354</v>
          </cell>
          <cell r="B960" t="str">
            <v>小阪　よしえ　　</v>
          </cell>
          <cell r="C960">
            <v>568780</v>
          </cell>
          <cell r="D960">
            <v>653320</v>
          </cell>
          <cell r="E960">
            <v>1222100</v>
          </cell>
          <cell r="F960">
            <v>3384258</v>
          </cell>
          <cell r="G960">
            <v>4606358</v>
          </cell>
          <cell r="H960">
            <v>571400</v>
          </cell>
        </row>
        <row r="961">
          <cell r="A961" t="str">
            <v>2805</v>
          </cell>
          <cell r="B961" t="str">
            <v>野中　英之　　　</v>
          </cell>
          <cell r="C961">
            <v>584730</v>
          </cell>
          <cell r="D961">
            <v>651970</v>
          </cell>
          <cell r="E961">
            <v>1236700</v>
          </cell>
          <cell r="F961">
            <v>2571738</v>
          </cell>
          <cell r="G961">
            <v>3808438</v>
          </cell>
          <cell r="H961">
            <v>619660</v>
          </cell>
        </row>
        <row r="962">
          <cell r="A962" t="str">
            <v>2826</v>
          </cell>
          <cell r="B962" t="str">
            <v>和田　弘　　　　</v>
          </cell>
          <cell r="C962">
            <v>584790</v>
          </cell>
          <cell r="D962">
            <v>651700</v>
          </cell>
          <cell r="E962">
            <v>1236490</v>
          </cell>
          <cell r="F962">
            <v>2444617</v>
          </cell>
          <cell r="G962">
            <v>3681107</v>
          </cell>
          <cell r="H962">
            <v>607030</v>
          </cell>
        </row>
        <row r="963">
          <cell r="A963" t="str">
            <v>3020</v>
          </cell>
          <cell r="B963" t="str">
            <v>宮本　武久　　　</v>
          </cell>
          <cell r="C963">
            <v>597270</v>
          </cell>
          <cell r="D963">
            <v>648690</v>
          </cell>
          <cell r="E963">
            <v>1245960</v>
          </cell>
          <cell r="F963">
            <v>2837540</v>
          </cell>
          <cell r="G963">
            <v>4083500</v>
          </cell>
          <cell r="H963">
            <v>604100</v>
          </cell>
        </row>
        <row r="964">
          <cell r="A964" t="str">
            <v>2663</v>
          </cell>
          <cell r="B964" t="str">
            <v>茂藤　隆広　　　</v>
          </cell>
          <cell r="C964">
            <v>565450</v>
          </cell>
          <cell r="D964">
            <v>648690</v>
          </cell>
          <cell r="E964">
            <v>1214140</v>
          </cell>
          <cell r="F964">
            <v>3217680</v>
          </cell>
          <cell r="G964">
            <v>4431820</v>
          </cell>
          <cell r="H964">
            <v>604100</v>
          </cell>
        </row>
        <row r="965">
          <cell r="A965" t="str">
            <v>2951</v>
          </cell>
          <cell r="B965" t="str">
            <v>池田　匡年　　　</v>
          </cell>
          <cell r="C965">
            <v>572360</v>
          </cell>
          <cell r="D965">
            <v>648690</v>
          </cell>
          <cell r="E965">
            <v>1221050</v>
          </cell>
          <cell r="F965">
            <v>3182429</v>
          </cell>
          <cell r="G965">
            <v>4403479</v>
          </cell>
          <cell r="H965">
            <v>616560</v>
          </cell>
        </row>
        <row r="966">
          <cell r="A966" t="str">
            <v>2945</v>
          </cell>
          <cell r="B966" t="str">
            <v>浅野　俊博　　　</v>
          </cell>
          <cell r="C966">
            <v>584480</v>
          </cell>
          <cell r="D966">
            <v>648690</v>
          </cell>
          <cell r="E966">
            <v>1233170</v>
          </cell>
          <cell r="F966">
            <v>2782256</v>
          </cell>
          <cell r="G966">
            <v>4015426</v>
          </cell>
          <cell r="H966">
            <v>616560</v>
          </cell>
        </row>
        <row r="967">
          <cell r="A967" t="str">
            <v>2957</v>
          </cell>
          <cell r="B967" t="str">
            <v>岩渕　英明　　　</v>
          </cell>
          <cell r="C967">
            <v>581910</v>
          </cell>
          <cell r="D967">
            <v>648690</v>
          </cell>
          <cell r="E967">
            <v>1230600</v>
          </cell>
          <cell r="F967">
            <v>2762515</v>
          </cell>
          <cell r="G967">
            <v>3993115</v>
          </cell>
          <cell r="H967">
            <v>616560</v>
          </cell>
        </row>
        <row r="968">
          <cell r="A968" t="str">
            <v>2971</v>
          </cell>
          <cell r="B968" t="str">
            <v>黒岡　禎文　　　</v>
          </cell>
          <cell r="C968">
            <v>537350</v>
          </cell>
          <cell r="D968">
            <v>648690</v>
          </cell>
          <cell r="E968">
            <v>1186040</v>
          </cell>
          <cell r="F968">
            <v>2717638</v>
          </cell>
          <cell r="G968">
            <v>3903678</v>
          </cell>
          <cell r="H968">
            <v>583840</v>
          </cell>
        </row>
        <row r="969">
          <cell r="A969" t="str">
            <v>2992</v>
          </cell>
          <cell r="B969" t="str">
            <v>戸張　雅実　　　</v>
          </cell>
          <cell r="C969">
            <v>554860</v>
          </cell>
          <cell r="D969">
            <v>648690</v>
          </cell>
          <cell r="E969">
            <v>1203550</v>
          </cell>
          <cell r="F969">
            <v>3303930</v>
          </cell>
          <cell r="G969">
            <v>4507480</v>
          </cell>
          <cell r="H969">
            <v>588510</v>
          </cell>
        </row>
        <row r="970">
          <cell r="A970" t="str">
            <v>2783</v>
          </cell>
          <cell r="B970" t="str">
            <v>坂本　圭司　　　</v>
          </cell>
          <cell r="C970">
            <v>584790</v>
          </cell>
          <cell r="D970">
            <v>648460</v>
          </cell>
          <cell r="E970">
            <v>1233250</v>
          </cell>
          <cell r="F970">
            <v>2575140</v>
          </cell>
          <cell r="G970">
            <v>3808390</v>
          </cell>
          <cell r="H970">
            <v>603990</v>
          </cell>
        </row>
        <row r="971">
          <cell r="A971" t="str">
            <v>2844</v>
          </cell>
          <cell r="B971" t="str">
            <v>河崎　多佳子　　</v>
          </cell>
          <cell r="C971">
            <v>572860</v>
          </cell>
          <cell r="D971">
            <v>648460</v>
          </cell>
          <cell r="E971">
            <v>1221320</v>
          </cell>
          <cell r="F971">
            <v>2400762</v>
          </cell>
          <cell r="G971">
            <v>3622082</v>
          </cell>
          <cell r="H971">
            <v>603990</v>
          </cell>
        </row>
        <row r="972">
          <cell r="A972" t="str">
            <v>2796</v>
          </cell>
          <cell r="B972" t="str">
            <v>中島　賢治　　　</v>
          </cell>
          <cell r="C972">
            <v>572860</v>
          </cell>
          <cell r="D972">
            <v>648460</v>
          </cell>
          <cell r="E972">
            <v>1221320</v>
          </cell>
          <cell r="F972">
            <v>2937292</v>
          </cell>
          <cell r="G972">
            <v>4158612</v>
          </cell>
          <cell r="H972">
            <v>603990</v>
          </cell>
        </row>
        <row r="973">
          <cell r="A973" t="str">
            <v>2767</v>
          </cell>
          <cell r="B973" t="str">
            <v>池永　昌治　　　</v>
          </cell>
          <cell r="C973">
            <v>572860</v>
          </cell>
          <cell r="D973">
            <v>648460</v>
          </cell>
          <cell r="E973">
            <v>1221320</v>
          </cell>
          <cell r="F973">
            <v>3093586</v>
          </cell>
          <cell r="G973">
            <v>4314906</v>
          </cell>
          <cell r="H973">
            <v>603990</v>
          </cell>
        </row>
        <row r="974">
          <cell r="A974" t="str">
            <v>3431</v>
          </cell>
          <cell r="B974" t="str">
            <v>佐藤　道夫　　　</v>
          </cell>
          <cell r="C974">
            <v>604860</v>
          </cell>
          <cell r="D974">
            <v>648130</v>
          </cell>
          <cell r="E974">
            <v>1252990</v>
          </cell>
          <cell r="F974">
            <v>3021622</v>
          </cell>
          <cell r="G974">
            <v>4274612</v>
          </cell>
          <cell r="H974">
            <v>551210</v>
          </cell>
        </row>
        <row r="975">
          <cell r="A975" t="str">
            <v>3454</v>
          </cell>
          <cell r="B975" t="str">
            <v>溝口　宗平　　　</v>
          </cell>
          <cell r="C975">
            <v>515790</v>
          </cell>
          <cell r="D975">
            <v>648050</v>
          </cell>
          <cell r="E975">
            <v>1163840</v>
          </cell>
          <cell r="F975">
            <v>3275560</v>
          </cell>
          <cell r="G975">
            <v>4439400</v>
          </cell>
          <cell r="H975">
            <v>562500</v>
          </cell>
        </row>
        <row r="976">
          <cell r="A976" t="str">
            <v>2978</v>
          </cell>
          <cell r="B976" t="str">
            <v>佐藤　吉一　　　</v>
          </cell>
          <cell r="C976">
            <v>547540</v>
          </cell>
          <cell r="D976">
            <v>645920</v>
          </cell>
          <cell r="E976">
            <v>1193460</v>
          </cell>
          <cell r="F976">
            <v>2336554</v>
          </cell>
          <cell r="G976">
            <v>3530014</v>
          </cell>
          <cell r="H976">
            <v>601000</v>
          </cell>
        </row>
        <row r="977">
          <cell r="A977" t="str">
            <v>3003</v>
          </cell>
          <cell r="B977" t="str">
            <v>西村　謙介　　　</v>
          </cell>
          <cell r="C977">
            <v>579330</v>
          </cell>
          <cell r="D977">
            <v>645390</v>
          </cell>
          <cell r="E977">
            <v>1224720</v>
          </cell>
          <cell r="F977">
            <v>2415760</v>
          </cell>
          <cell r="G977">
            <v>3640480</v>
          </cell>
          <cell r="H977">
            <v>601020</v>
          </cell>
        </row>
        <row r="978">
          <cell r="A978" t="str">
            <v>2806</v>
          </cell>
          <cell r="B978" t="str">
            <v>浜田　裕一　　　</v>
          </cell>
          <cell r="C978">
            <v>581770</v>
          </cell>
          <cell r="D978">
            <v>645210</v>
          </cell>
          <cell r="E978">
            <v>1226980</v>
          </cell>
          <cell r="F978">
            <v>2466698</v>
          </cell>
          <cell r="G978">
            <v>3693678</v>
          </cell>
          <cell r="H978">
            <v>600980</v>
          </cell>
        </row>
        <row r="979">
          <cell r="A979" t="str">
            <v>2959</v>
          </cell>
          <cell r="B979" t="str">
            <v>榎園　純一　　　</v>
          </cell>
          <cell r="C979">
            <v>556450</v>
          </cell>
          <cell r="D979">
            <v>645210</v>
          </cell>
          <cell r="E979">
            <v>1201660</v>
          </cell>
          <cell r="F979">
            <v>2507402</v>
          </cell>
          <cell r="G979">
            <v>3709062</v>
          </cell>
          <cell r="H979">
            <v>600980</v>
          </cell>
        </row>
        <row r="980">
          <cell r="A980" t="str">
            <v>3002</v>
          </cell>
          <cell r="B980" t="str">
            <v>西田　泰士　　　</v>
          </cell>
          <cell r="C980">
            <v>556450</v>
          </cell>
          <cell r="D980">
            <v>645210</v>
          </cell>
          <cell r="E980">
            <v>1201660</v>
          </cell>
          <cell r="F980">
            <v>2712342</v>
          </cell>
          <cell r="G980">
            <v>3914002</v>
          </cell>
          <cell r="H980">
            <v>613450</v>
          </cell>
        </row>
        <row r="981">
          <cell r="A981" t="str">
            <v>2773</v>
          </cell>
          <cell r="B981" t="str">
            <v>氏林　睦生　　　</v>
          </cell>
          <cell r="C981">
            <v>581770</v>
          </cell>
          <cell r="D981">
            <v>645210</v>
          </cell>
          <cell r="E981">
            <v>1226980</v>
          </cell>
          <cell r="F981">
            <v>3576560</v>
          </cell>
          <cell r="G981">
            <v>4803540</v>
          </cell>
          <cell r="H981">
            <v>600980</v>
          </cell>
        </row>
        <row r="982">
          <cell r="A982" t="str">
            <v>2799</v>
          </cell>
          <cell r="B982" t="str">
            <v>中村　仁弥　　　</v>
          </cell>
          <cell r="C982">
            <v>581770</v>
          </cell>
          <cell r="D982">
            <v>645210</v>
          </cell>
          <cell r="E982">
            <v>1226980</v>
          </cell>
          <cell r="F982">
            <v>2469543</v>
          </cell>
          <cell r="G982">
            <v>3696523</v>
          </cell>
          <cell r="H982">
            <v>588510</v>
          </cell>
        </row>
        <row r="983">
          <cell r="A983" t="str">
            <v>2962</v>
          </cell>
          <cell r="B983" t="str">
            <v>大村　忠仁　　　</v>
          </cell>
          <cell r="C983">
            <v>566000</v>
          </cell>
          <cell r="D983">
            <v>645210</v>
          </cell>
          <cell r="E983">
            <v>1211210</v>
          </cell>
          <cell r="F983">
            <v>2662788</v>
          </cell>
          <cell r="G983">
            <v>3873998</v>
          </cell>
          <cell r="H983">
            <v>566450</v>
          </cell>
        </row>
        <row r="984">
          <cell r="A984" t="str">
            <v>2817</v>
          </cell>
          <cell r="B984" t="str">
            <v>山口　剛史　　　</v>
          </cell>
          <cell r="C984">
            <v>584790</v>
          </cell>
          <cell r="D984">
            <v>645210</v>
          </cell>
          <cell r="E984">
            <v>1230000</v>
          </cell>
          <cell r="F984">
            <v>2779248</v>
          </cell>
          <cell r="G984">
            <v>4009248</v>
          </cell>
          <cell r="H984">
            <v>600980</v>
          </cell>
        </row>
        <row r="985">
          <cell r="A985" t="str">
            <v>2830</v>
          </cell>
          <cell r="B985" t="str">
            <v>岡本　洋　　　　</v>
          </cell>
          <cell r="C985">
            <v>553100</v>
          </cell>
          <cell r="D985">
            <v>644970</v>
          </cell>
          <cell r="E985">
            <v>1198070</v>
          </cell>
          <cell r="F985">
            <v>2976649</v>
          </cell>
          <cell r="G985">
            <v>4174719</v>
          </cell>
          <cell r="H985">
            <v>561410</v>
          </cell>
        </row>
        <row r="986">
          <cell r="A986" t="str">
            <v>2665</v>
          </cell>
          <cell r="B986" t="str">
            <v>森口　宏明　　　</v>
          </cell>
          <cell r="C986">
            <v>549000</v>
          </cell>
          <cell r="D986">
            <v>644040</v>
          </cell>
          <cell r="E986">
            <v>1193040</v>
          </cell>
          <cell r="F986">
            <v>2689040</v>
          </cell>
          <cell r="G986">
            <v>3882080</v>
          </cell>
          <cell r="H986">
            <v>608230</v>
          </cell>
        </row>
        <row r="987">
          <cell r="A987" t="str">
            <v>0425</v>
          </cell>
          <cell r="B987" t="str">
            <v>岡田　千代子　　</v>
          </cell>
          <cell r="C987">
            <v>580760</v>
          </cell>
          <cell r="D987">
            <v>643080</v>
          </cell>
          <cell r="E987">
            <v>1223840</v>
          </cell>
          <cell r="F987">
            <v>3030256</v>
          </cell>
          <cell r="G987">
            <v>4254096</v>
          </cell>
          <cell r="H987">
            <v>582530</v>
          </cell>
        </row>
        <row r="988">
          <cell r="A988" t="str">
            <v>2984</v>
          </cell>
          <cell r="B988" t="str">
            <v>瀬木　雅文　　　</v>
          </cell>
          <cell r="C988">
            <v>566000</v>
          </cell>
          <cell r="D988">
            <v>641920</v>
          </cell>
          <cell r="E988">
            <v>1207920</v>
          </cell>
          <cell r="F988">
            <v>2402477</v>
          </cell>
          <cell r="G988">
            <v>3610397</v>
          </cell>
          <cell r="H988">
            <v>585510</v>
          </cell>
        </row>
        <row r="989">
          <cell r="A989" t="str">
            <v>2974</v>
          </cell>
          <cell r="B989" t="str">
            <v>近藤　昌司　　　</v>
          </cell>
          <cell r="C989">
            <v>577380</v>
          </cell>
          <cell r="D989">
            <v>640800</v>
          </cell>
          <cell r="E989">
            <v>1218180</v>
          </cell>
          <cell r="F989">
            <v>2779153</v>
          </cell>
          <cell r="G989">
            <v>3997333</v>
          </cell>
          <cell r="H989">
            <v>597400</v>
          </cell>
        </row>
        <row r="990">
          <cell r="A990" t="str">
            <v>2385</v>
          </cell>
          <cell r="B990" t="str">
            <v>小西　一広　　　</v>
          </cell>
          <cell r="C990">
            <v>548190</v>
          </cell>
          <cell r="D990">
            <v>640670</v>
          </cell>
          <cell r="E990">
            <v>1188860</v>
          </cell>
          <cell r="F990">
            <v>2531323</v>
          </cell>
          <cell r="G990">
            <v>3720183</v>
          </cell>
          <cell r="H990">
            <v>538180</v>
          </cell>
        </row>
        <row r="991">
          <cell r="A991" t="str">
            <v>0427</v>
          </cell>
          <cell r="B991" t="str">
            <v>中島　好美　　　</v>
          </cell>
          <cell r="C991">
            <v>555130</v>
          </cell>
          <cell r="D991">
            <v>640080</v>
          </cell>
          <cell r="E991">
            <v>1195210</v>
          </cell>
          <cell r="F991">
            <v>2891795</v>
          </cell>
          <cell r="G991">
            <v>4087005</v>
          </cell>
          <cell r="H991">
            <v>540060</v>
          </cell>
        </row>
        <row r="992">
          <cell r="A992" t="str">
            <v>3085</v>
          </cell>
          <cell r="B992" t="str">
            <v>杉本　啓　　　　</v>
          </cell>
          <cell r="C992">
            <v>575720</v>
          </cell>
          <cell r="D992">
            <v>638670</v>
          </cell>
          <cell r="E992">
            <v>1214390</v>
          </cell>
          <cell r="F992">
            <v>2519620</v>
          </cell>
          <cell r="G992">
            <v>3734010</v>
          </cell>
          <cell r="H992">
            <v>594890</v>
          </cell>
        </row>
        <row r="993">
          <cell r="A993" t="str">
            <v>3028</v>
          </cell>
          <cell r="B993" t="str">
            <v>横沼　敏孝　　　</v>
          </cell>
          <cell r="C993">
            <v>563490</v>
          </cell>
          <cell r="D993">
            <v>638670</v>
          </cell>
          <cell r="E993">
            <v>1202160</v>
          </cell>
          <cell r="F993">
            <v>2535950</v>
          </cell>
          <cell r="G993">
            <v>3738110</v>
          </cell>
          <cell r="H993">
            <v>594890</v>
          </cell>
        </row>
        <row r="994">
          <cell r="A994" t="str">
            <v>2780</v>
          </cell>
          <cell r="B994" t="str">
            <v>木本　修司　　　</v>
          </cell>
          <cell r="C994">
            <v>575830</v>
          </cell>
          <cell r="D994">
            <v>637610</v>
          </cell>
          <cell r="E994">
            <v>1213440</v>
          </cell>
          <cell r="F994">
            <v>3279344</v>
          </cell>
          <cell r="G994">
            <v>4492784</v>
          </cell>
          <cell r="H994">
            <v>607030</v>
          </cell>
        </row>
        <row r="995">
          <cell r="A995" t="str">
            <v>0423</v>
          </cell>
          <cell r="B995" t="str">
            <v>岩井　愛子　　　</v>
          </cell>
          <cell r="C995">
            <v>571810</v>
          </cell>
          <cell r="D995">
            <v>636850</v>
          </cell>
          <cell r="E995">
            <v>1208660</v>
          </cell>
          <cell r="F995">
            <v>2999758</v>
          </cell>
          <cell r="G995">
            <v>4208418</v>
          </cell>
          <cell r="H995">
            <v>577900</v>
          </cell>
        </row>
        <row r="996">
          <cell r="A996" t="str">
            <v>0487</v>
          </cell>
          <cell r="B996" t="str">
            <v>岩井　弘子　　　</v>
          </cell>
          <cell r="C996">
            <v>552210</v>
          </cell>
          <cell r="D996">
            <v>635750</v>
          </cell>
          <cell r="E996">
            <v>1187960</v>
          </cell>
          <cell r="F996">
            <v>3171011</v>
          </cell>
          <cell r="G996">
            <v>4358971</v>
          </cell>
          <cell r="H996">
            <v>557180</v>
          </cell>
        </row>
        <row r="997">
          <cell r="A997" t="str">
            <v>2775</v>
          </cell>
          <cell r="B997" t="str">
            <v>大重　司　　　　</v>
          </cell>
          <cell r="C997">
            <v>562510</v>
          </cell>
          <cell r="D997">
            <v>635600</v>
          </cell>
          <cell r="E997">
            <v>1198110</v>
          </cell>
          <cell r="F997">
            <v>2999900</v>
          </cell>
          <cell r="G997">
            <v>4198010</v>
          </cell>
          <cell r="H997">
            <v>604110</v>
          </cell>
        </row>
        <row r="998">
          <cell r="A998" t="str">
            <v>1111</v>
          </cell>
          <cell r="B998" t="str">
            <v>春戸　喜代美　　</v>
          </cell>
          <cell r="C998">
            <v>567780</v>
          </cell>
          <cell r="D998">
            <v>635200</v>
          </cell>
          <cell r="E998">
            <v>1202980</v>
          </cell>
          <cell r="F998">
            <v>3053498</v>
          </cell>
          <cell r="G998">
            <v>4256478</v>
          </cell>
          <cell r="H998">
            <v>573160</v>
          </cell>
        </row>
        <row r="999">
          <cell r="A999" t="str">
            <v>2879</v>
          </cell>
          <cell r="B999" t="str">
            <v>四方　雅人　　　</v>
          </cell>
          <cell r="C999">
            <v>572860</v>
          </cell>
          <cell r="D999">
            <v>634450</v>
          </cell>
          <cell r="E999">
            <v>1207310</v>
          </cell>
          <cell r="F999">
            <v>2776308</v>
          </cell>
          <cell r="G999">
            <v>3983618</v>
          </cell>
          <cell r="H999">
            <v>603990</v>
          </cell>
        </row>
        <row r="1000">
          <cell r="A1000" t="str">
            <v>3424</v>
          </cell>
          <cell r="B1000" t="str">
            <v>横矢　秀博　　　</v>
          </cell>
          <cell r="C1000">
            <v>566460</v>
          </cell>
          <cell r="D1000">
            <v>634450</v>
          </cell>
          <cell r="E1000">
            <v>1200910</v>
          </cell>
          <cell r="F1000">
            <v>2529884</v>
          </cell>
          <cell r="G1000">
            <v>3730794</v>
          </cell>
          <cell r="H1000">
            <v>591460</v>
          </cell>
        </row>
        <row r="1001">
          <cell r="A1001" t="str">
            <v>2709</v>
          </cell>
          <cell r="B1001" t="str">
            <v>木山　東希子　　</v>
          </cell>
          <cell r="C1001">
            <v>575830</v>
          </cell>
          <cell r="D1001">
            <v>634450</v>
          </cell>
          <cell r="E1001">
            <v>1210280</v>
          </cell>
          <cell r="F1001">
            <v>2435720</v>
          </cell>
          <cell r="G1001">
            <v>3646000</v>
          </cell>
          <cell r="H1001">
            <v>591460</v>
          </cell>
        </row>
        <row r="1002">
          <cell r="A1002" t="str">
            <v>2791</v>
          </cell>
          <cell r="B1002" t="str">
            <v>田中　稔　　　　</v>
          </cell>
          <cell r="C1002">
            <v>572860</v>
          </cell>
          <cell r="D1002">
            <v>634450</v>
          </cell>
          <cell r="E1002">
            <v>1207310</v>
          </cell>
          <cell r="F1002">
            <v>2415918</v>
          </cell>
          <cell r="G1002">
            <v>3623228</v>
          </cell>
          <cell r="H1002">
            <v>591460</v>
          </cell>
        </row>
        <row r="1003">
          <cell r="A1003" t="str">
            <v>2958</v>
          </cell>
          <cell r="B1003" t="str">
            <v>植岡　義貴　　　</v>
          </cell>
          <cell r="C1003">
            <v>558910</v>
          </cell>
          <cell r="D1003">
            <v>634450</v>
          </cell>
          <cell r="E1003">
            <v>1193360</v>
          </cell>
          <cell r="F1003">
            <v>2724716</v>
          </cell>
          <cell r="G1003">
            <v>3918076</v>
          </cell>
          <cell r="H1003">
            <v>591460</v>
          </cell>
        </row>
        <row r="1004">
          <cell r="A1004" t="str">
            <v>0424</v>
          </cell>
          <cell r="B1004" t="str">
            <v>辻村　静枝　　　</v>
          </cell>
          <cell r="C1004">
            <v>569110</v>
          </cell>
          <cell r="D1004">
            <v>632850</v>
          </cell>
          <cell r="E1004">
            <v>1201960</v>
          </cell>
          <cell r="F1004">
            <v>2952973</v>
          </cell>
          <cell r="G1004">
            <v>4154933</v>
          </cell>
          <cell r="H1004">
            <v>553480</v>
          </cell>
        </row>
        <row r="1005">
          <cell r="A1005" t="str">
            <v>3140</v>
          </cell>
          <cell r="B1005" t="str">
            <v>剱持　昌史　　　</v>
          </cell>
          <cell r="C1005">
            <v>533400</v>
          </cell>
          <cell r="D1005">
            <v>632660</v>
          </cell>
          <cell r="E1005">
            <v>1166060</v>
          </cell>
          <cell r="F1005">
            <v>2593862</v>
          </cell>
          <cell r="G1005">
            <v>3759922</v>
          </cell>
          <cell r="H1005">
            <v>593680</v>
          </cell>
        </row>
        <row r="1006">
          <cell r="A1006" t="str">
            <v>3239</v>
          </cell>
          <cell r="B1006" t="str">
            <v>石田　英明　　　</v>
          </cell>
          <cell r="C1006">
            <v>593620</v>
          </cell>
          <cell r="D1006">
            <v>631890</v>
          </cell>
          <cell r="E1006">
            <v>1225510</v>
          </cell>
          <cell r="F1006">
            <v>3140534</v>
          </cell>
          <cell r="G1006">
            <v>4366044</v>
          </cell>
          <cell r="H1006">
            <v>609290</v>
          </cell>
        </row>
        <row r="1007">
          <cell r="A1007" t="str">
            <v>3012</v>
          </cell>
          <cell r="B1007" t="str">
            <v>福原　武人　　　</v>
          </cell>
          <cell r="C1007">
            <v>581910</v>
          </cell>
          <cell r="D1007">
            <v>631260</v>
          </cell>
          <cell r="E1007">
            <v>1213170</v>
          </cell>
          <cell r="F1007">
            <v>2497142</v>
          </cell>
          <cell r="G1007">
            <v>3710312</v>
          </cell>
          <cell r="H1007">
            <v>600980</v>
          </cell>
        </row>
        <row r="1008">
          <cell r="A1008" t="str">
            <v>2973</v>
          </cell>
          <cell r="B1008" t="str">
            <v>小林　郁夫　　　</v>
          </cell>
          <cell r="C1008">
            <v>594640</v>
          </cell>
          <cell r="D1008">
            <v>631260</v>
          </cell>
          <cell r="E1008">
            <v>1225900</v>
          </cell>
          <cell r="F1008">
            <v>2745414</v>
          </cell>
          <cell r="G1008">
            <v>3971314</v>
          </cell>
          <cell r="H1008">
            <v>588510</v>
          </cell>
        </row>
        <row r="1009">
          <cell r="A1009" t="str">
            <v>2789</v>
          </cell>
          <cell r="B1009" t="str">
            <v>高橋　伸志　　　</v>
          </cell>
          <cell r="C1009">
            <v>569900</v>
          </cell>
          <cell r="D1009">
            <v>631260</v>
          </cell>
          <cell r="E1009">
            <v>1201160</v>
          </cell>
          <cell r="F1009">
            <v>3424013</v>
          </cell>
          <cell r="G1009">
            <v>4625173</v>
          </cell>
          <cell r="H1009">
            <v>588510</v>
          </cell>
        </row>
        <row r="1010">
          <cell r="A1010" t="str">
            <v>3096</v>
          </cell>
          <cell r="B1010" t="str">
            <v>白方　宏一　　　</v>
          </cell>
          <cell r="C1010">
            <v>572860</v>
          </cell>
          <cell r="D1010">
            <v>631260</v>
          </cell>
          <cell r="E1010">
            <v>1204120</v>
          </cell>
          <cell r="F1010">
            <v>3202054</v>
          </cell>
          <cell r="G1010">
            <v>4406174</v>
          </cell>
          <cell r="H1010">
            <v>588510</v>
          </cell>
        </row>
        <row r="1011">
          <cell r="A1011" t="str">
            <v>3073</v>
          </cell>
          <cell r="B1011" t="str">
            <v>松井　貴美　　　</v>
          </cell>
          <cell r="C1011">
            <v>556450</v>
          </cell>
          <cell r="D1011">
            <v>631260</v>
          </cell>
          <cell r="E1011">
            <v>1187710</v>
          </cell>
          <cell r="F1011">
            <v>2449759</v>
          </cell>
          <cell r="G1011">
            <v>3637469</v>
          </cell>
          <cell r="H1011">
            <v>600980</v>
          </cell>
        </row>
        <row r="1012">
          <cell r="A1012" t="str">
            <v>2797</v>
          </cell>
          <cell r="B1012" t="str">
            <v>中田　義広　　　</v>
          </cell>
          <cell r="C1012">
            <v>569900</v>
          </cell>
          <cell r="D1012">
            <v>631260</v>
          </cell>
          <cell r="E1012">
            <v>1201160</v>
          </cell>
          <cell r="F1012">
            <v>2670242</v>
          </cell>
          <cell r="G1012">
            <v>3871402</v>
          </cell>
          <cell r="H1012">
            <v>588510</v>
          </cell>
        </row>
        <row r="1013">
          <cell r="A1013" t="str">
            <v>3039</v>
          </cell>
          <cell r="B1013" t="str">
            <v>矢野　博子　　　</v>
          </cell>
          <cell r="C1013">
            <v>556450</v>
          </cell>
          <cell r="D1013">
            <v>631260</v>
          </cell>
          <cell r="E1013">
            <v>1187710</v>
          </cell>
          <cell r="F1013">
            <v>2459967</v>
          </cell>
          <cell r="G1013">
            <v>3647677</v>
          </cell>
          <cell r="H1013">
            <v>600980</v>
          </cell>
        </row>
        <row r="1014">
          <cell r="A1014" t="str">
            <v>2953</v>
          </cell>
          <cell r="B1014" t="str">
            <v>石塚　孝幸　　　</v>
          </cell>
          <cell r="C1014">
            <v>556450</v>
          </cell>
          <cell r="D1014">
            <v>631260</v>
          </cell>
          <cell r="E1014">
            <v>1187710</v>
          </cell>
          <cell r="F1014">
            <v>2608330</v>
          </cell>
          <cell r="G1014">
            <v>3796040</v>
          </cell>
          <cell r="H1014">
            <v>588510</v>
          </cell>
        </row>
        <row r="1015">
          <cell r="A1015" t="str">
            <v>2845</v>
          </cell>
          <cell r="B1015" t="str">
            <v>小岩　千香子　　</v>
          </cell>
          <cell r="C1015">
            <v>569900</v>
          </cell>
          <cell r="D1015">
            <v>631260</v>
          </cell>
          <cell r="E1015">
            <v>1201160</v>
          </cell>
          <cell r="F1015">
            <v>2565141</v>
          </cell>
          <cell r="G1015">
            <v>3766301</v>
          </cell>
          <cell r="H1015">
            <v>588510</v>
          </cell>
        </row>
        <row r="1016">
          <cell r="A1016" t="str">
            <v>3135</v>
          </cell>
          <cell r="B1016" t="str">
            <v>河合　充司　　　</v>
          </cell>
          <cell r="C1016">
            <v>533400</v>
          </cell>
          <cell r="D1016">
            <v>629950</v>
          </cell>
          <cell r="E1016">
            <v>1163350</v>
          </cell>
          <cell r="F1016">
            <v>3165048</v>
          </cell>
          <cell r="G1016">
            <v>4328398</v>
          </cell>
          <cell r="H1016">
            <v>614880</v>
          </cell>
        </row>
        <row r="1017">
          <cell r="A1017" t="str">
            <v>3166</v>
          </cell>
          <cell r="B1017" t="str">
            <v>福島　浩道　　　</v>
          </cell>
          <cell r="C1017">
            <v>549110</v>
          </cell>
          <cell r="D1017">
            <v>629950</v>
          </cell>
          <cell r="E1017">
            <v>1179060</v>
          </cell>
          <cell r="F1017">
            <v>2617151</v>
          </cell>
          <cell r="G1017">
            <v>3796211</v>
          </cell>
          <cell r="H1017">
            <v>591130</v>
          </cell>
        </row>
        <row r="1018">
          <cell r="A1018" t="str">
            <v>3183</v>
          </cell>
          <cell r="B1018" t="str">
            <v>山田　麻里　　　</v>
          </cell>
          <cell r="C1018">
            <v>533400</v>
          </cell>
          <cell r="D1018">
            <v>629950</v>
          </cell>
          <cell r="E1018">
            <v>1163350</v>
          </cell>
          <cell r="F1018">
            <v>2626077</v>
          </cell>
          <cell r="G1018">
            <v>3789427</v>
          </cell>
          <cell r="H1018">
            <v>591130</v>
          </cell>
        </row>
        <row r="1019">
          <cell r="A1019" t="str">
            <v>3160</v>
          </cell>
          <cell r="B1019" t="str">
            <v>中村　博文　　　</v>
          </cell>
          <cell r="C1019">
            <v>533400</v>
          </cell>
          <cell r="D1019">
            <v>629950</v>
          </cell>
          <cell r="E1019">
            <v>1163350</v>
          </cell>
          <cell r="F1019">
            <v>2656658</v>
          </cell>
          <cell r="G1019">
            <v>3820008</v>
          </cell>
          <cell r="H1019">
            <v>614880</v>
          </cell>
        </row>
        <row r="1020">
          <cell r="A1020" t="str">
            <v>3126</v>
          </cell>
          <cell r="B1020" t="str">
            <v>井上　勝二　　　</v>
          </cell>
          <cell r="C1020">
            <v>549110</v>
          </cell>
          <cell r="D1020">
            <v>629950</v>
          </cell>
          <cell r="E1020">
            <v>1179060</v>
          </cell>
          <cell r="F1020">
            <v>2854107</v>
          </cell>
          <cell r="G1020">
            <v>4033167</v>
          </cell>
          <cell r="H1020">
            <v>603800</v>
          </cell>
        </row>
        <row r="1021">
          <cell r="A1021" t="str">
            <v>2167</v>
          </cell>
          <cell r="B1021" t="str">
            <v>小西　房子　　　</v>
          </cell>
          <cell r="C1021">
            <v>563120</v>
          </cell>
          <cell r="D1021">
            <v>629460</v>
          </cell>
          <cell r="E1021">
            <v>1192580</v>
          </cell>
          <cell r="F1021">
            <v>3006360</v>
          </cell>
          <cell r="G1021">
            <v>4198940</v>
          </cell>
          <cell r="H1021">
            <v>588030</v>
          </cell>
        </row>
        <row r="1022">
          <cell r="A1022" t="str">
            <v>2287</v>
          </cell>
          <cell r="B1022" t="str">
            <v>佐々木　信一　　</v>
          </cell>
          <cell r="C1022">
            <v>562510</v>
          </cell>
          <cell r="D1022">
            <v>629190</v>
          </cell>
          <cell r="E1022">
            <v>1191700</v>
          </cell>
          <cell r="F1022">
            <v>2880820</v>
          </cell>
          <cell r="G1022">
            <v>4072520</v>
          </cell>
          <cell r="H1022">
            <v>607130</v>
          </cell>
        </row>
        <row r="1023">
          <cell r="A1023" t="str">
            <v>2938</v>
          </cell>
          <cell r="B1023" t="str">
            <v>片岡　みどり　　</v>
          </cell>
          <cell r="C1023">
            <v>566630</v>
          </cell>
          <cell r="D1023">
            <v>628920</v>
          </cell>
          <cell r="E1023">
            <v>1195550</v>
          </cell>
          <cell r="F1023">
            <v>2758564</v>
          </cell>
          <cell r="G1023">
            <v>3954114</v>
          </cell>
          <cell r="H1023">
            <v>585810</v>
          </cell>
        </row>
        <row r="1024">
          <cell r="A1024" t="str">
            <v>3263</v>
          </cell>
          <cell r="B1024" t="str">
            <v>石川　進　　　　</v>
          </cell>
          <cell r="C1024">
            <v>572210</v>
          </cell>
          <cell r="D1024">
            <v>628820</v>
          </cell>
          <cell r="E1024">
            <v>1201030</v>
          </cell>
          <cell r="F1024">
            <v>2884010</v>
          </cell>
          <cell r="G1024">
            <v>4085040</v>
          </cell>
          <cell r="H1024">
            <v>587060</v>
          </cell>
        </row>
        <row r="1025">
          <cell r="A1025" t="str">
            <v>2968</v>
          </cell>
          <cell r="B1025" t="str">
            <v>北畑　秀修　　　</v>
          </cell>
          <cell r="C1025">
            <v>556450</v>
          </cell>
          <cell r="D1025">
            <v>628040</v>
          </cell>
          <cell r="E1025">
            <v>1184490</v>
          </cell>
          <cell r="F1025">
            <v>2339129</v>
          </cell>
          <cell r="G1025">
            <v>3523619</v>
          </cell>
          <cell r="H1025">
            <v>585510</v>
          </cell>
        </row>
        <row r="1026">
          <cell r="A1026" t="str">
            <v>3006</v>
          </cell>
          <cell r="B1026" t="str">
            <v>長谷川　義則　　</v>
          </cell>
          <cell r="C1026">
            <v>553980</v>
          </cell>
          <cell r="D1026">
            <v>628040</v>
          </cell>
          <cell r="E1026">
            <v>1182020</v>
          </cell>
          <cell r="F1026">
            <v>2745712</v>
          </cell>
          <cell r="G1026">
            <v>3927732</v>
          </cell>
          <cell r="H1026">
            <v>585510</v>
          </cell>
        </row>
        <row r="1027">
          <cell r="A1027" t="str">
            <v>2790</v>
          </cell>
          <cell r="B1027" t="str">
            <v>瀧本　博之　　　</v>
          </cell>
          <cell r="C1027">
            <v>566940</v>
          </cell>
          <cell r="D1027">
            <v>628040</v>
          </cell>
          <cell r="E1027">
            <v>1194980</v>
          </cell>
          <cell r="F1027">
            <v>2931162</v>
          </cell>
          <cell r="G1027">
            <v>4126142</v>
          </cell>
          <cell r="H1027">
            <v>585510</v>
          </cell>
        </row>
        <row r="1028">
          <cell r="A1028" t="str">
            <v>2990</v>
          </cell>
          <cell r="B1028" t="str">
            <v>綱島　洋之　　　</v>
          </cell>
          <cell r="C1028">
            <v>556450</v>
          </cell>
          <cell r="D1028">
            <v>628040</v>
          </cell>
          <cell r="E1028">
            <v>1184490</v>
          </cell>
          <cell r="F1028">
            <v>2379818</v>
          </cell>
          <cell r="G1028">
            <v>3564308</v>
          </cell>
          <cell r="H1028">
            <v>585510</v>
          </cell>
        </row>
        <row r="1029">
          <cell r="A1029" t="str">
            <v>2788</v>
          </cell>
          <cell r="B1029" t="str">
            <v>杉原　耕司　　　</v>
          </cell>
          <cell r="C1029">
            <v>566940</v>
          </cell>
          <cell r="D1029">
            <v>628040</v>
          </cell>
          <cell r="E1029">
            <v>1194980</v>
          </cell>
          <cell r="F1029">
            <v>3417894</v>
          </cell>
          <cell r="G1029">
            <v>4612874</v>
          </cell>
          <cell r="H1029">
            <v>597920</v>
          </cell>
        </row>
        <row r="1030">
          <cell r="A1030" t="str">
            <v>0543</v>
          </cell>
          <cell r="B1030" t="str">
            <v>三崎　寿美子　　</v>
          </cell>
          <cell r="C1030">
            <v>542540</v>
          </cell>
          <cell r="D1030">
            <v>627000</v>
          </cell>
          <cell r="E1030">
            <v>1169540</v>
          </cell>
          <cell r="F1030">
            <v>2898284</v>
          </cell>
          <cell r="G1030">
            <v>4067824</v>
          </cell>
          <cell r="H1030">
            <v>548440</v>
          </cell>
        </row>
        <row r="1031">
          <cell r="A1031" t="str">
            <v>2505</v>
          </cell>
          <cell r="B1031" t="str">
            <v>工藤　秀成　　　</v>
          </cell>
          <cell r="C1031">
            <v>562310</v>
          </cell>
          <cell r="D1031">
            <v>626970</v>
          </cell>
          <cell r="E1031">
            <v>1189280</v>
          </cell>
          <cell r="F1031">
            <v>3200493</v>
          </cell>
          <cell r="G1031">
            <v>4389773</v>
          </cell>
          <cell r="H1031">
            <v>582840</v>
          </cell>
        </row>
        <row r="1032">
          <cell r="A1032" t="str">
            <v>2994</v>
          </cell>
          <cell r="B1032" t="str">
            <v>中島　央雄　　　</v>
          </cell>
          <cell r="C1032">
            <v>552960</v>
          </cell>
          <cell r="D1032">
            <v>626720</v>
          </cell>
          <cell r="E1032">
            <v>1179680</v>
          </cell>
          <cell r="F1032">
            <v>2768959</v>
          </cell>
          <cell r="G1032">
            <v>3948639</v>
          </cell>
          <cell r="H1032">
            <v>585510</v>
          </cell>
        </row>
        <row r="1033">
          <cell r="A1033" t="str">
            <v>2964</v>
          </cell>
          <cell r="B1033" t="str">
            <v>荻野　尊雄　　　</v>
          </cell>
          <cell r="C1033">
            <v>553980</v>
          </cell>
          <cell r="D1033">
            <v>624870</v>
          </cell>
          <cell r="E1033">
            <v>1178850</v>
          </cell>
          <cell r="F1033">
            <v>2486129</v>
          </cell>
          <cell r="G1033">
            <v>3664979</v>
          </cell>
          <cell r="H1033">
            <v>582550</v>
          </cell>
        </row>
        <row r="1034">
          <cell r="A1034" t="str">
            <v>2977</v>
          </cell>
          <cell r="B1034" t="str">
            <v>櫻井　孝彦　　　</v>
          </cell>
          <cell r="C1034">
            <v>553980</v>
          </cell>
          <cell r="D1034">
            <v>624870</v>
          </cell>
          <cell r="E1034">
            <v>1178850</v>
          </cell>
          <cell r="F1034">
            <v>3077598</v>
          </cell>
          <cell r="G1034">
            <v>4256448</v>
          </cell>
          <cell r="H1034">
            <v>582550</v>
          </cell>
        </row>
        <row r="1035">
          <cell r="A1035" t="str">
            <v>3129</v>
          </cell>
          <cell r="B1035" t="str">
            <v>江原　伸夫　　　</v>
          </cell>
          <cell r="C1035">
            <v>520840</v>
          </cell>
          <cell r="D1035">
            <v>624520</v>
          </cell>
          <cell r="E1035">
            <v>1145360</v>
          </cell>
          <cell r="F1035">
            <v>2639145</v>
          </cell>
          <cell r="G1035">
            <v>3784505</v>
          </cell>
          <cell r="H1035">
            <v>586040</v>
          </cell>
        </row>
        <row r="1036">
          <cell r="A1036" t="str">
            <v>3169</v>
          </cell>
          <cell r="B1036" t="str">
            <v>松岡　晃司　　　</v>
          </cell>
          <cell r="C1036">
            <v>533400</v>
          </cell>
          <cell r="D1036">
            <v>624520</v>
          </cell>
          <cell r="E1036">
            <v>1157920</v>
          </cell>
          <cell r="F1036">
            <v>2551614</v>
          </cell>
          <cell r="G1036">
            <v>3709534</v>
          </cell>
          <cell r="H1036">
            <v>576620</v>
          </cell>
        </row>
        <row r="1037">
          <cell r="A1037" t="str">
            <v>3145</v>
          </cell>
          <cell r="B1037" t="str">
            <v>新藤　昭彦　　　</v>
          </cell>
          <cell r="C1037">
            <v>533400</v>
          </cell>
          <cell r="D1037">
            <v>624520</v>
          </cell>
          <cell r="E1037">
            <v>1157920</v>
          </cell>
          <cell r="F1037">
            <v>2728691</v>
          </cell>
          <cell r="G1037">
            <v>3886611</v>
          </cell>
          <cell r="H1037">
            <v>598590</v>
          </cell>
        </row>
        <row r="1038">
          <cell r="A1038" t="str">
            <v>3005</v>
          </cell>
          <cell r="B1038" t="str">
            <v>橋本　敏一　　　</v>
          </cell>
          <cell r="C1038">
            <v>567300</v>
          </cell>
          <cell r="D1038">
            <v>622840</v>
          </cell>
          <cell r="E1038">
            <v>1190140</v>
          </cell>
          <cell r="F1038">
            <v>2611801</v>
          </cell>
          <cell r="G1038">
            <v>3801941</v>
          </cell>
          <cell r="H1038">
            <v>627380</v>
          </cell>
        </row>
        <row r="1039">
          <cell r="A1039" t="str">
            <v>2966</v>
          </cell>
          <cell r="B1039" t="str">
            <v>川島　武之　　　</v>
          </cell>
          <cell r="C1039">
            <v>554860</v>
          </cell>
          <cell r="D1039">
            <v>622840</v>
          </cell>
          <cell r="E1039">
            <v>1177700</v>
          </cell>
          <cell r="F1039">
            <v>2477580</v>
          </cell>
          <cell r="G1039">
            <v>3655280</v>
          </cell>
          <cell r="H1039">
            <v>560710</v>
          </cell>
        </row>
        <row r="1040">
          <cell r="A1040" t="str">
            <v>3009</v>
          </cell>
          <cell r="B1040" t="str">
            <v>羽原　義和　　　</v>
          </cell>
          <cell r="C1040">
            <v>551530</v>
          </cell>
          <cell r="D1040">
            <v>621680</v>
          </cell>
          <cell r="E1040">
            <v>1173210</v>
          </cell>
          <cell r="F1040">
            <v>2571641</v>
          </cell>
          <cell r="G1040">
            <v>3744851</v>
          </cell>
          <cell r="H1040">
            <v>579590</v>
          </cell>
        </row>
        <row r="1041">
          <cell r="A1041" t="str">
            <v>3023</v>
          </cell>
          <cell r="B1041" t="str">
            <v>山口　雅士　　　</v>
          </cell>
          <cell r="C1041">
            <v>551530</v>
          </cell>
          <cell r="D1041">
            <v>621680</v>
          </cell>
          <cell r="E1041">
            <v>1173210</v>
          </cell>
          <cell r="F1041">
            <v>2369484</v>
          </cell>
          <cell r="G1041">
            <v>3542694</v>
          </cell>
          <cell r="H1041">
            <v>579590</v>
          </cell>
        </row>
        <row r="1042">
          <cell r="A1042" t="str">
            <v>2993</v>
          </cell>
          <cell r="B1042" t="str">
            <v>中江　淳文　　　</v>
          </cell>
          <cell r="C1042">
            <v>551530</v>
          </cell>
          <cell r="D1042">
            <v>621680</v>
          </cell>
          <cell r="E1042">
            <v>1173210</v>
          </cell>
          <cell r="F1042">
            <v>2339891</v>
          </cell>
          <cell r="G1042">
            <v>3513101</v>
          </cell>
          <cell r="H1042">
            <v>579590</v>
          </cell>
        </row>
        <row r="1043">
          <cell r="A1043" t="str">
            <v>2965</v>
          </cell>
          <cell r="B1043" t="str">
            <v>加藤　顕道　　　</v>
          </cell>
          <cell r="C1043">
            <v>537330</v>
          </cell>
          <cell r="D1043">
            <v>621680</v>
          </cell>
          <cell r="E1043">
            <v>1159010</v>
          </cell>
          <cell r="F1043">
            <v>3127090</v>
          </cell>
          <cell r="G1043">
            <v>4286100</v>
          </cell>
          <cell r="H1043">
            <v>579590</v>
          </cell>
        </row>
        <row r="1044">
          <cell r="A1044" t="str">
            <v>2956</v>
          </cell>
          <cell r="B1044" t="str">
            <v>入船　英樹　　　</v>
          </cell>
          <cell r="C1044">
            <v>551530</v>
          </cell>
          <cell r="D1044">
            <v>621680</v>
          </cell>
          <cell r="E1044">
            <v>1173210</v>
          </cell>
          <cell r="F1044">
            <v>2563445</v>
          </cell>
          <cell r="G1044">
            <v>3736655</v>
          </cell>
          <cell r="H1044">
            <v>579590</v>
          </cell>
        </row>
        <row r="1045">
          <cell r="A1045" t="str">
            <v>2812</v>
          </cell>
          <cell r="B1045" t="str">
            <v>舩木　建生　　　</v>
          </cell>
          <cell r="C1045">
            <v>619480</v>
          </cell>
          <cell r="D1045">
            <v>621630</v>
          </cell>
          <cell r="E1045">
            <v>1241110</v>
          </cell>
          <cell r="F1045">
            <v>2650333</v>
          </cell>
          <cell r="G1045">
            <v>3891443</v>
          </cell>
          <cell r="H1045">
            <v>649680</v>
          </cell>
        </row>
        <row r="1046">
          <cell r="A1046" t="str">
            <v>3174</v>
          </cell>
          <cell r="B1046" t="str">
            <v>村松　秀隆　　　</v>
          </cell>
          <cell r="C1046">
            <v>549110</v>
          </cell>
          <cell r="D1046">
            <v>620650</v>
          </cell>
          <cell r="E1046">
            <v>1169760</v>
          </cell>
          <cell r="F1046">
            <v>2577168</v>
          </cell>
          <cell r="G1046">
            <v>3746928</v>
          </cell>
          <cell r="H1046">
            <v>614880</v>
          </cell>
        </row>
        <row r="1047">
          <cell r="A1047" t="str">
            <v>3164</v>
          </cell>
          <cell r="B1047" t="str">
            <v>平尾　光治　　　</v>
          </cell>
          <cell r="C1047">
            <v>533400</v>
          </cell>
          <cell r="D1047">
            <v>620650</v>
          </cell>
          <cell r="E1047">
            <v>1154050</v>
          </cell>
          <cell r="F1047">
            <v>2584718</v>
          </cell>
          <cell r="G1047">
            <v>3738768</v>
          </cell>
          <cell r="H1047">
            <v>603800</v>
          </cell>
        </row>
        <row r="1048">
          <cell r="A1048" t="str">
            <v>3153</v>
          </cell>
          <cell r="B1048" t="str">
            <v>田邉　祥二　　　</v>
          </cell>
          <cell r="C1048">
            <v>541260</v>
          </cell>
          <cell r="D1048">
            <v>620650</v>
          </cell>
          <cell r="E1048">
            <v>1161910</v>
          </cell>
          <cell r="F1048">
            <v>2645594</v>
          </cell>
          <cell r="G1048">
            <v>3807504</v>
          </cell>
          <cell r="H1048">
            <v>603800</v>
          </cell>
        </row>
        <row r="1049">
          <cell r="A1049" t="str">
            <v>3107</v>
          </cell>
          <cell r="B1049" t="str">
            <v>高橋　剛　　　　</v>
          </cell>
          <cell r="C1049">
            <v>561000</v>
          </cell>
          <cell r="D1049">
            <v>618520</v>
          </cell>
          <cell r="E1049">
            <v>1179520</v>
          </cell>
          <cell r="F1049">
            <v>2364527</v>
          </cell>
          <cell r="G1049">
            <v>3544047</v>
          </cell>
          <cell r="H1049">
            <v>588840</v>
          </cell>
        </row>
        <row r="1050">
          <cell r="A1050" t="str">
            <v>3172</v>
          </cell>
          <cell r="B1050" t="str">
            <v>三辻　泰則　　　</v>
          </cell>
          <cell r="C1050">
            <v>541260</v>
          </cell>
          <cell r="D1050">
            <v>617970</v>
          </cell>
          <cell r="E1050">
            <v>1159230</v>
          </cell>
          <cell r="F1050">
            <v>2631469</v>
          </cell>
          <cell r="G1050">
            <v>3790699</v>
          </cell>
          <cell r="H1050">
            <v>601200</v>
          </cell>
        </row>
        <row r="1051">
          <cell r="A1051" t="str">
            <v>3162</v>
          </cell>
          <cell r="B1051" t="str">
            <v>長谷　司　　　　</v>
          </cell>
          <cell r="C1051">
            <v>541260</v>
          </cell>
          <cell r="D1051">
            <v>617970</v>
          </cell>
          <cell r="E1051">
            <v>1159230</v>
          </cell>
          <cell r="F1051">
            <v>2618665</v>
          </cell>
          <cell r="G1051">
            <v>3777895</v>
          </cell>
          <cell r="H1051">
            <v>579130</v>
          </cell>
        </row>
        <row r="1052">
          <cell r="A1052" t="str">
            <v>2636</v>
          </cell>
          <cell r="B1052" t="str">
            <v>竹内　俊一　　　</v>
          </cell>
          <cell r="C1052">
            <v>602980</v>
          </cell>
          <cell r="D1052">
            <v>617440</v>
          </cell>
          <cell r="E1052">
            <v>1220420</v>
          </cell>
          <cell r="F1052">
            <v>2707309</v>
          </cell>
          <cell r="G1052">
            <v>3927729</v>
          </cell>
          <cell r="H1052">
            <v>620490</v>
          </cell>
        </row>
        <row r="1053">
          <cell r="A1053" t="str">
            <v>2395</v>
          </cell>
          <cell r="B1053" t="str">
            <v>坂井　小枝佳　　</v>
          </cell>
          <cell r="C1053">
            <v>558030</v>
          </cell>
          <cell r="D1053">
            <v>615330</v>
          </cell>
          <cell r="E1053">
            <v>1173360</v>
          </cell>
          <cell r="F1053">
            <v>2328646</v>
          </cell>
          <cell r="G1053">
            <v>3502006</v>
          </cell>
          <cell r="H1053">
            <v>573660</v>
          </cell>
        </row>
        <row r="1054">
          <cell r="A1054" t="str">
            <v>3142</v>
          </cell>
          <cell r="B1054" t="str">
            <v>柴田　宏治　　　</v>
          </cell>
          <cell r="C1054">
            <v>508280</v>
          </cell>
          <cell r="D1054">
            <v>615300</v>
          </cell>
          <cell r="E1054">
            <v>1123580</v>
          </cell>
          <cell r="F1054">
            <v>2994346</v>
          </cell>
          <cell r="G1054">
            <v>4117926</v>
          </cell>
          <cell r="H1054">
            <v>559350</v>
          </cell>
        </row>
        <row r="1055">
          <cell r="A1055" t="str">
            <v>1405</v>
          </cell>
          <cell r="B1055" t="str">
            <v>岡本　和也　　　</v>
          </cell>
          <cell r="C1055">
            <v>567560</v>
          </cell>
          <cell r="D1055">
            <v>614410</v>
          </cell>
          <cell r="E1055">
            <v>1181970</v>
          </cell>
          <cell r="F1055">
            <v>2542268</v>
          </cell>
          <cell r="G1055">
            <v>3724238</v>
          </cell>
          <cell r="H1055">
            <v>556870</v>
          </cell>
        </row>
        <row r="1056">
          <cell r="A1056" t="str">
            <v>3128</v>
          </cell>
          <cell r="B1056" t="str">
            <v>魚住　幸司　　　</v>
          </cell>
          <cell r="C1056">
            <v>520840</v>
          </cell>
          <cell r="D1056">
            <v>613980</v>
          </cell>
          <cell r="E1056">
            <v>1134820</v>
          </cell>
          <cell r="F1056">
            <v>2601451</v>
          </cell>
          <cell r="G1056">
            <v>3736271</v>
          </cell>
          <cell r="H1056">
            <v>584130</v>
          </cell>
        </row>
        <row r="1057">
          <cell r="A1057" t="str">
            <v>3157</v>
          </cell>
          <cell r="B1057" t="str">
            <v>富沢　和彦　　　</v>
          </cell>
          <cell r="C1057">
            <v>533400</v>
          </cell>
          <cell r="D1057">
            <v>613980</v>
          </cell>
          <cell r="E1057">
            <v>1147380</v>
          </cell>
          <cell r="F1057">
            <v>2561717</v>
          </cell>
          <cell r="G1057">
            <v>3709097</v>
          </cell>
          <cell r="H1057">
            <v>606400</v>
          </cell>
        </row>
        <row r="1058">
          <cell r="A1058" t="str">
            <v>2850</v>
          </cell>
          <cell r="B1058" t="str">
            <v>畑中　康代　　　</v>
          </cell>
          <cell r="C1058">
            <v>554970</v>
          </cell>
          <cell r="D1058">
            <v>613420</v>
          </cell>
          <cell r="E1058">
            <v>1168390</v>
          </cell>
          <cell r="F1058">
            <v>2426213</v>
          </cell>
          <cell r="G1058">
            <v>3594603</v>
          </cell>
          <cell r="H1058">
            <v>603990</v>
          </cell>
        </row>
        <row r="1059">
          <cell r="A1059" t="str">
            <v>3462</v>
          </cell>
          <cell r="B1059" t="str">
            <v>高橋　通　　　　</v>
          </cell>
          <cell r="C1059">
            <v>150000</v>
          </cell>
          <cell r="D1059">
            <v>611520</v>
          </cell>
          <cell r="E1059">
            <v>761520</v>
          </cell>
          <cell r="F1059">
            <v>2654986</v>
          </cell>
          <cell r="G1059">
            <v>3416506</v>
          </cell>
          <cell r="H1059">
            <v>592800</v>
          </cell>
        </row>
        <row r="1060">
          <cell r="A1060" t="str">
            <v>3168</v>
          </cell>
          <cell r="B1060" t="str">
            <v>前田　健　　　　</v>
          </cell>
          <cell r="C1060">
            <v>533400</v>
          </cell>
          <cell r="D1060">
            <v>611350</v>
          </cell>
          <cell r="E1060">
            <v>1144750</v>
          </cell>
          <cell r="F1060">
            <v>2436172</v>
          </cell>
          <cell r="G1060">
            <v>3580922</v>
          </cell>
          <cell r="H1060">
            <v>581630</v>
          </cell>
        </row>
        <row r="1061">
          <cell r="A1061" t="str">
            <v>3159</v>
          </cell>
          <cell r="B1061" t="str">
            <v>中尾　一徳　　　</v>
          </cell>
          <cell r="C1061">
            <v>533400</v>
          </cell>
          <cell r="D1061">
            <v>611350</v>
          </cell>
          <cell r="E1061">
            <v>1144750</v>
          </cell>
          <cell r="F1061">
            <v>2547756</v>
          </cell>
          <cell r="G1061">
            <v>3692506</v>
          </cell>
          <cell r="H1061">
            <v>591130</v>
          </cell>
        </row>
        <row r="1062">
          <cell r="A1062" t="str">
            <v>3179</v>
          </cell>
          <cell r="B1062" t="str">
            <v>川原　晴美　　　</v>
          </cell>
          <cell r="C1062">
            <v>541260</v>
          </cell>
          <cell r="D1062">
            <v>611350</v>
          </cell>
          <cell r="E1062">
            <v>1152610</v>
          </cell>
          <cell r="F1062">
            <v>2534415</v>
          </cell>
          <cell r="G1062">
            <v>3687025</v>
          </cell>
          <cell r="H1062">
            <v>546800</v>
          </cell>
        </row>
        <row r="1063">
          <cell r="A1063" t="str">
            <v>2986</v>
          </cell>
          <cell r="B1063" t="str">
            <v>田上　道章　　　</v>
          </cell>
          <cell r="C1063">
            <v>556450</v>
          </cell>
          <cell r="D1063">
            <v>610340</v>
          </cell>
          <cell r="E1063">
            <v>1166790</v>
          </cell>
          <cell r="F1063">
            <v>2691911</v>
          </cell>
          <cell r="G1063">
            <v>3858701</v>
          </cell>
          <cell r="H1063">
            <v>600980</v>
          </cell>
        </row>
        <row r="1064">
          <cell r="A1064" t="str">
            <v>2882</v>
          </cell>
          <cell r="B1064" t="str">
            <v>山口　尚孝　　　</v>
          </cell>
          <cell r="C1064">
            <v>572860</v>
          </cell>
          <cell r="D1064">
            <v>610340</v>
          </cell>
          <cell r="E1064">
            <v>1183200</v>
          </cell>
          <cell r="F1064">
            <v>3129174</v>
          </cell>
          <cell r="G1064">
            <v>4312374</v>
          </cell>
          <cell r="H1064">
            <v>569810</v>
          </cell>
        </row>
        <row r="1065">
          <cell r="A1065" t="str">
            <v>3144</v>
          </cell>
          <cell r="B1065" t="str">
            <v>神　健夫　　　　</v>
          </cell>
          <cell r="C1065">
            <v>508280</v>
          </cell>
          <cell r="D1065">
            <v>608710</v>
          </cell>
          <cell r="E1065">
            <v>1116990</v>
          </cell>
          <cell r="F1065">
            <v>2534753</v>
          </cell>
          <cell r="G1065">
            <v>3651743</v>
          </cell>
          <cell r="H1065">
            <v>563370</v>
          </cell>
        </row>
        <row r="1066">
          <cell r="A1066" t="str">
            <v>3125</v>
          </cell>
          <cell r="B1066" t="str">
            <v>新井　雅晴　　　</v>
          </cell>
          <cell r="C1066">
            <v>520840</v>
          </cell>
          <cell r="D1066">
            <v>608710</v>
          </cell>
          <cell r="E1066">
            <v>1129550</v>
          </cell>
          <cell r="F1066">
            <v>2594810</v>
          </cell>
          <cell r="G1066">
            <v>3724360</v>
          </cell>
          <cell r="H1066">
            <v>561790</v>
          </cell>
        </row>
        <row r="1067">
          <cell r="A1067" t="str">
            <v>3138</v>
          </cell>
          <cell r="B1067" t="str">
            <v>川村　英毅　　　</v>
          </cell>
          <cell r="C1067">
            <v>541260</v>
          </cell>
          <cell r="D1067">
            <v>608710</v>
          </cell>
          <cell r="E1067">
            <v>1149970</v>
          </cell>
          <cell r="F1067">
            <v>2499829</v>
          </cell>
          <cell r="G1067">
            <v>3649799</v>
          </cell>
          <cell r="H1067">
            <v>561790</v>
          </cell>
        </row>
        <row r="1068">
          <cell r="A1068" t="str">
            <v>2975</v>
          </cell>
          <cell r="B1068" t="str">
            <v>阪口　徹　　　　</v>
          </cell>
          <cell r="C1068">
            <v>553980</v>
          </cell>
          <cell r="D1068">
            <v>607230</v>
          </cell>
          <cell r="E1068">
            <v>1161210</v>
          </cell>
          <cell r="F1068">
            <v>2580438</v>
          </cell>
          <cell r="G1068">
            <v>3741648</v>
          </cell>
          <cell r="H1068">
            <v>566910</v>
          </cell>
        </row>
        <row r="1069">
          <cell r="A1069" t="str">
            <v>1927</v>
          </cell>
          <cell r="B1069" t="str">
            <v>篠崎　丞　　　　</v>
          </cell>
          <cell r="C1069">
            <v>600940</v>
          </cell>
          <cell r="D1069">
            <v>606890</v>
          </cell>
          <cell r="E1069">
            <v>1207830</v>
          </cell>
          <cell r="F1069">
            <v>3859547</v>
          </cell>
          <cell r="G1069">
            <v>5067377</v>
          </cell>
          <cell r="H1069">
            <v>569220</v>
          </cell>
        </row>
        <row r="1070">
          <cell r="A1070" t="str">
            <v>3038</v>
          </cell>
          <cell r="B1070" t="str">
            <v>増田　栄子　　　</v>
          </cell>
          <cell r="C1070">
            <v>523740</v>
          </cell>
          <cell r="D1070">
            <v>606410</v>
          </cell>
          <cell r="E1070">
            <v>1130150</v>
          </cell>
          <cell r="F1070">
            <v>2606839</v>
          </cell>
          <cell r="G1070">
            <v>3736989</v>
          </cell>
          <cell r="H1070">
            <v>546040</v>
          </cell>
        </row>
        <row r="1071">
          <cell r="A1071" t="str">
            <v>2950</v>
          </cell>
          <cell r="B1071" t="str">
            <v>五十里　寛　　　</v>
          </cell>
          <cell r="C1071">
            <v>542070</v>
          </cell>
          <cell r="D1071">
            <v>606410</v>
          </cell>
          <cell r="E1071">
            <v>1148480</v>
          </cell>
          <cell r="F1071">
            <v>2659116</v>
          </cell>
          <cell r="G1071">
            <v>3807596</v>
          </cell>
          <cell r="H1071">
            <v>607130</v>
          </cell>
        </row>
        <row r="1072">
          <cell r="A1072" t="str">
            <v>2288</v>
          </cell>
          <cell r="B1072" t="str">
            <v>須藤　純明　　　</v>
          </cell>
          <cell r="C1072">
            <v>575010</v>
          </cell>
          <cell r="D1072">
            <v>606120</v>
          </cell>
          <cell r="E1072">
            <v>1181130</v>
          </cell>
          <cell r="F1072">
            <v>2513438</v>
          </cell>
          <cell r="G1072">
            <v>3694568</v>
          </cell>
          <cell r="H1072">
            <v>564450</v>
          </cell>
        </row>
        <row r="1073">
          <cell r="A1073" t="str">
            <v>2128</v>
          </cell>
          <cell r="B1073" t="str">
            <v>大内　祐子　　　</v>
          </cell>
          <cell r="C1073">
            <v>456260</v>
          </cell>
          <cell r="D1073">
            <v>605120</v>
          </cell>
          <cell r="E1073">
            <v>1061380</v>
          </cell>
          <cell r="F1073">
            <v>2569530</v>
          </cell>
          <cell r="G1073">
            <v>3630910</v>
          </cell>
          <cell r="H1073">
            <v>544150</v>
          </cell>
        </row>
        <row r="1074">
          <cell r="A1074" t="str">
            <v>2944</v>
          </cell>
          <cell r="B1074" t="str">
            <v>朝倉　律充　　　</v>
          </cell>
          <cell r="C1074">
            <v>553980</v>
          </cell>
          <cell r="D1074">
            <v>604160</v>
          </cell>
          <cell r="E1074">
            <v>1158140</v>
          </cell>
          <cell r="F1074">
            <v>3043243</v>
          </cell>
          <cell r="G1074">
            <v>4201383</v>
          </cell>
          <cell r="H1074">
            <v>582550</v>
          </cell>
        </row>
        <row r="1075">
          <cell r="A1075" t="str">
            <v>3025</v>
          </cell>
          <cell r="B1075" t="str">
            <v>山田　博史　　　</v>
          </cell>
          <cell r="C1075">
            <v>539720</v>
          </cell>
          <cell r="D1075">
            <v>604160</v>
          </cell>
          <cell r="E1075">
            <v>1143880</v>
          </cell>
          <cell r="F1075">
            <v>2756642</v>
          </cell>
          <cell r="G1075">
            <v>3900522</v>
          </cell>
          <cell r="H1075">
            <v>564040</v>
          </cell>
        </row>
        <row r="1076">
          <cell r="A1076" t="str">
            <v>3130</v>
          </cell>
          <cell r="B1076" t="str">
            <v>海老名　圭介　　</v>
          </cell>
          <cell r="C1076">
            <v>549110</v>
          </cell>
          <cell r="D1076">
            <v>603490</v>
          </cell>
          <cell r="E1076">
            <v>1152600</v>
          </cell>
          <cell r="F1076">
            <v>2909255</v>
          </cell>
          <cell r="G1076">
            <v>4061855</v>
          </cell>
          <cell r="H1076">
            <v>539760</v>
          </cell>
        </row>
        <row r="1077">
          <cell r="A1077" t="str">
            <v>3137</v>
          </cell>
          <cell r="B1077" t="str">
            <v>川田　徳司　　　</v>
          </cell>
          <cell r="C1077">
            <v>531010</v>
          </cell>
          <cell r="D1077">
            <v>603490</v>
          </cell>
          <cell r="E1077">
            <v>1134500</v>
          </cell>
          <cell r="F1077">
            <v>2554357</v>
          </cell>
          <cell r="G1077">
            <v>3688857</v>
          </cell>
          <cell r="H1077">
            <v>574150</v>
          </cell>
        </row>
        <row r="1078">
          <cell r="A1078" t="str">
            <v>1074</v>
          </cell>
          <cell r="B1078" t="str">
            <v>西尾　成子　　　</v>
          </cell>
          <cell r="C1078">
            <v>517840</v>
          </cell>
          <cell r="D1078">
            <v>600270</v>
          </cell>
          <cell r="E1078">
            <v>1118110</v>
          </cell>
          <cell r="F1078">
            <v>3026861</v>
          </cell>
          <cell r="G1078">
            <v>4144971</v>
          </cell>
          <cell r="H1078">
            <v>524570</v>
          </cell>
        </row>
        <row r="1079">
          <cell r="A1079" t="str">
            <v>3136</v>
          </cell>
          <cell r="B1079" t="str">
            <v>河島　光晴　　　</v>
          </cell>
          <cell r="C1079">
            <v>533400</v>
          </cell>
          <cell r="D1079">
            <v>599030</v>
          </cell>
          <cell r="E1079">
            <v>1132430</v>
          </cell>
          <cell r="F1079">
            <v>2659200</v>
          </cell>
          <cell r="G1079">
            <v>3791630</v>
          </cell>
          <cell r="H1079">
            <v>533250</v>
          </cell>
        </row>
        <row r="1080">
          <cell r="A1080" t="str">
            <v>3265</v>
          </cell>
          <cell r="B1080" t="str">
            <v>石田　哲也　　　</v>
          </cell>
          <cell r="C1080">
            <v>480010</v>
          </cell>
          <cell r="D1080">
            <v>598020</v>
          </cell>
          <cell r="E1080">
            <v>1078030</v>
          </cell>
          <cell r="F1080">
            <v>2922935</v>
          </cell>
          <cell r="G1080">
            <v>4000965</v>
          </cell>
          <cell r="H1080">
            <v>558300</v>
          </cell>
        </row>
        <row r="1081">
          <cell r="A1081" t="str">
            <v>3228</v>
          </cell>
          <cell r="B1081" t="str">
            <v>金本　禮子　　　</v>
          </cell>
          <cell r="C1081">
            <v>517700</v>
          </cell>
          <cell r="D1081">
            <v>597600</v>
          </cell>
          <cell r="E1081">
            <v>1115300</v>
          </cell>
          <cell r="F1081">
            <v>2444267</v>
          </cell>
          <cell r="G1081">
            <v>3559567</v>
          </cell>
          <cell r="H1081">
            <v>563370</v>
          </cell>
        </row>
        <row r="1082">
          <cell r="A1082" t="str">
            <v>3152</v>
          </cell>
          <cell r="B1082" t="str">
            <v>田中　俊幸　　　</v>
          </cell>
          <cell r="C1082">
            <v>523980</v>
          </cell>
          <cell r="D1082">
            <v>597600</v>
          </cell>
          <cell r="E1082">
            <v>1121580</v>
          </cell>
          <cell r="F1082">
            <v>2582682</v>
          </cell>
          <cell r="G1082">
            <v>3704262</v>
          </cell>
          <cell r="H1082">
            <v>563370</v>
          </cell>
        </row>
        <row r="1083">
          <cell r="A1083" t="str">
            <v>3181</v>
          </cell>
          <cell r="B1083" t="str">
            <v>川村　直美　　　</v>
          </cell>
          <cell r="C1083">
            <v>517700</v>
          </cell>
          <cell r="D1083">
            <v>597600</v>
          </cell>
          <cell r="E1083">
            <v>1115300</v>
          </cell>
          <cell r="F1083">
            <v>2458754</v>
          </cell>
          <cell r="G1083">
            <v>3574054</v>
          </cell>
          <cell r="H1083">
            <v>563370</v>
          </cell>
        </row>
        <row r="1084">
          <cell r="A1084" t="str">
            <v>3150</v>
          </cell>
          <cell r="B1084" t="str">
            <v>田中　隆行　　　</v>
          </cell>
          <cell r="C1084">
            <v>533400</v>
          </cell>
          <cell r="D1084">
            <v>596470</v>
          </cell>
          <cell r="E1084">
            <v>1129870</v>
          </cell>
          <cell r="F1084">
            <v>2593257</v>
          </cell>
          <cell r="G1084">
            <v>3723127</v>
          </cell>
          <cell r="H1084">
            <v>591130</v>
          </cell>
        </row>
        <row r="1085">
          <cell r="A1085" t="str">
            <v>0486</v>
          </cell>
          <cell r="B1085" t="str">
            <v>東郷　ひで子　　</v>
          </cell>
          <cell r="C1085">
            <v>519280</v>
          </cell>
          <cell r="D1085">
            <v>595580</v>
          </cell>
          <cell r="E1085">
            <v>1114860</v>
          </cell>
          <cell r="F1085">
            <v>2976205</v>
          </cell>
          <cell r="G1085">
            <v>4091065</v>
          </cell>
          <cell r="H1085">
            <v>535410</v>
          </cell>
        </row>
        <row r="1086">
          <cell r="A1086" t="str">
            <v>3133</v>
          </cell>
          <cell r="B1086" t="str">
            <v>片山　信吾　　　</v>
          </cell>
          <cell r="C1086">
            <v>523980</v>
          </cell>
          <cell r="D1086">
            <v>595010</v>
          </cell>
          <cell r="E1086">
            <v>1118990</v>
          </cell>
          <cell r="F1086">
            <v>2739306</v>
          </cell>
          <cell r="G1086">
            <v>3858296</v>
          </cell>
          <cell r="H1086">
            <v>579760</v>
          </cell>
        </row>
        <row r="1087">
          <cell r="A1087" t="str">
            <v>3132</v>
          </cell>
          <cell r="B1087" t="str">
            <v>薫　浩昭　　　　</v>
          </cell>
          <cell r="C1087">
            <v>517700</v>
          </cell>
          <cell r="D1087">
            <v>595010</v>
          </cell>
          <cell r="E1087">
            <v>1112710</v>
          </cell>
          <cell r="F1087">
            <v>2650619</v>
          </cell>
          <cell r="G1087">
            <v>3763329</v>
          </cell>
          <cell r="H1087">
            <v>560920</v>
          </cell>
        </row>
        <row r="1088">
          <cell r="A1088" t="str">
            <v>3173</v>
          </cell>
          <cell r="B1088" t="str">
            <v>南　徹　　　　　</v>
          </cell>
          <cell r="C1088">
            <v>508280</v>
          </cell>
          <cell r="D1088">
            <v>593890</v>
          </cell>
          <cell r="E1088">
            <v>1102170</v>
          </cell>
          <cell r="F1088">
            <v>2620229</v>
          </cell>
          <cell r="G1088">
            <v>3722399</v>
          </cell>
          <cell r="H1088">
            <v>528680</v>
          </cell>
        </row>
        <row r="1089">
          <cell r="A1089" t="str">
            <v>2504</v>
          </cell>
          <cell r="B1089" t="str">
            <v>木村　典哲　　　</v>
          </cell>
          <cell r="C1089">
            <v>522430</v>
          </cell>
          <cell r="D1089">
            <v>593100</v>
          </cell>
          <cell r="E1089">
            <v>1115530</v>
          </cell>
          <cell r="F1089">
            <v>2505971</v>
          </cell>
          <cell r="G1089">
            <v>3621501</v>
          </cell>
          <cell r="H1089">
            <v>552450</v>
          </cell>
        </row>
        <row r="1090">
          <cell r="A1090" t="str">
            <v>2683</v>
          </cell>
          <cell r="B1090" t="str">
            <v>近松　素子　　　</v>
          </cell>
          <cell r="C1090">
            <v>521190</v>
          </cell>
          <cell r="D1090">
            <v>593000</v>
          </cell>
          <cell r="E1090">
            <v>1114190</v>
          </cell>
          <cell r="F1090">
            <v>2315241</v>
          </cell>
          <cell r="G1090">
            <v>3429431</v>
          </cell>
          <cell r="H1090">
            <v>551730</v>
          </cell>
        </row>
        <row r="1091">
          <cell r="A1091" t="str">
            <v>3109</v>
          </cell>
          <cell r="B1091" t="str">
            <v>志村　宏　　　　</v>
          </cell>
          <cell r="C1091">
            <v>537730</v>
          </cell>
          <cell r="D1091">
            <v>591830</v>
          </cell>
          <cell r="E1091">
            <v>1129560</v>
          </cell>
          <cell r="F1091">
            <v>2276918</v>
          </cell>
          <cell r="G1091">
            <v>3406478</v>
          </cell>
          <cell r="H1091">
            <v>552530</v>
          </cell>
        </row>
        <row r="1092">
          <cell r="A1092" t="str">
            <v>3178</v>
          </cell>
          <cell r="B1092" t="str">
            <v>加藤　千波　　　</v>
          </cell>
          <cell r="C1092">
            <v>520840</v>
          </cell>
          <cell r="D1092">
            <v>591330</v>
          </cell>
          <cell r="E1092">
            <v>1112170</v>
          </cell>
          <cell r="F1092">
            <v>2526262</v>
          </cell>
          <cell r="G1092">
            <v>3638432</v>
          </cell>
          <cell r="H1092">
            <v>542090</v>
          </cell>
        </row>
        <row r="1093">
          <cell r="A1093" t="str">
            <v>3127</v>
          </cell>
          <cell r="B1093" t="str">
            <v>井上　康　　　　</v>
          </cell>
          <cell r="C1093">
            <v>517700</v>
          </cell>
          <cell r="D1093">
            <v>590190</v>
          </cell>
          <cell r="E1093">
            <v>1107890</v>
          </cell>
          <cell r="F1093">
            <v>2401676</v>
          </cell>
          <cell r="G1093">
            <v>3509566</v>
          </cell>
          <cell r="H1093">
            <v>571730</v>
          </cell>
        </row>
        <row r="1094">
          <cell r="A1094" t="str">
            <v>3170</v>
          </cell>
          <cell r="B1094" t="str">
            <v>松本　能幸　　　</v>
          </cell>
          <cell r="C1094">
            <v>517700</v>
          </cell>
          <cell r="D1094">
            <v>590190</v>
          </cell>
          <cell r="E1094">
            <v>1107890</v>
          </cell>
          <cell r="F1094">
            <v>2332243</v>
          </cell>
          <cell r="G1094">
            <v>3440133</v>
          </cell>
          <cell r="H1094">
            <v>572820</v>
          </cell>
        </row>
        <row r="1095">
          <cell r="A1095" t="str">
            <v>2829</v>
          </cell>
          <cell r="B1095" t="str">
            <v>梅原　慎一　　　</v>
          </cell>
          <cell r="C1095">
            <v>519450</v>
          </cell>
          <cell r="D1095">
            <v>589820</v>
          </cell>
          <cell r="E1095">
            <v>1109270</v>
          </cell>
          <cell r="F1095">
            <v>2557756</v>
          </cell>
          <cell r="G1095">
            <v>3667026</v>
          </cell>
          <cell r="H1095">
            <v>520900</v>
          </cell>
        </row>
        <row r="1096">
          <cell r="A1096" t="str">
            <v>2831</v>
          </cell>
          <cell r="B1096" t="str">
            <v>高林　真一郎　　</v>
          </cell>
          <cell r="C1096">
            <v>519450</v>
          </cell>
          <cell r="D1096">
            <v>589820</v>
          </cell>
          <cell r="E1096">
            <v>1109270</v>
          </cell>
          <cell r="F1096">
            <v>2639701</v>
          </cell>
          <cell r="G1096">
            <v>3748971</v>
          </cell>
          <cell r="H1096">
            <v>537990</v>
          </cell>
        </row>
        <row r="1097">
          <cell r="A1097" t="str">
            <v>2832</v>
          </cell>
          <cell r="B1097" t="str">
            <v>宮里　裕二　　　</v>
          </cell>
          <cell r="C1097">
            <v>530270</v>
          </cell>
          <cell r="D1097">
            <v>589820</v>
          </cell>
          <cell r="E1097">
            <v>1120090</v>
          </cell>
          <cell r="F1097">
            <v>2074077</v>
          </cell>
          <cell r="G1097">
            <v>3194167</v>
          </cell>
          <cell r="H1097">
            <v>549390</v>
          </cell>
        </row>
        <row r="1098">
          <cell r="A1098" t="str">
            <v>2386</v>
          </cell>
          <cell r="B1098" t="str">
            <v>小山　智　　　　</v>
          </cell>
          <cell r="C1098">
            <v>533310</v>
          </cell>
          <cell r="D1098">
            <v>589820</v>
          </cell>
          <cell r="E1098">
            <v>1123130</v>
          </cell>
          <cell r="F1098">
            <v>2600871</v>
          </cell>
          <cell r="G1098">
            <v>3724001</v>
          </cell>
          <cell r="H1098">
            <v>549390</v>
          </cell>
        </row>
        <row r="1099">
          <cell r="A1099" t="str">
            <v>3244</v>
          </cell>
          <cell r="B1099" t="str">
            <v>廣田　健次　　　</v>
          </cell>
          <cell r="C1099">
            <v>524560</v>
          </cell>
          <cell r="D1099">
            <v>589420</v>
          </cell>
          <cell r="E1099">
            <v>1113980</v>
          </cell>
          <cell r="F1099">
            <v>3225602</v>
          </cell>
          <cell r="G1099">
            <v>4339582</v>
          </cell>
          <cell r="H1099">
            <v>569810</v>
          </cell>
        </row>
        <row r="1100">
          <cell r="A1100" t="str">
            <v>3163</v>
          </cell>
          <cell r="B1100" t="str">
            <v>樋笠　歩　　　　</v>
          </cell>
          <cell r="C1100">
            <v>541260</v>
          </cell>
          <cell r="D1100">
            <v>588800</v>
          </cell>
          <cell r="E1100">
            <v>1130060</v>
          </cell>
          <cell r="F1100">
            <v>2582150</v>
          </cell>
          <cell r="G1100">
            <v>3712210</v>
          </cell>
          <cell r="H1100">
            <v>556950</v>
          </cell>
        </row>
        <row r="1101">
          <cell r="A1101" t="str">
            <v>3460</v>
          </cell>
          <cell r="B1101" t="str">
            <v>梅田　義光　　　</v>
          </cell>
          <cell r="C1101">
            <v>144000</v>
          </cell>
          <cell r="D1101">
            <v>588570</v>
          </cell>
          <cell r="E1101">
            <v>732570</v>
          </cell>
          <cell r="F1101">
            <v>2377954</v>
          </cell>
          <cell r="G1101">
            <v>3110524</v>
          </cell>
          <cell r="H1101">
            <v>570570</v>
          </cell>
        </row>
        <row r="1102">
          <cell r="A1102" t="str">
            <v>3151</v>
          </cell>
          <cell r="B1102" t="str">
            <v>田中　哲也　　　</v>
          </cell>
          <cell r="C1102">
            <v>533400</v>
          </cell>
          <cell r="D1102">
            <v>587640</v>
          </cell>
          <cell r="E1102">
            <v>1121040</v>
          </cell>
          <cell r="F1102">
            <v>2484212</v>
          </cell>
          <cell r="G1102">
            <v>3605252</v>
          </cell>
          <cell r="H1102">
            <v>560920</v>
          </cell>
        </row>
        <row r="1103">
          <cell r="A1103" t="str">
            <v>3134</v>
          </cell>
          <cell r="B1103" t="str">
            <v>加藤　義徳　　　</v>
          </cell>
          <cell r="C1103">
            <v>517700</v>
          </cell>
          <cell r="D1103">
            <v>587640</v>
          </cell>
          <cell r="E1103">
            <v>1105340</v>
          </cell>
          <cell r="F1103">
            <v>2782482</v>
          </cell>
          <cell r="G1103">
            <v>3887822</v>
          </cell>
          <cell r="H1103">
            <v>560920</v>
          </cell>
        </row>
        <row r="1104">
          <cell r="A1104" t="str">
            <v>3148</v>
          </cell>
          <cell r="B1104" t="str">
            <v>高木　聡　　　　</v>
          </cell>
          <cell r="C1104">
            <v>517700</v>
          </cell>
          <cell r="D1104">
            <v>587640</v>
          </cell>
          <cell r="E1104">
            <v>1105340</v>
          </cell>
          <cell r="F1104">
            <v>2446622</v>
          </cell>
          <cell r="G1104">
            <v>3551962</v>
          </cell>
          <cell r="H1104">
            <v>560920</v>
          </cell>
        </row>
        <row r="1105">
          <cell r="A1105" t="str">
            <v>3149</v>
          </cell>
          <cell r="B1105" t="str">
            <v>多田　典正　　　</v>
          </cell>
          <cell r="C1105">
            <v>517700</v>
          </cell>
          <cell r="D1105">
            <v>587640</v>
          </cell>
          <cell r="E1105">
            <v>1105340</v>
          </cell>
          <cell r="F1105">
            <v>2506581</v>
          </cell>
          <cell r="G1105">
            <v>3611921</v>
          </cell>
          <cell r="H1105">
            <v>560920</v>
          </cell>
        </row>
        <row r="1106">
          <cell r="A1106" t="str">
            <v>3143</v>
          </cell>
          <cell r="B1106" t="str">
            <v>清水　浩　　　　</v>
          </cell>
          <cell r="C1106">
            <v>506710</v>
          </cell>
          <cell r="D1106">
            <v>587640</v>
          </cell>
          <cell r="E1106">
            <v>1094350</v>
          </cell>
          <cell r="F1106">
            <v>2377643</v>
          </cell>
          <cell r="G1106">
            <v>3471993</v>
          </cell>
          <cell r="H1106">
            <v>560920</v>
          </cell>
        </row>
        <row r="1107">
          <cell r="A1107" t="str">
            <v>3156</v>
          </cell>
          <cell r="B1107" t="str">
            <v>寺井　正幸　　　</v>
          </cell>
          <cell r="C1107">
            <v>517700</v>
          </cell>
          <cell r="D1107">
            <v>587640</v>
          </cell>
          <cell r="E1107">
            <v>1105340</v>
          </cell>
          <cell r="F1107">
            <v>2311774</v>
          </cell>
          <cell r="G1107">
            <v>3417114</v>
          </cell>
          <cell r="H1107">
            <v>560920</v>
          </cell>
        </row>
        <row r="1108">
          <cell r="A1108" t="str">
            <v>3141</v>
          </cell>
          <cell r="B1108" t="str">
            <v>佐伯　貴範　　　</v>
          </cell>
          <cell r="C1108">
            <v>506710</v>
          </cell>
          <cell r="D1108">
            <v>587640</v>
          </cell>
          <cell r="E1108">
            <v>1094350</v>
          </cell>
          <cell r="F1108">
            <v>2404693</v>
          </cell>
          <cell r="G1108">
            <v>3499043</v>
          </cell>
          <cell r="H1108">
            <v>560920</v>
          </cell>
        </row>
        <row r="1109">
          <cell r="A1109" t="str">
            <v>3146</v>
          </cell>
          <cell r="B1109" t="str">
            <v>杉本　雅美　　　</v>
          </cell>
          <cell r="C1109">
            <v>517700</v>
          </cell>
          <cell r="D1109">
            <v>587640</v>
          </cell>
          <cell r="E1109">
            <v>1105340</v>
          </cell>
          <cell r="F1109">
            <v>2698258</v>
          </cell>
          <cell r="G1109">
            <v>3803598</v>
          </cell>
          <cell r="H1109">
            <v>560920</v>
          </cell>
        </row>
        <row r="1110">
          <cell r="A1110" t="str">
            <v>3165</v>
          </cell>
          <cell r="B1110" t="str">
            <v>平瀬　星二　　　</v>
          </cell>
          <cell r="C1110">
            <v>517700</v>
          </cell>
          <cell r="D1110">
            <v>587640</v>
          </cell>
          <cell r="E1110">
            <v>1105340</v>
          </cell>
          <cell r="F1110">
            <v>2999986</v>
          </cell>
          <cell r="G1110">
            <v>4105326</v>
          </cell>
          <cell r="H1110">
            <v>560920</v>
          </cell>
        </row>
        <row r="1111">
          <cell r="A1111" t="str">
            <v>3294</v>
          </cell>
          <cell r="B1111" t="str">
            <v>粟田　努　　　　</v>
          </cell>
          <cell r="C1111">
            <v>513990</v>
          </cell>
          <cell r="D1111">
            <v>587600</v>
          </cell>
          <cell r="E1111">
            <v>1101590</v>
          </cell>
          <cell r="F1111">
            <v>3018874</v>
          </cell>
          <cell r="G1111">
            <v>4120464</v>
          </cell>
          <cell r="H1111">
            <v>565970</v>
          </cell>
        </row>
        <row r="1112">
          <cell r="A1112" t="str">
            <v>2503</v>
          </cell>
          <cell r="B1112" t="str">
            <v>大西　輝男　　　</v>
          </cell>
          <cell r="C1112">
            <v>516490</v>
          </cell>
          <cell r="D1112">
            <v>586580</v>
          </cell>
          <cell r="E1112">
            <v>1103070</v>
          </cell>
          <cell r="F1112">
            <v>2331429</v>
          </cell>
          <cell r="G1112">
            <v>3434499</v>
          </cell>
          <cell r="H1112">
            <v>535030</v>
          </cell>
        </row>
        <row r="1113">
          <cell r="A1113" t="str">
            <v>3161</v>
          </cell>
          <cell r="B1113" t="str">
            <v>萩原　弘喜　　　</v>
          </cell>
          <cell r="C1113">
            <v>506710</v>
          </cell>
          <cell r="D1113">
            <v>585120</v>
          </cell>
          <cell r="E1113">
            <v>1091830</v>
          </cell>
          <cell r="F1113">
            <v>2621678</v>
          </cell>
          <cell r="G1113">
            <v>3713508</v>
          </cell>
          <cell r="H1113">
            <v>558520</v>
          </cell>
        </row>
        <row r="1114">
          <cell r="A1114" t="str">
            <v>3139</v>
          </cell>
          <cell r="B1114" t="str">
            <v>久徳　政明　　　</v>
          </cell>
          <cell r="C1114">
            <v>517700</v>
          </cell>
          <cell r="D1114">
            <v>585120</v>
          </cell>
          <cell r="E1114">
            <v>1102820</v>
          </cell>
          <cell r="F1114">
            <v>2400069</v>
          </cell>
          <cell r="G1114">
            <v>3502889</v>
          </cell>
          <cell r="H1114">
            <v>544450</v>
          </cell>
        </row>
        <row r="1115">
          <cell r="A1115" t="str">
            <v>3333</v>
          </cell>
          <cell r="B1115" t="str">
            <v>藤田　健太郎　　</v>
          </cell>
          <cell r="C1115">
            <v>488680</v>
          </cell>
          <cell r="D1115">
            <v>584400</v>
          </cell>
          <cell r="E1115">
            <v>1073080</v>
          </cell>
          <cell r="F1115">
            <v>2784849</v>
          </cell>
          <cell r="G1115">
            <v>3857929</v>
          </cell>
          <cell r="H1115">
            <v>556080</v>
          </cell>
        </row>
        <row r="1116">
          <cell r="A1116" t="str">
            <v>3101</v>
          </cell>
          <cell r="B1116" t="str">
            <v>安井　清　　　　</v>
          </cell>
          <cell r="C1116">
            <v>485360</v>
          </cell>
          <cell r="D1116">
            <v>583470</v>
          </cell>
          <cell r="E1116">
            <v>1068830</v>
          </cell>
          <cell r="F1116">
            <v>2731147</v>
          </cell>
          <cell r="G1116">
            <v>3799977</v>
          </cell>
          <cell r="H1116">
            <v>555480</v>
          </cell>
        </row>
        <row r="1117">
          <cell r="A1117" t="str">
            <v>3437</v>
          </cell>
          <cell r="B1117" t="str">
            <v>藤丸　弘二　　　</v>
          </cell>
          <cell r="C1117">
            <v>549990</v>
          </cell>
          <cell r="D1117">
            <v>583160</v>
          </cell>
          <cell r="E1117">
            <v>1133150</v>
          </cell>
          <cell r="F1117">
            <v>2624623</v>
          </cell>
          <cell r="G1117">
            <v>3757773</v>
          </cell>
          <cell r="H1117">
            <v>546920</v>
          </cell>
        </row>
        <row r="1118">
          <cell r="A1118" t="str">
            <v>2851</v>
          </cell>
          <cell r="B1118" t="str">
            <v>福谷　正美　　　</v>
          </cell>
          <cell r="C1118">
            <v>602810</v>
          </cell>
          <cell r="D1118">
            <v>582710</v>
          </cell>
          <cell r="E1118">
            <v>1185520</v>
          </cell>
          <cell r="F1118">
            <v>2677853</v>
          </cell>
          <cell r="G1118">
            <v>3863373</v>
          </cell>
          <cell r="H1118">
            <v>586770</v>
          </cell>
        </row>
        <row r="1119">
          <cell r="A1119" t="str">
            <v>2391</v>
          </cell>
          <cell r="B1119" t="str">
            <v>田中　靖子　　　</v>
          </cell>
          <cell r="C1119">
            <v>511540</v>
          </cell>
          <cell r="D1119">
            <v>582170</v>
          </cell>
          <cell r="E1119">
            <v>1093710</v>
          </cell>
          <cell r="F1119">
            <v>2509690</v>
          </cell>
          <cell r="G1119">
            <v>3603400</v>
          </cell>
          <cell r="H1119">
            <v>535730</v>
          </cell>
        </row>
        <row r="1120">
          <cell r="A1120" t="str">
            <v>3295</v>
          </cell>
          <cell r="B1120" t="str">
            <v>辻　裕二　　　　</v>
          </cell>
          <cell r="C1120">
            <v>504820</v>
          </cell>
          <cell r="D1120">
            <v>581760</v>
          </cell>
          <cell r="E1120">
            <v>1086580</v>
          </cell>
          <cell r="F1120">
            <v>2309937</v>
          </cell>
          <cell r="G1120">
            <v>3396517</v>
          </cell>
          <cell r="H1120">
            <v>559340</v>
          </cell>
        </row>
        <row r="1121">
          <cell r="A1121" t="str">
            <v>3296</v>
          </cell>
          <cell r="B1121" t="str">
            <v>和田　篤敬　　　</v>
          </cell>
          <cell r="C1121">
            <v>507350</v>
          </cell>
          <cell r="D1121">
            <v>581760</v>
          </cell>
          <cell r="E1121">
            <v>1089110</v>
          </cell>
          <cell r="F1121">
            <v>2604998</v>
          </cell>
          <cell r="G1121">
            <v>3694108</v>
          </cell>
          <cell r="H1121">
            <v>559340</v>
          </cell>
        </row>
        <row r="1122">
          <cell r="A1122" t="str">
            <v>3419</v>
          </cell>
          <cell r="B1122" t="str">
            <v>宇野　寅雄　　　</v>
          </cell>
          <cell r="C1122">
            <v>540000</v>
          </cell>
          <cell r="D1122">
            <v>581190</v>
          </cell>
          <cell r="E1122">
            <v>1121190</v>
          </cell>
          <cell r="F1122">
            <v>2478987</v>
          </cell>
          <cell r="G1122">
            <v>3600177</v>
          </cell>
          <cell r="H1122">
            <v>549480</v>
          </cell>
        </row>
        <row r="1123">
          <cell r="A1123" t="str">
            <v>3346</v>
          </cell>
          <cell r="B1123" t="str">
            <v>末久　智子　　　</v>
          </cell>
          <cell r="C1123">
            <v>513990</v>
          </cell>
          <cell r="D1123">
            <v>581130</v>
          </cell>
          <cell r="E1123">
            <v>1095120</v>
          </cell>
          <cell r="F1123">
            <v>2517666</v>
          </cell>
          <cell r="G1123">
            <v>3612786</v>
          </cell>
          <cell r="H1123">
            <v>559340</v>
          </cell>
        </row>
        <row r="1124">
          <cell r="A1124" t="str">
            <v>3464</v>
          </cell>
          <cell r="B1124" t="str">
            <v>浦　倫子　　　　</v>
          </cell>
          <cell r="C1124">
            <v>123000</v>
          </cell>
          <cell r="D1124">
            <v>579790</v>
          </cell>
          <cell r="E1124">
            <v>702790</v>
          </cell>
          <cell r="F1124">
            <v>2119104</v>
          </cell>
          <cell r="G1124">
            <v>2821894</v>
          </cell>
          <cell r="H1124">
            <v>543950</v>
          </cell>
        </row>
        <row r="1125">
          <cell r="A1125" t="str">
            <v>2909</v>
          </cell>
          <cell r="B1125" t="str">
            <v>西山　秀明　　　</v>
          </cell>
          <cell r="C1125">
            <v>543210</v>
          </cell>
          <cell r="D1125">
            <v>579540</v>
          </cell>
          <cell r="E1125">
            <v>1122750</v>
          </cell>
          <cell r="F1125">
            <v>3891517</v>
          </cell>
          <cell r="G1125">
            <v>5014267</v>
          </cell>
          <cell r="H1125">
            <v>558800</v>
          </cell>
        </row>
        <row r="1126">
          <cell r="A1126" t="str">
            <v>2995</v>
          </cell>
          <cell r="B1126" t="str">
            <v>中谷　隆之　　　</v>
          </cell>
          <cell r="C1126">
            <v>551530</v>
          </cell>
          <cell r="D1126">
            <v>578530</v>
          </cell>
          <cell r="E1126">
            <v>1130060</v>
          </cell>
          <cell r="F1126">
            <v>2755517</v>
          </cell>
          <cell r="G1126">
            <v>3885577</v>
          </cell>
          <cell r="H1126">
            <v>549570</v>
          </cell>
        </row>
        <row r="1127">
          <cell r="A1127" t="str">
            <v>3329</v>
          </cell>
          <cell r="B1127" t="str">
            <v>橋間　昌昭　　　</v>
          </cell>
          <cell r="C1127">
            <v>507320</v>
          </cell>
          <cell r="D1127">
            <v>577090</v>
          </cell>
          <cell r="E1127">
            <v>1084410</v>
          </cell>
          <cell r="F1127">
            <v>2596735</v>
          </cell>
          <cell r="G1127">
            <v>3681145</v>
          </cell>
          <cell r="H1127">
            <v>548300</v>
          </cell>
        </row>
        <row r="1128">
          <cell r="A1128" t="str">
            <v>3311</v>
          </cell>
          <cell r="B1128" t="str">
            <v>阪下　智彦　　　</v>
          </cell>
          <cell r="C1128">
            <v>502660</v>
          </cell>
          <cell r="D1128">
            <v>577090</v>
          </cell>
          <cell r="E1128">
            <v>1079750</v>
          </cell>
          <cell r="F1128">
            <v>2575485</v>
          </cell>
          <cell r="G1128">
            <v>3655235</v>
          </cell>
          <cell r="H1128">
            <v>556080</v>
          </cell>
        </row>
        <row r="1129">
          <cell r="A1129" t="str">
            <v>3345</v>
          </cell>
          <cell r="B1129" t="str">
            <v>吉田　隆一　　　</v>
          </cell>
          <cell r="C1129">
            <v>502660</v>
          </cell>
          <cell r="D1129">
            <v>577090</v>
          </cell>
          <cell r="E1129">
            <v>1079750</v>
          </cell>
          <cell r="F1129">
            <v>2609955</v>
          </cell>
          <cell r="G1129">
            <v>3689705</v>
          </cell>
          <cell r="H1129">
            <v>548300</v>
          </cell>
        </row>
        <row r="1130">
          <cell r="A1130" t="str">
            <v>3317</v>
          </cell>
          <cell r="B1130" t="str">
            <v>鷹見　一臣　　　</v>
          </cell>
          <cell r="C1130">
            <v>496450</v>
          </cell>
          <cell r="D1130">
            <v>577090</v>
          </cell>
          <cell r="E1130">
            <v>1073540</v>
          </cell>
          <cell r="F1130">
            <v>2637343</v>
          </cell>
          <cell r="G1130">
            <v>3710883</v>
          </cell>
          <cell r="H1130">
            <v>540520</v>
          </cell>
        </row>
        <row r="1131">
          <cell r="A1131" t="str">
            <v>3340</v>
          </cell>
          <cell r="B1131" t="str">
            <v>宮崎　竜也　　　</v>
          </cell>
          <cell r="C1131">
            <v>507320</v>
          </cell>
          <cell r="D1131">
            <v>577090</v>
          </cell>
          <cell r="E1131">
            <v>1084410</v>
          </cell>
          <cell r="F1131">
            <v>2520870</v>
          </cell>
          <cell r="G1131">
            <v>3605280</v>
          </cell>
          <cell r="H1131">
            <v>556080</v>
          </cell>
        </row>
        <row r="1132">
          <cell r="A1132" t="str">
            <v>3343</v>
          </cell>
          <cell r="B1132" t="str">
            <v>山本　伸之　　　</v>
          </cell>
          <cell r="C1132">
            <v>502660</v>
          </cell>
          <cell r="D1132">
            <v>577090</v>
          </cell>
          <cell r="E1132">
            <v>1079750</v>
          </cell>
          <cell r="F1132">
            <v>2617036</v>
          </cell>
          <cell r="G1132">
            <v>3696786</v>
          </cell>
          <cell r="H1132">
            <v>548300</v>
          </cell>
        </row>
        <row r="1133">
          <cell r="A1133" t="str">
            <v>3326</v>
          </cell>
          <cell r="B1133" t="str">
            <v>中野　修　　　　</v>
          </cell>
          <cell r="C1133">
            <v>496450</v>
          </cell>
          <cell r="D1133">
            <v>577090</v>
          </cell>
          <cell r="E1133">
            <v>1073540</v>
          </cell>
          <cell r="F1133">
            <v>2821000</v>
          </cell>
          <cell r="G1133">
            <v>3894540</v>
          </cell>
          <cell r="H1133">
            <v>548300</v>
          </cell>
        </row>
        <row r="1134">
          <cell r="A1134" t="str">
            <v>3304</v>
          </cell>
          <cell r="B1134" t="str">
            <v>大西　卓　　　　</v>
          </cell>
          <cell r="C1134">
            <v>496450</v>
          </cell>
          <cell r="D1134">
            <v>577090</v>
          </cell>
          <cell r="E1134">
            <v>1073540</v>
          </cell>
          <cell r="F1134">
            <v>2572197</v>
          </cell>
          <cell r="G1134">
            <v>3645737</v>
          </cell>
          <cell r="H1134">
            <v>556080</v>
          </cell>
        </row>
        <row r="1135">
          <cell r="A1135" t="str">
            <v>3336</v>
          </cell>
          <cell r="B1135" t="str">
            <v>松本　英一　　　</v>
          </cell>
          <cell r="C1135">
            <v>507320</v>
          </cell>
          <cell r="D1135">
            <v>577090</v>
          </cell>
          <cell r="E1135">
            <v>1084410</v>
          </cell>
          <cell r="F1135">
            <v>2671554</v>
          </cell>
          <cell r="G1135">
            <v>3755964</v>
          </cell>
          <cell r="H1135">
            <v>540520</v>
          </cell>
        </row>
        <row r="1136">
          <cell r="A1136" t="str">
            <v>3301</v>
          </cell>
          <cell r="B1136" t="str">
            <v>入江　直彦　　　</v>
          </cell>
          <cell r="C1136">
            <v>496450</v>
          </cell>
          <cell r="D1136">
            <v>577090</v>
          </cell>
          <cell r="E1136">
            <v>1073540</v>
          </cell>
          <cell r="F1136">
            <v>2535678</v>
          </cell>
          <cell r="G1136">
            <v>3609218</v>
          </cell>
          <cell r="H1136">
            <v>556080</v>
          </cell>
        </row>
        <row r="1137">
          <cell r="A1137" t="str">
            <v>3388</v>
          </cell>
          <cell r="B1137" t="str">
            <v>樋口　博美　　　</v>
          </cell>
          <cell r="C1137">
            <v>495200</v>
          </cell>
          <cell r="D1137">
            <v>577090</v>
          </cell>
          <cell r="E1137">
            <v>1072290</v>
          </cell>
          <cell r="F1137">
            <v>2525276</v>
          </cell>
          <cell r="G1137">
            <v>3597566</v>
          </cell>
          <cell r="H1137">
            <v>548300</v>
          </cell>
        </row>
        <row r="1138">
          <cell r="A1138" t="str">
            <v>3334</v>
          </cell>
          <cell r="B1138" t="str">
            <v>藤本　憲一　　　</v>
          </cell>
          <cell r="C1138">
            <v>502660</v>
          </cell>
          <cell r="D1138">
            <v>577090</v>
          </cell>
          <cell r="E1138">
            <v>1079750</v>
          </cell>
          <cell r="F1138">
            <v>2552634</v>
          </cell>
          <cell r="G1138">
            <v>3632384</v>
          </cell>
          <cell r="H1138">
            <v>548300</v>
          </cell>
        </row>
        <row r="1139">
          <cell r="A1139" t="str">
            <v>3316</v>
          </cell>
          <cell r="B1139" t="str">
            <v>高木　晋司　　　</v>
          </cell>
          <cell r="C1139">
            <v>496450</v>
          </cell>
          <cell r="D1139">
            <v>577090</v>
          </cell>
          <cell r="E1139">
            <v>1073540</v>
          </cell>
          <cell r="F1139">
            <v>2588386</v>
          </cell>
          <cell r="G1139">
            <v>3661926</v>
          </cell>
          <cell r="H1139">
            <v>548300</v>
          </cell>
        </row>
        <row r="1140">
          <cell r="A1140" t="str">
            <v>3308</v>
          </cell>
          <cell r="B1140" t="str">
            <v>金子　宜正　　　</v>
          </cell>
          <cell r="C1140">
            <v>502660</v>
          </cell>
          <cell r="D1140">
            <v>577090</v>
          </cell>
          <cell r="E1140">
            <v>1079750</v>
          </cell>
          <cell r="F1140">
            <v>2557292</v>
          </cell>
          <cell r="G1140">
            <v>3637042</v>
          </cell>
          <cell r="H1140">
            <v>540520</v>
          </cell>
        </row>
        <row r="1141">
          <cell r="A1141" t="str">
            <v>3348</v>
          </cell>
          <cell r="B1141" t="str">
            <v>田中　智子　　　</v>
          </cell>
          <cell r="C1141">
            <v>507320</v>
          </cell>
          <cell r="D1141">
            <v>577090</v>
          </cell>
          <cell r="E1141">
            <v>1084410</v>
          </cell>
          <cell r="F1141">
            <v>2603710</v>
          </cell>
          <cell r="G1141">
            <v>3688120</v>
          </cell>
          <cell r="H1141">
            <v>548300</v>
          </cell>
        </row>
        <row r="1142">
          <cell r="A1142" t="str">
            <v>3310</v>
          </cell>
          <cell r="B1142" t="str">
            <v>斉藤　浩嗣　　　</v>
          </cell>
          <cell r="C1142">
            <v>502660</v>
          </cell>
          <cell r="D1142">
            <v>577090</v>
          </cell>
          <cell r="E1142">
            <v>1079750</v>
          </cell>
          <cell r="F1142">
            <v>2557936</v>
          </cell>
          <cell r="G1142">
            <v>3637686</v>
          </cell>
          <cell r="H1142">
            <v>515620</v>
          </cell>
        </row>
        <row r="1143">
          <cell r="A1143" t="str">
            <v>3318</v>
          </cell>
          <cell r="B1143" t="str">
            <v>田島　伸夫　　　</v>
          </cell>
          <cell r="C1143">
            <v>488680</v>
          </cell>
          <cell r="D1143">
            <v>577090</v>
          </cell>
          <cell r="E1143">
            <v>1065770</v>
          </cell>
          <cell r="F1143">
            <v>2588202</v>
          </cell>
          <cell r="G1143">
            <v>3653972</v>
          </cell>
          <cell r="H1143">
            <v>556080</v>
          </cell>
        </row>
        <row r="1144">
          <cell r="A1144" t="str">
            <v>2828</v>
          </cell>
          <cell r="B1144" t="str">
            <v>伊藤　公　　　　</v>
          </cell>
          <cell r="C1144">
            <v>519450</v>
          </cell>
          <cell r="D1144">
            <v>577070</v>
          </cell>
          <cell r="E1144">
            <v>1096520</v>
          </cell>
          <cell r="F1144">
            <v>2512698</v>
          </cell>
          <cell r="G1144">
            <v>3609218</v>
          </cell>
          <cell r="H1144">
            <v>537990</v>
          </cell>
        </row>
        <row r="1145">
          <cell r="A1145" t="str">
            <v>3155</v>
          </cell>
          <cell r="B1145" t="str">
            <v>出口　真也　　　</v>
          </cell>
          <cell r="C1145">
            <v>449700</v>
          </cell>
          <cell r="D1145">
            <v>576420</v>
          </cell>
          <cell r="E1145">
            <v>1026120</v>
          </cell>
          <cell r="F1145">
            <v>1973622</v>
          </cell>
          <cell r="G1145">
            <v>2999742</v>
          </cell>
          <cell r="H1145">
            <v>531250</v>
          </cell>
        </row>
        <row r="1146">
          <cell r="A1146" t="str">
            <v>2671</v>
          </cell>
          <cell r="B1146" t="str">
            <v>北居　良顕　　　</v>
          </cell>
          <cell r="C1146">
            <v>504630</v>
          </cell>
          <cell r="D1146">
            <v>573570</v>
          </cell>
          <cell r="E1146">
            <v>1078200</v>
          </cell>
          <cell r="F1146">
            <v>2296390</v>
          </cell>
          <cell r="G1146">
            <v>3374590</v>
          </cell>
          <cell r="H1146">
            <v>534260</v>
          </cell>
        </row>
        <row r="1147">
          <cell r="A1147" t="str">
            <v>3180</v>
          </cell>
          <cell r="B1147" t="str">
            <v>木村　暢子　　　</v>
          </cell>
          <cell r="C1147">
            <v>506710</v>
          </cell>
          <cell r="D1147">
            <v>572270</v>
          </cell>
          <cell r="E1147">
            <v>1078980</v>
          </cell>
          <cell r="F1147">
            <v>2415030</v>
          </cell>
          <cell r="G1147">
            <v>3494010</v>
          </cell>
          <cell r="H1147">
            <v>544450</v>
          </cell>
        </row>
        <row r="1148">
          <cell r="A1148" t="str">
            <v>3184</v>
          </cell>
          <cell r="B1148" t="str">
            <v>渡邊　桂子　　　</v>
          </cell>
          <cell r="C1148">
            <v>506710</v>
          </cell>
          <cell r="D1148">
            <v>572270</v>
          </cell>
          <cell r="E1148">
            <v>1078980</v>
          </cell>
          <cell r="F1148">
            <v>2420618</v>
          </cell>
          <cell r="G1148">
            <v>3499598</v>
          </cell>
          <cell r="H1148">
            <v>544450</v>
          </cell>
        </row>
        <row r="1149">
          <cell r="A1149" t="str">
            <v>3303</v>
          </cell>
          <cell r="B1149" t="str">
            <v>遠藤　豊　　　　</v>
          </cell>
          <cell r="C1149">
            <v>507320</v>
          </cell>
          <cell r="D1149">
            <v>571600</v>
          </cell>
          <cell r="E1149">
            <v>1078920</v>
          </cell>
          <cell r="F1149">
            <v>2596685</v>
          </cell>
          <cell r="G1149">
            <v>3675605</v>
          </cell>
          <cell r="H1149">
            <v>548300</v>
          </cell>
        </row>
        <row r="1150">
          <cell r="A1150" t="str">
            <v>3327</v>
          </cell>
          <cell r="B1150" t="str">
            <v>長井　大輝　　　</v>
          </cell>
          <cell r="C1150">
            <v>496450</v>
          </cell>
          <cell r="D1150">
            <v>571600</v>
          </cell>
          <cell r="E1150">
            <v>1068050</v>
          </cell>
          <cell r="F1150">
            <v>2540897</v>
          </cell>
          <cell r="G1150">
            <v>3608947</v>
          </cell>
          <cell r="H1150">
            <v>515620</v>
          </cell>
        </row>
        <row r="1151">
          <cell r="A1151" t="str">
            <v>3297</v>
          </cell>
          <cell r="B1151" t="str">
            <v>井手　義　　　　</v>
          </cell>
          <cell r="C1151">
            <v>502660</v>
          </cell>
          <cell r="D1151">
            <v>571600</v>
          </cell>
          <cell r="E1151">
            <v>1074260</v>
          </cell>
          <cell r="F1151">
            <v>2581020</v>
          </cell>
          <cell r="G1151">
            <v>3655280</v>
          </cell>
          <cell r="H1151">
            <v>548300</v>
          </cell>
        </row>
        <row r="1152">
          <cell r="A1152" t="str">
            <v>3322</v>
          </cell>
          <cell r="B1152" t="str">
            <v>田原　達彦　　　</v>
          </cell>
          <cell r="C1152">
            <v>470040</v>
          </cell>
          <cell r="D1152">
            <v>571600</v>
          </cell>
          <cell r="E1152">
            <v>1041640</v>
          </cell>
          <cell r="F1152">
            <v>2554250</v>
          </cell>
          <cell r="G1152">
            <v>3595890</v>
          </cell>
          <cell r="H1152">
            <v>528070</v>
          </cell>
        </row>
        <row r="1153">
          <cell r="A1153" t="str">
            <v>3344</v>
          </cell>
          <cell r="B1153" t="str">
            <v>吉井　淳　　　　</v>
          </cell>
          <cell r="C1153">
            <v>502660</v>
          </cell>
          <cell r="D1153">
            <v>571600</v>
          </cell>
          <cell r="E1153">
            <v>1074260</v>
          </cell>
          <cell r="F1153">
            <v>2545861</v>
          </cell>
          <cell r="G1153">
            <v>3620121</v>
          </cell>
          <cell r="H1153">
            <v>503180</v>
          </cell>
        </row>
        <row r="1154">
          <cell r="A1154" t="str">
            <v>3338</v>
          </cell>
          <cell r="B1154" t="str">
            <v>水田　敏夫　　　</v>
          </cell>
          <cell r="C1154">
            <v>479360</v>
          </cell>
          <cell r="D1154">
            <v>571600</v>
          </cell>
          <cell r="E1154">
            <v>1050960</v>
          </cell>
          <cell r="F1154">
            <v>2500924</v>
          </cell>
          <cell r="G1154">
            <v>3551884</v>
          </cell>
          <cell r="H1154">
            <v>540520</v>
          </cell>
        </row>
        <row r="1155">
          <cell r="A1155" t="str">
            <v>3309</v>
          </cell>
          <cell r="B1155" t="str">
            <v>駒井　晃　　　　</v>
          </cell>
          <cell r="C1155">
            <v>507320</v>
          </cell>
          <cell r="D1155">
            <v>571600</v>
          </cell>
          <cell r="E1155">
            <v>1078920</v>
          </cell>
          <cell r="F1155">
            <v>2539043</v>
          </cell>
          <cell r="G1155">
            <v>3617963</v>
          </cell>
          <cell r="H1155">
            <v>556080</v>
          </cell>
        </row>
        <row r="1156">
          <cell r="A1156" t="str">
            <v>3300</v>
          </cell>
          <cell r="B1156" t="str">
            <v>稲葉　元一郎　　</v>
          </cell>
          <cell r="C1156">
            <v>496450</v>
          </cell>
          <cell r="D1156">
            <v>571600</v>
          </cell>
          <cell r="E1156">
            <v>1068050</v>
          </cell>
          <cell r="F1156">
            <v>2642385</v>
          </cell>
          <cell r="G1156">
            <v>3710435</v>
          </cell>
          <cell r="H1156">
            <v>548300</v>
          </cell>
        </row>
        <row r="1157">
          <cell r="A1157" t="str">
            <v>1705</v>
          </cell>
          <cell r="B1157" t="str">
            <v>太田　禎子　　　</v>
          </cell>
          <cell r="C1157">
            <v>526900</v>
          </cell>
          <cell r="D1157">
            <v>571380</v>
          </cell>
          <cell r="E1157">
            <v>1098280</v>
          </cell>
          <cell r="F1157">
            <v>3151774</v>
          </cell>
          <cell r="G1157">
            <v>4250054</v>
          </cell>
          <cell r="H1157">
            <v>517590</v>
          </cell>
        </row>
        <row r="1158">
          <cell r="A1158" t="str">
            <v>2924</v>
          </cell>
          <cell r="B1158" t="str">
            <v>野口　静恵　　　</v>
          </cell>
          <cell r="C1158">
            <v>493450</v>
          </cell>
          <cell r="D1158">
            <v>571070</v>
          </cell>
          <cell r="E1158">
            <v>1064520</v>
          </cell>
          <cell r="F1158">
            <v>3062108</v>
          </cell>
          <cell r="G1158">
            <v>4126628</v>
          </cell>
          <cell r="H1158">
            <v>533480</v>
          </cell>
        </row>
        <row r="1159">
          <cell r="A1159" t="str">
            <v>3029</v>
          </cell>
          <cell r="B1159" t="str">
            <v>國松　靖史　　　</v>
          </cell>
          <cell r="C1159">
            <v>492740</v>
          </cell>
          <cell r="D1159">
            <v>570300</v>
          </cell>
          <cell r="E1159">
            <v>1063040</v>
          </cell>
          <cell r="F1159">
            <v>2389846</v>
          </cell>
          <cell r="G1159">
            <v>3452886</v>
          </cell>
          <cell r="H1159">
            <v>520180</v>
          </cell>
        </row>
        <row r="1160">
          <cell r="A1160" t="str">
            <v>3408</v>
          </cell>
          <cell r="B1160" t="str">
            <v>堀　正直　　　　</v>
          </cell>
          <cell r="C1160">
            <v>439900</v>
          </cell>
          <cell r="D1160">
            <v>570280</v>
          </cell>
          <cell r="E1160">
            <v>1010180</v>
          </cell>
          <cell r="F1160">
            <v>2634346</v>
          </cell>
          <cell r="G1160">
            <v>3644526</v>
          </cell>
          <cell r="H1160">
            <v>517080</v>
          </cell>
        </row>
        <row r="1161">
          <cell r="A1161" t="str">
            <v>2283</v>
          </cell>
          <cell r="B1161" t="str">
            <v>石濱　浩　　　　</v>
          </cell>
          <cell r="C1161">
            <v>514720</v>
          </cell>
          <cell r="D1161">
            <v>567210</v>
          </cell>
          <cell r="E1161">
            <v>1081930</v>
          </cell>
          <cell r="F1161">
            <v>3683884</v>
          </cell>
          <cell r="G1161">
            <v>4765814</v>
          </cell>
          <cell r="H1161">
            <v>529540</v>
          </cell>
        </row>
        <row r="1162">
          <cell r="A1162" t="str">
            <v>1586</v>
          </cell>
          <cell r="B1162" t="str">
            <v>長谷川　泰子　　</v>
          </cell>
          <cell r="C1162">
            <v>500300</v>
          </cell>
          <cell r="D1162">
            <v>566490</v>
          </cell>
          <cell r="E1162">
            <v>1066790</v>
          </cell>
          <cell r="F1162">
            <v>2470881</v>
          </cell>
          <cell r="G1162">
            <v>3537671</v>
          </cell>
          <cell r="H1162">
            <v>511160</v>
          </cell>
        </row>
        <row r="1163">
          <cell r="A1163" t="str">
            <v>2669</v>
          </cell>
          <cell r="B1163" t="str">
            <v>大西　達也　　　</v>
          </cell>
          <cell r="C1163">
            <v>501670</v>
          </cell>
          <cell r="D1163">
            <v>565770</v>
          </cell>
          <cell r="E1163">
            <v>1067440</v>
          </cell>
          <cell r="F1163">
            <v>2519228</v>
          </cell>
          <cell r="G1163">
            <v>3586668</v>
          </cell>
          <cell r="H1163">
            <v>517220</v>
          </cell>
        </row>
        <row r="1164">
          <cell r="A1164" t="str">
            <v>1801</v>
          </cell>
          <cell r="B1164" t="str">
            <v>岩崎　秀夫　　　</v>
          </cell>
          <cell r="C1164">
            <v>587120</v>
          </cell>
          <cell r="D1164">
            <v>565730</v>
          </cell>
          <cell r="E1164">
            <v>1152850</v>
          </cell>
          <cell r="F1164">
            <v>3054515</v>
          </cell>
          <cell r="G1164">
            <v>4207365</v>
          </cell>
          <cell r="H1164">
            <v>531630</v>
          </cell>
        </row>
        <row r="1165">
          <cell r="A1165" t="str">
            <v>2673</v>
          </cell>
          <cell r="B1165" t="str">
            <v>三浦　敬　　　　</v>
          </cell>
          <cell r="C1165">
            <v>507600</v>
          </cell>
          <cell r="D1165">
            <v>564350</v>
          </cell>
          <cell r="E1165">
            <v>1071950</v>
          </cell>
          <cell r="F1165">
            <v>2314284</v>
          </cell>
          <cell r="G1165">
            <v>3386234</v>
          </cell>
          <cell r="H1165">
            <v>526140</v>
          </cell>
        </row>
        <row r="1166">
          <cell r="A1166" t="str">
            <v>3323</v>
          </cell>
          <cell r="B1166" t="str">
            <v>辻田　哲也　　　</v>
          </cell>
          <cell r="C1166">
            <v>496450</v>
          </cell>
          <cell r="D1166">
            <v>564290</v>
          </cell>
          <cell r="E1166">
            <v>1060740</v>
          </cell>
          <cell r="F1166">
            <v>2507680</v>
          </cell>
          <cell r="G1166">
            <v>3568420</v>
          </cell>
          <cell r="H1166">
            <v>515620</v>
          </cell>
        </row>
        <row r="1167">
          <cell r="A1167" t="str">
            <v>3352</v>
          </cell>
          <cell r="B1167" t="str">
            <v>福島　綾　　　　</v>
          </cell>
          <cell r="C1167">
            <v>502660</v>
          </cell>
          <cell r="D1167">
            <v>564290</v>
          </cell>
          <cell r="E1167">
            <v>1066950</v>
          </cell>
          <cell r="F1167">
            <v>2608649</v>
          </cell>
          <cell r="G1167">
            <v>3675599</v>
          </cell>
          <cell r="H1167">
            <v>540520</v>
          </cell>
        </row>
        <row r="1168">
          <cell r="A1168" t="str">
            <v>3314</v>
          </cell>
          <cell r="B1168" t="str">
            <v>寿恵　昇平　　　</v>
          </cell>
          <cell r="C1168">
            <v>496450</v>
          </cell>
          <cell r="D1168">
            <v>564290</v>
          </cell>
          <cell r="E1168">
            <v>1060740</v>
          </cell>
          <cell r="F1168">
            <v>2589209</v>
          </cell>
          <cell r="G1168">
            <v>3649949</v>
          </cell>
          <cell r="H1168">
            <v>548300</v>
          </cell>
        </row>
        <row r="1169">
          <cell r="A1169" t="str">
            <v>3313</v>
          </cell>
          <cell r="B1169" t="str">
            <v>島田　和浩　　　</v>
          </cell>
          <cell r="C1169">
            <v>502660</v>
          </cell>
          <cell r="D1169">
            <v>564290</v>
          </cell>
          <cell r="E1169">
            <v>1066950</v>
          </cell>
          <cell r="F1169">
            <v>2568941</v>
          </cell>
          <cell r="G1169">
            <v>3635891</v>
          </cell>
          <cell r="H1169">
            <v>548300</v>
          </cell>
        </row>
        <row r="1170">
          <cell r="A1170" t="str">
            <v>3305</v>
          </cell>
          <cell r="B1170" t="str">
            <v>大政　好史　　　</v>
          </cell>
          <cell r="C1170">
            <v>470040</v>
          </cell>
          <cell r="D1170">
            <v>564290</v>
          </cell>
          <cell r="E1170">
            <v>1034330</v>
          </cell>
          <cell r="F1170">
            <v>2587619</v>
          </cell>
          <cell r="G1170">
            <v>3621949</v>
          </cell>
          <cell r="H1170">
            <v>563860</v>
          </cell>
        </row>
        <row r="1171">
          <cell r="A1171" t="str">
            <v>3339</v>
          </cell>
          <cell r="B1171" t="str">
            <v>宮崎　一弘　　　</v>
          </cell>
          <cell r="C1171">
            <v>488680</v>
          </cell>
          <cell r="D1171">
            <v>564290</v>
          </cell>
          <cell r="E1171">
            <v>1052970</v>
          </cell>
          <cell r="F1171">
            <v>2538940</v>
          </cell>
          <cell r="G1171">
            <v>3591910</v>
          </cell>
          <cell r="H1171">
            <v>528070</v>
          </cell>
        </row>
        <row r="1172">
          <cell r="A1172" t="str">
            <v>3177</v>
          </cell>
          <cell r="B1172" t="str">
            <v>大森　淳子　　　</v>
          </cell>
          <cell r="C1172">
            <v>541260</v>
          </cell>
          <cell r="D1172">
            <v>561820</v>
          </cell>
          <cell r="E1172">
            <v>1103080</v>
          </cell>
          <cell r="F1172">
            <v>2573711</v>
          </cell>
          <cell r="G1172">
            <v>3676791</v>
          </cell>
          <cell r="H1172">
            <v>576620</v>
          </cell>
        </row>
        <row r="1173">
          <cell r="A1173" t="str">
            <v>3033</v>
          </cell>
          <cell r="B1173" t="str">
            <v>大和　健二　　　</v>
          </cell>
          <cell r="C1173">
            <v>474080</v>
          </cell>
          <cell r="D1173">
            <v>561770</v>
          </cell>
          <cell r="E1173">
            <v>1035850</v>
          </cell>
          <cell r="F1173">
            <v>2254002</v>
          </cell>
          <cell r="G1173">
            <v>3289852</v>
          </cell>
          <cell r="H1173">
            <v>492260</v>
          </cell>
        </row>
        <row r="1174">
          <cell r="A1174" t="str">
            <v>3055</v>
          </cell>
          <cell r="B1174" t="str">
            <v>松永　仁子　　　</v>
          </cell>
          <cell r="C1174">
            <v>495200</v>
          </cell>
          <cell r="D1174">
            <v>561180</v>
          </cell>
          <cell r="E1174">
            <v>1056380</v>
          </cell>
          <cell r="F1174">
            <v>2212423</v>
          </cell>
          <cell r="G1174">
            <v>3268803</v>
          </cell>
          <cell r="H1174">
            <v>523180</v>
          </cell>
        </row>
        <row r="1175">
          <cell r="A1175" t="str">
            <v>2911</v>
          </cell>
          <cell r="B1175" t="str">
            <v>福井　謙一　　　</v>
          </cell>
          <cell r="C1175">
            <v>495200</v>
          </cell>
          <cell r="D1175">
            <v>561180</v>
          </cell>
          <cell r="E1175">
            <v>1056380</v>
          </cell>
          <cell r="F1175">
            <v>2298473</v>
          </cell>
          <cell r="G1175">
            <v>3354853</v>
          </cell>
          <cell r="H1175">
            <v>534260</v>
          </cell>
        </row>
        <row r="1176">
          <cell r="A1176" t="str">
            <v>2228</v>
          </cell>
          <cell r="B1176" t="str">
            <v>大坪　吟　　　　</v>
          </cell>
          <cell r="C1176">
            <v>466850</v>
          </cell>
          <cell r="D1176">
            <v>559460</v>
          </cell>
          <cell r="E1176">
            <v>1026310</v>
          </cell>
          <cell r="F1176">
            <v>2447401</v>
          </cell>
          <cell r="G1176">
            <v>3473711</v>
          </cell>
          <cell r="H1176">
            <v>505460</v>
          </cell>
        </row>
        <row r="1177">
          <cell r="A1177" t="str">
            <v>2387</v>
          </cell>
          <cell r="B1177" t="str">
            <v>佐藤　伸之　　　</v>
          </cell>
          <cell r="C1177">
            <v>522430</v>
          </cell>
          <cell r="D1177">
            <v>557950</v>
          </cell>
          <cell r="E1177">
            <v>1080380</v>
          </cell>
          <cell r="F1177">
            <v>3102621</v>
          </cell>
          <cell r="G1177">
            <v>4183001</v>
          </cell>
          <cell r="H1177">
            <v>520900</v>
          </cell>
        </row>
        <row r="1178">
          <cell r="A1178" t="str">
            <v>1661</v>
          </cell>
          <cell r="B1178" t="str">
            <v>後藤　康子　　　</v>
          </cell>
          <cell r="C1178">
            <v>512790</v>
          </cell>
          <cell r="D1178">
            <v>557800</v>
          </cell>
          <cell r="E1178">
            <v>1070590</v>
          </cell>
          <cell r="F1178">
            <v>2626322</v>
          </cell>
          <cell r="G1178">
            <v>3696912</v>
          </cell>
          <cell r="H1178">
            <v>504270</v>
          </cell>
        </row>
        <row r="1179">
          <cell r="A1179" t="str">
            <v>3158</v>
          </cell>
          <cell r="B1179" t="str">
            <v>鳥海　英夫　　　</v>
          </cell>
          <cell r="C1179">
            <v>508280</v>
          </cell>
          <cell r="D1179">
            <v>551820</v>
          </cell>
          <cell r="E1179">
            <v>1060100</v>
          </cell>
          <cell r="F1179">
            <v>2564791</v>
          </cell>
          <cell r="G1179">
            <v>3624891</v>
          </cell>
          <cell r="H1179">
            <v>546800</v>
          </cell>
        </row>
        <row r="1180">
          <cell r="A1180" t="str">
            <v>3103</v>
          </cell>
          <cell r="B1180" t="str">
            <v>野元　一芳　　　</v>
          </cell>
          <cell r="C1180">
            <v>459950</v>
          </cell>
          <cell r="D1180">
            <v>551610</v>
          </cell>
          <cell r="E1180">
            <v>1011560</v>
          </cell>
          <cell r="F1180">
            <v>2589696</v>
          </cell>
          <cell r="G1180">
            <v>3601256</v>
          </cell>
          <cell r="H1180">
            <v>514260</v>
          </cell>
        </row>
        <row r="1181">
          <cell r="A1181" t="str">
            <v>3354</v>
          </cell>
          <cell r="B1181" t="str">
            <v>丸山　理香子　　</v>
          </cell>
          <cell r="C1181">
            <v>480920</v>
          </cell>
          <cell r="D1181">
            <v>551490</v>
          </cell>
          <cell r="E1181">
            <v>1032410</v>
          </cell>
          <cell r="F1181">
            <v>2623209</v>
          </cell>
          <cell r="G1181">
            <v>3655619</v>
          </cell>
          <cell r="H1181">
            <v>531190</v>
          </cell>
        </row>
        <row r="1182">
          <cell r="A1182" t="str">
            <v>3387</v>
          </cell>
          <cell r="B1182" t="str">
            <v>辻本　千恵　　　</v>
          </cell>
          <cell r="C1182">
            <v>480920</v>
          </cell>
          <cell r="D1182">
            <v>551490</v>
          </cell>
          <cell r="E1182">
            <v>1032410</v>
          </cell>
          <cell r="F1182">
            <v>2443734</v>
          </cell>
          <cell r="G1182">
            <v>3476144</v>
          </cell>
          <cell r="H1182">
            <v>531190</v>
          </cell>
        </row>
        <row r="1183">
          <cell r="A1183" t="str">
            <v>3402</v>
          </cell>
          <cell r="B1183" t="str">
            <v>松井　孝一　　　</v>
          </cell>
          <cell r="C1183">
            <v>463150</v>
          </cell>
          <cell r="D1183">
            <v>551490</v>
          </cell>
          <cell r="E1183">
            <v>1014640</v>
          </cell>
          <cell r="F1183">
            <v>2515676</v>
          </cell>
          <cell r="G1183">
            <v>3530316</v>
          </cell>
          <cell r="H1183">
            <v>498510</v>
          </cell>
        </row>
        <row r="1184">
          <cell r="A1184" t="str">
            <v>3090</v>
          </cell>
          <cell r="B1184" t="str">
            <v>宮田　昭男　　　</v>
          </cell>
          <cell r="C1184">
            <v>473800</v>
          </cell>
          <cell r="D1184">
            <v>548730</v>
          </cell>
          <cell r="E1184">
            <v>1022530</v>
          </cell>
          <cell r="F1184">
            <v>2837214</v>
          </cell>
          <cell r="G1184">
            <v>3859744</v>
          </cell>
          <cell r="H1184">
            <v>529100</v>
          </cell>
        </row>
        <row r="1185">
          <cell r="A1185" t="str">
            <v>3274</v>
          </cell>
          <cell r="B1185" t="str">
            <v>小串　和久　　　</v>
          </cell>
          <cell r="C1185">
            <v>505740</v>
          </cell>
          <cell r="D1185">
            <v>548400</v>
          </cell>
          <cell r="E1185">
            <v>1054140</v>
          </cell>
          <cell r="F1185">
            <v>2798716</v>
          </cell>
          <cell r="G1185">
            <v>3852856</v>
          </cell>
          <cell r="H1185">
            <v>549660</v>
          </cell>
        </row>
        <row r="1186">
          <cell r="A1186" t="str">
            <v>1435</v>
          </cell>
          <cell r="B1186" t="str">
            <v>薗田　民子　　　</v>
          </cell>
          <cell r="C1186">
            <v>482810</v>
          </cell>
          <cell r="D1186">
            <v>547260</v>
          </cell>
          <cell r="E1186">
            <v>1030070</v>
          </cell>
          <cell r="F1186">
            <v>2426685</v>
          </cell>
          <cell r="G1186">
            <v>3456755</v>
          </cell>
          <cell r="H1186">
            <v>493810</v>
          </cell>
        </row>
        <row r="1187">
          <cell r="A1187" t="str">
            <v>2433</v>
          </cell>
          <cell r="B1187" t="str">
            <v>森　あゆみ　　　</v>
          </cell>
          <cell r="C1187">
            <v>482810</v>
          </cell>
          <cell r="D1187">
            <v>547260</v>
          </cell>
          <cell r="E1187">
            <v>1030070</v>
          </cell>
          <cell r="F1187">
            <v>2704628</v>
          </cell>
          <cell r="G1187">
            <v>3734698</v>
          </cell>
          <cell r="H1187">
            <v>493810</v>
          </cell>
        </row>
        <row r="1188">
          <cell r="A1188" t="str">
            <v>1395</v>
          </cell>
          <cell r="B1188" t="str">
            <v>谷元　和代　　　</v>
          </cell>
          <cell r="C1188">
            <v>485840</v>
          </cell>
          <cell r="D1188">
            <v>547170</v>
          </cell>
          <cell r="E1188">
            <v>1033010</v>
          </cell>
          <cell r="F1188">
            <v>2950917</v>
          </cell>
          <cell r="G1188">
            <v>3983927</v>
          </cell>
          <cell r="H1188">
            <v>511160</v>
          </cell>
        </row>
        <row r="1189">
          <cell r="A1189" t="str">
            <v>1707</v>
          </cell>
          <cell r="B1189" t="str">
            <v>中阿地　富美雄　</v>
          </cell>
          <cell r="C1189">
            <v>495630</v>
          </cell>
          <cell r="D1189">
            <v>546160</v>
          </cell>
          <cell r="E1189">
            <v>1041790</v>
          </cell>
          <cell r="F1189">
            <v>2648826</v>
          </cell>
          <cell r="G1189">
            <v>3690616</v>
          </cell>
          <cell r="H1189">
            <v>496090</v>
          </cell>
        </row>
        <row r="1190">
          <cell r="A1190" t="str">
            <v>3342</v>
          </cell>
          <cell r="B1190" t="str">
            <v>山下　隆平　　　</v>
          </cell>
          <cell r="C1190">
            <v>480920</v>
          </cell>
          <cell r="D1190">
            <v>546010</v>
          </cell>
          <cell r="E1190">
            <v>1026930</v>
          </cell>
          <cell r="F1190">
            <v>2504134</v>
          </cell>
          <cell r="G1190">
            <v>3531064</v>
          </cell>
          <cell r="H1190">
            <v>514070</v>
          </cell>
        </row>
        <row r="1191">
          <cell r="A1191" t="str">
            <v>3315</v>
          </cell>
          <cell r="B1191" t="str">
            <v>園田　秀行　　　</v>
          </cell>
          <cell r="C1191">
            <v>480920</v>
          </cell>
          <cell r="D1191">
            <v>546010</v>
          </cell>
          <cell r="E1191">
            <v>1026930</v>
          </cell>
          <cell r="F1191">
            <v>2375005</v>
          </cell>
          <cell r="G1191">
            <v>3401935</v>
          </cell>
          <cell r="H1191">
            <v>524960</v>
          </cell>
        </row>
        <row r="1192">
          <cell r="A1192" t="str">
            <v>3306</v>
          </cell>
          <cell r="B1192" t="str">
            <v>大丸　清　　　　</v>
          </cell>
          <cell r="C1192">
            <v>480920</v>
          </cell>
          <cell r="D1192">
            <v>546010</v>
          </cell>
          <cell r="E1192">
            <v>1026930</v>
          </cell>
          <cell r="F1192">
            <v>2280613</v>
          </cell>
          <cell r="G1192">
            <v>3307543</v>
          </cell>
          <cell r="H1192">
            <v>514070</v>
          </cell>
        </row>
        <row r="1193">
          <cell r="A1193" t="str">
            <v>3349</v>
          </cell>
          <cell r="B1193" t="str">
            <v>多聞　華世　　　</v>
          </cell>
          <cell r="C1193">
            <v>480920</v>
          </cell>
          <cell r="D1193">
            <v>546010</v>
          </cell>
          <cell r="E1193">
            <v>1026930</v>
          </cell>
          <cell r="F1193">
            <v>2467823</v>
          </cell>
          <cell r="G1193">
            <v>3494753</v>
          </cell>
          <cell r="H1193">
            <v>524960</v>
          </cell>
        </row>
        <row r="1194">
          <cell r="A1194" t="str">
            <v>3337</v>
          </cell>
          <cell r="B1194" t="str">
            <v>三角　学　　　　</v>
          </cell>
          <cell r="C1194">
            <v>480920</v>
          </cell>
          <cell r="D1194">
            <v>546010</v>
          </cell>
          <cell r="E1194">
            <v>1026930</v>
          </cell>
          <cell r="F1194">
            <v>2378321</v>
          </cell>
          <cell r="G1194">
            <v>3405251</v>
          </cell>
          <cell r="H1194">
            <v>531190</v>
          </cell>
        </row>
        <row r="1195">
          <cell r="A1195" t="str">
            <v>3328</v>
          </cell>
          <cell r="B1195" t="str">
            <v>永田　毅　　　　</v>
          </cell>
          <cell r="C1195">
            <v>485570</v>
          </cell>
          <cell r="D1195">
            <v>546010</v>
          </cell>
          <cell r="E1195">
            <v>1031580</v>
          </cell>
          <cell r="F1195">
            <v>2300469</v>
          </cell>
          <cell r="G1195">
            <v>3332049</v>
          </cell>
          <cell r="H1195">
            <v>524960</v>
          </cell>
        </row>
        <row r="1196">
          <cell r="A1196" t="str">
            <v>3330</v>
          </cell>
          <cell r="B1196" t="str">
            <v>早瀬　主税　　　</v>
          </cell>
          <cell r="C1196">
            <v>480920</v>
          </cell>
          <cell r="D1196">
            <v>546010</v>
          </cell>
          <cell r="E1196">
            <v>1026930</v>
          </cell>
          <cell r="F1196">
            <v>2348419</v>
          </cell>
          <cell r="G1196">
            <v>3375349</v>
          </cell>
          <cell r="H1196">
            <v>524960</v>
          </cell>
        </row>
        <row r="1197">
          <cell r="A1197" t="str">
            <v>3319</v>
          </cell>
          <cell r="B1197" t="str">
            <v>田中　重紀　　　</v>
          </cell>
          <cell r="C1197">
            <v>480920</v>
          </cell>
          <cell r="D1197">
            <v>546010</v>
          </cell>
          <cell r="E1197">
            <v>1026930</v>
          </cell>
          <cell r="F1197">
            <v>2431152</v>
          </cell>
          <cell r="G1197">
            <v>3458082</v>
          </cell>
          <cell r="H1197">
            <v>524960</v>
          </cell>
        </row>
        <row r="1198">
          <cell r="A1198" t="str">
            <v>3350</v>
          </cell>
          <cell r="B1198" t="str">
            <v>遠嶋　記与子　　</v>
          </cell>
          <cell r="C1198">
            <v>466940</v>
          </cell>
          <cell r="D1198">
            <v>546010</v>
          </cell>
          <cell r="E1198">
            <v>1012950</v>
          </cell>
          <cell r="F1198">
            <v>2403750</v>
          </cell>
          <cell r="G1198">
            <v>3416700</v>
          </cell>
          <cell r="H1198">
            <v>524960</v>
          </cell>
        </row>
        <row r="1199">
          <cell r="A1199" t="str">
            <v>0692</v>
          </cell>
          <cell r="B1199" t="str">
            <v>北脇　利枝　　　</v>
          </cell>
          <cell r="C1199">
            <v>500300</v>
          </cell>
          <cell r="D1199">
            <v>544520</v>
          </cell>
          <cell r="E1199">
            <v>1044820</v>
          </cell>
          <cell r="F1199">
            <v>2636823</v>
          </cell>
          <cell r="G1199">
            <v>3681643</v>
          </cell>
          <cell r="H1199">
            <v>508690</v>
          </cell>
        </row>
        <row r="1200">
          <cell r="A1200" t="str">
            <v>3312</v>
          </cell>
          <cell r="B1200" t="str">
            <v>佐藤　吉広　　　</v>
          </cell>
          <cell r="C1200">
            <v>496450</v>
          </cell>
          <cell r="D1200">
            <v>544180</v>
          </cell>
          <cell r="E1200">
            <v>1040630</v>
          </cell>
          <cell r="F1200">
            <v>2416430</v>
          </cell>
          <cell r="G1200">
            <v>3457060</v>
          </cell>
          <cell r="H1200">
            <v>503180</v>
          </cell>
        </row>
        <row r="1201">
          <cell r="A1201" t="str">
            <v>3347</v>
          </cell>
          <cell r="B1201" t="str">
            <v>北原　由紀子　　</v>
          </cell>
          <cell r="C1201">
            <v>502660</v>
          </cell>
          <cell r="D1201">
            <v>544180</v>
          </cell>
          <cell r="E1201">
            <v>1046840</v>
          </cell>
          <cell r="F1201">
            <v>2507828</v>
          </cell>
          <cell r="G1201">
            <v>3554668</v>
          </cell>
          <cell r="H1201">
            <v>540520</v>
          </cell>
        </row>
        <row r="1202">
          <cell r="A1202" t="str">
            <v>3077</v>
          </cell>
          <cell r="B1202" t="str">
            <v>菅　浩　　　　　</v>
          </cell>
          <cell r="C1202">
            <v>457250</v>
          </cell>
          <cell r="D1202">
            <v>543930</v>
          </cell>
          <cell r="E1202">
            <v>1001180</v>
          </cell>
          <cell r="F1202">
            <v>2346267</v>
          </cell>
          <cell r="G1202">
            <v>3347447</v>
          </cell>
          <cell r="H1202">
            <v>528750</v>
          </cell>
        </row>
        <row r="1203">
          <cell r="A1203" t="str">
            <v>3413</v>
          </cell>
          <cell r="B1203" t="str">
            <v>阪本　一三　　　</v>
          </cell>
          <cell r="C1203">
            <v>476880</v>
          </cell>
          <cell r="D1203">
            <v>543380</v>
          </cell>
          <cell r="E1203">
            <v>1020260</v>
          </cell>
          <cell r="F1203">
            <v>4746009</v>
          </cell>
          <cell r="G1203">
            <v>5766269</v>
          </cell>
          <cell r="H1203">
            <v>484010</v>
          </cell>
        </row>
        <row r="1204">
          <cell r="A1204" t="str">
            <v>2427</v>
          </cell>
          <cell r="B1204" t="str">
            <v>江藤　章子　　　</v>
          </cell>
          <cell r="C1204">
            <v>472850</v>
          </cell>
          <cell r="D1204">
            <v>542050</v>
          </cell>
          <cell r="E1204">
            <v>1014900</v>
          </cell>
          <cell r="F1204">
            <v>3067517</v>
          </cell>
          <cell r="G1204">
            <v>4082417</v>
          </cell>
          <cell r="H1204">
            <v>486700</v>
          </cell>
        </row>
        <row r="1205">
          <cell r="A1205" t="str">
            <v>3397</v>
          </cell>
          <cell r="B1205" t="str">
            <v>小間口　淳　　　</v>
          </cell>
          <cell r="C1205">
            <v>466360</v>
          </cell>
          <cell r="D1205">
            <v>541050</v>
          </cell>
          <cell r="E1205">
            <v>1007410</v>
          </cell>
          <cell r="F1205">
            <v>3042142</v>
          </cell>
          <cell r="G1205">
            <v>4049552</v>
          </cell>
          <cell r="H1205">
            <v>496000</v>
          </cell>
        </row>
        <row r="1206">
          <cell r="A1206" t="str">
            <v>1981</v>
          </cell>
          <cell r="B1206" t="str">
            <v>高橋　由美　　　</v>
          </cell>
          <cell r="C1206">
            <v>461690</v>
          </cell>
          <cell r="D1206">
            <v>539000</v>
          </cell>
          <cell r="E1206">
            <v>1000690</v>
          </cell>
          <cell r="F1206">
            <v>2667852</v>
          </cell>
          <cell r="G1206">
            <v>3668542</v>
          </cell>
          <cell r="H1206">
            <v>470670</v>
          </cell>
        </row>
        <row r="1207">
          <cell r="A1207" t="str">
            <v>2836</v>
          </cell>
          <cell r="B1207" t="str">
            <v>小高　靖之　　　</v>
          </cell>
          <cell r="C1207">
            <v>475620</v>
          </cell>
          <cell r="D1207">
            <v>538860</v>
          </cell>
          <cell r="E1207">
            <v>1014480</v>
          </cell>
          <cell r="F1207">
            <v>2023879</v>
          </cell>
          <cell r="G1207">
            <v>3038359</v>
          </cell>
          <cell r="H1207">
            <v>502360</v>
          </cell>
        </row>
        <row r="1208">
          <cell r="A1208" t="str">
            <v>2840</v>
          </cell>
          <cell r="B1208" t="str">
            <v>松田　吉生　　　</v>
          </cell>
          <cell r="C1208">
            <v>475620</v>
          </cell>
          <cell r="D1208">
            <v>538860</v>
          </cell>
          <cell r="E1208">
            <v>1014480</v>
          </cell>
          <cell r="F1208">
            <v>2078056</v>
          </cell>
          <cell r="G1208">
            <v>3092536</v>
          </cell>
          <cell r="H1208">
            <v>502360</v>
          </cell>
        </row>
        <row r="1209">
          <cell r="A1209" t="str">
            <v>3307</v>
          </cell>
          <cell r="B1209" t="str">
            <v>岡嶋　浩二　　　</v>
          </cell>
          <cell r="C1209">
            <v>474700</v>
          </cell>
          <cell r="D1209">
            <v>538690</v>
          </cell>
          <cell r="E1209">
            <v>1013390</v>
          </cell>
          <cell r="F1209">
            <v>2461083</v>
          </cell>
          <cell r="G1209">
            <v>3474473</v>
          </cell>
          <cell r="H1209">
            <v>514070</v>
          </cell>
        </row>
        <row r="1210">
          <cell r="A1210" t="str">
            <v>3321</v>
          </cell>
          <cell r="B1210" t="str">
            <v>谷本　顕一朗　　</v>
          </cell>
          <cell r="C1210">
            <v>466940</v>
          </cell>
          <cell r="D1210">
            <v>538690</v>
          </cell>
          <cell r="E1210">
            <v>1005630</v>
          </cell>
          <cell r="F1210">
            <v>2374719</v>
          </cell>
          <cell r="G1210">
            <v>3380349</v>
          </cell>
          <cell r="H1210">
            <v>514070</v>
          </cell>
        </row>
        <row r="1211">
          <cell r="A1211" t="str">
            <v>3302</v>
          </cell>
          <cell r="B1211" t="str">
            <v>馬詰　佳明　　　</v>
          </cell>
          <cell r="C1211">
            <v>474700</v>
          </cell>
          <cell r="D1211">
            <v>538690</v>
          </cell>
          <cell r="E1211">
            <v>1013390</v>
          </cell>
          <cell r="F1211">
            <v>2724104</v>
          </cell>
          <cell r="G1211">
            <v>3737494</v>
          </cell>
          <cell r="H1211">
            <v>514070</v>
          </cell>
        </row>
        <row r="1212">
          <cell r="A1212" t="str">
            <v>3298</v>
          </cell>
          <cell r="B1212" t="str">
            <v>伊藤　万博　　　</v>
          </cell>
          <cell r="C1212">
            <v>474700</v>
          </cell>
          <cell r="D1212">
            <v>538690</v>
          </cell>
          <cell r="E1212">
            <v>1013390</v>
          </cell>
          <cell r="F1212">
            <v>2339281</v>
          </cell>
          <cell r="G1212">
            <v>3352671</v>
          </cell>
          <cell r="H1212">
            <v>524960</v>
          </cell>
        </row>
        <row r="1213">
          <cell r="A1213" t="str">
            <v>3325</v>
          </cell>
          <cell r="B1213" t="str">
            <v>豊田　和久　　　</v>
          </cell>
          <cell r="C1213">
            <v>474700</v>
          </cell>
          <cell r="D1213">
            <v>538690</v>
          </cell>
          <cell r="E1213">
            <v>1013390</v>
          </cell>
          <cell r="F1213">
            <v>2444884</v>
          </cell>
          <cell r="G1213">
            <v>3458274</v>
          </cell>
          <cell r="H1213">
            <v>514070</v>
          </cell>
        </row>
        <row r="1214">
          <cell r="A1214" t="str">
            <v>3353</v>
          </cell>
          <cell r="B1214" t="str">
            <v>松田　有子　　　</v>
          </cell>
          <cell r="C1214">
            <v>466940</v>
          </cell>
          <cell r="D1214">
            <v>538690</v>
          </cell>
          <cell r="E1214">
            <v>1005630</v>
          </cell>
          <cell r="F1214">
            <v>2380376</v>
          </cell>
          <cell r="G1214">
            <v>3386006</v>
          </cell>
          <cell r="H1214">
            <v>514070</v>
          </cell>
        </row>
        <row r="1215">
          <cell r="A1215" t="str">
            <v>3335</v>
          </cell>
          <cell r="B1215" t="str">
            <v>増田　陽　　　　</v>
          </cell>
          <cell r="C1215">
            <v>474700</v>
          </cell>
          <cell r="D1215">
            <v>538690</v>
          </cell>
          <cell r="E1215">
            <v>1013390</v>
          </cell>
          <cell r="F1215">
            <v>2485387</v>
          </cell>
          <cell r="G1215">
            <v>3498777</v>
          </cell>
          <cell r="H1215">
            <v>514070</v>
          </cell>
        </row>
        <row r="1216">
          <cell r="A1216" t="str">
            <v>2903</v>
          </cell>
          <cell r="B1216" t="str">
            <v>中西　あゆみ　　</v>
          </cell>
          <cell r="C1216">
            <v>441550</v>
          </cell>
          <cell r="D1216">
            <v>537670</v>
          </cell>
          <cell r="E1216">
            <v>979220</v>
          </cell>
          <cell r="F1216">
            <v>2283574</v>
          </cell>
          <cell r="G1216">
            <v>3262794</v>
          </cell>
          <cell r="H1216">
            <v>484020</v>
          </cell>
        </row>
        <row r="1217">
          <cell r="A1217" t="str">
            <v>2839</v>
          </cell>
          <cell r="B1217" t="str">
            <v>槙本　隆崇　　　</v>
          </cell>
          <cell r="C1217">
            <v>460990</v>
          </cell>
          <cell r="D1217">
            <v>535670</v>
          </cell>
          <cell r="E1217">
            <v>996660</v>
          </cell>
          <cell r="F1217">
            <v>2250283</v>
          </cell>
          <cell r="G1217">
            <v>3246943</v>
          </cell>
          <cell r="H1217">
            <v>509970</v>
          </cell>
        </row>
        <row r="1218">
          <cell r="A1218" t="str">
            <v>1118</v>
          </cell>
          <cell r="B1218" t="str">
            <v>中山　康子　　　</v>
          </cell>
          <cell r="C1218">
            <v>478220</v>
          </cell>
          <cell r="D1218">
            <v>535560</v>
          </cell>
          <cell r="E1218">
            <v>1013780</v>
          </cell>
          <cell r="F1218">
            <v>2451099</v>
          </cell>
          <cell r="G1218">
            <v>3464879</v>
          </cell>
          <cell r="H1218">
            <v>485140</v>
          </cell>
        </row>
        <row r="1219">
          <cell r="A1219" t="str">
            <v>2835</v>
          </cell>
          <cell r="B1219" t="str">
            <v>川岡　伸幸　　　</v>
          </cell>
          <cell r="C1219">
            <v>497380</v>
          </cell>
          <cell r="D1219">
            <v>534390</v>
          </cell>
          <cell r="E1219">
            <v>1031770</v>
          </cell>
          <cell r="F1219">
            <v>2391104</v>
          </cell>
          <cell r="G1219">
            <v>3422874</v>
          </cell>
          <cell r="H1219">
            <v>481080</v>
          </cell>
        </row>
        <row r="1220">
          <cell r="A1220" t="str">
            <v>1968</v>
          </cell>
          <cell r="B1220" t="str">
            <v>山下　佳恵　　　</v>
          </cell>
          <cell r="C1220">
            <v>490300</v>
          </cell>
          <cell r="D1220">
            <v>533910</v>
          </cell>
          <cell r="E1220">
            <v>1024210</v>
          </cell>
          <cell r="F1220">
            <v>2811646</v>
          </cell>
          <cell r="G1220">
            <v>3835856</v>
          </cell>
          <cell r="H1220">
            <v>482660</v>
          </cell>
        </row>
        <row r="1221">
          <cell r="A1221" t="str">
            <v>3469</v>
          </cell>
          <cell r="B1221" t="str">
            <v>樋口　敬士　　　</v>
          </cell>
          <cell r="C1221">
            <v>160000</v>
          </cell>
          <cell r="D1221">
            <v>533870</v>
          </cell>
          <cell r="E1221">
            <v>693870</v>
          </cell>
          <cell r="F1221">
            <v>1659440</v>
          </cell>
          <cell r="G1221">
            <v>2353310</v>
          </cell>
          <cell r="H1221">
            <v>522660</v>
          </cell>
        </row>
        <row r="1222">
          <cell r="A1222" t="str">
            <v>3468</v>
          </cell>
          <cell r="B1222" t="str">
            <v>高尾　恒太　　　</v>
          </cell>
          <cell r="C1222">
            <v>160000</v>
          </cell>
          <cell r="D1222">
            <v>533870</v>
          </cell>
          <cell r="E1222">
            <v>693870</v>
          </cell>
          <cell r="F1222">
            <v>1659053</v>
          </cell>
          <cell r="G1222">
            <v>2352923</v>
          </cell>
          <cell r="H1222">
            <v>517770</v>
          </cell>
        </row>
        <row r="1223">
          <cell r="A1223" t="str">
            <v>3405</v>
          </cell>
          <cell r="B1223" t="str">
            <v>平野　学　　　　</v>
          </cell>
          <cell r="C1223">
            <v>411830</v>
          </cell>
          <cell r="D1223">
            <v>533330</v>
          </cell>
          <cell r="E1223">
            <v>945160</v>
          </cell>
          <cell r="F1223">
            <v>2495544</v>
          </cell>
          <cell r="G1223">
            <v>3440704</v>
          </cell>
          <cell r="H1223">
            <v>497910</v>
          </cell>
        </row>
        <row r="1224">
          <cell r="A1224" t="str">
            <v>3320</v>
          </cell>
          <cell r="B1224" t="str">
            <v>田中　博明　　　</v>
          </cell>
          <cell r="C1224">
            <v>496450</v>
          </cell>
          <cell r="D1224">
            <v>533210</v>
          </cell>
          <cell r="E1224">
            <v>1029660</v>
          </cell>
          <cell r="F1224">
            <v>2538515</v>
          </cell>
          <cell r="G1224">
            <v>3568175</v>
          </cell>
          <cell r="H1224">
            <v>515620</v>
          </cell>
        </row>
        <row r="1225">
          <cell r="A1225" t="str">
            <v>3331</v>
          </cell>
          <cell r="B1225" t="str">
            <v>平野　慶郎　　　</v>
          </cell>
          <cell r="C1225">
            <v>496450</v>
          </cell>
          <cell r="D1225">
            <v>533210</v>
          </cell>
          <cell r="E1225">
            <v>1029660</v>
          </cell>
          <cell r="F1225">
            <v>2519480</v>
          </cell>
          <cell r="G1225">
            <v>3549140</v>
          </cell>
          <cell r="H1225">
            <v>515620</v>
          </cell>
        </row>
        <row r="1226">
          <cell r="A1226" t="str">
            <v>3324</v>
          </cell>
          <cell r="B1226" t="str">
            <v>戸澤　高広　　　</v>
          </cell>
          <cell r="C1226">
            <v>502660</v>
          </cell>
          <cell r="D1226">
            <v>533210</v>
          </cell>
          <cell r="E1226">
            <v>1035870</v>
          </cell>
          <cell r="F1226">
            <v>2444446</v>
          </cell>
          <cell r="G1226">
            <v>3480316</v>
          </cell>
          <cell r="H1226">
            <v>515620</v>
          </cell>
        </row>
        <row r="1227">
          <cell r="A1227" t="str">
            <v>3341</v>
          </cell>
          <cell r="B1227" t="str">
            <v>山川　和洋　　　</v>
          </cell>
          <cell r="C1227">
            <v>496450</v>
          </cell>
          <cell r="D1227">
            <v>532720</v>
          </cell>
          <cell r="E1227">
            <v>1029170</v>
          </cell>
          <cell r="F1227">
            <v>2455370</v>
          </cell>
          <cell r="G1227">
            <v>3484540</v>
          </cell>
          <cell r="H1227">
            <v>527290</v>
          </cell>
        </row>
        <row r="1228">
          <cell r="A1228" t="str">
            <v>2132</v>
          </cell>
          <cell r="B1228" t="str">
            <v>横江　小百合　　</v>
          </cell>
          <cell r="C1228">
            <v>445660</v>
          </cell>
          <cell r="D1228">
            <v>531600</v>
          </cell>
          <cell r="E1228">
            <v>977260</v>
          </cell>
          <cell r="F1228">
            <v>2268924</v>
          </cell>
          <cell r="G1228">
            <v>3246184</v>
          </cell>
          <cell r="H1228">
            <v>444200</v>
          </cell>
        </row>
        <row r="1229">
          <cell r="A1229" t="str">
            <v>1399</v>
          </cell>
          <cell r="B1229" t="str">
            <v>渡辺　かおる　　</v>
          </cell>
          <cell r="C1229">
            <v>473560</v>
          </cell>
          <cell r="D1229">
            <v>530410</v>
          </cell>
          <cell r="E1229">
            <v>1003970</v>
          </cell>
          <cell r="F1229">
            <v>2584367</v>
          </cell>
          <cell r="G1229">
            <v>3588337</v>
          </cell>
          <cell r="H1229">
            <v>497050</v>
          </cell>
        </row>
        <row r="1230">
          <cell r="A1230" t="str">
            <v>3287</v>
          </cell>
          <cell r="B1230" t="str">
            <v>大津　昭子　　　</v>
          </cell>
          <cell r="C1230">
            <v>467890</v>
          </cell>
          <cell r="D1230">
            <v>530270</v>
          </cell>
          <cell r="E1230">
            <v>998160</v>
          </cell>
          <cell r="F1230">
            <v>3318226</v>
          </cell>
          <cell r="G1230">
            <v>4316386</v>
          </cell>
          <cell r="H1230">
            <v>510160</v>
          </cell>
        </row>
        <row r="1231">
          <cell r="A1231" t="str">
            <v>3299</v>
          </cell>
          <cell r="B1231" t="str">
            <v>稲越　康　　　　</v>
          </cell>
          <cell r="C1231">
            <v>474700</v>
          </cell>
          <cell r="D1231">
            <v>529550</v>
          </cell>
          <cell r="E1231">
            <v>1004250</v>
          </cell>
          <cell r="F1231">
            <v>2454807</v>
          </cell>
          <cell r="G1231">
            <v>3459057</v>
          </cell>
          <cell r="H1231">
            <v>514070</v>
          </cell>
        </row>
        <row r="1232">
          <cell r="A1232" t="str">
            <v>2749</v>
          </cell>
          <cell r="B1232" t="str">
            <v>中田　朱美　　　</v>
          </cell>
          <cell r="C1232">
            <v>455300</v>
          </cell>
          <cell r="D1232">
            <v>529040</v>
          </cell>
          <cell r="E1232">
            <v>984340</v>
          </cell>
          <cell r="F1232">
            <v>2229746</v>
          </cell>
          <cell r="G1232">
            <v>3214086</v>
          </cell>
          <cell r="H1232">
            <v>456620</v>
          </cell>
        </row>
        <row r="1233">
          <cell r="A1233" t="str">
            <v>2937</v>
          </cell>
          <cell r="B1233" t="str">
            <v>田中　佐智代　　</v>
          </cell>
          <cell r="C1233">
            <v>448090</v>
          </cell>
          <cell r="D1233">
            <v>528000</v>
          </cell>
          <cell r="E1233">
            <v>976090</v>
          </cell>
          <cell r="F1233">
            <v>2291515</v>
          </cell>
          <cell r="G1233">
            <v>3267605</v>
          </cell>
          <cell r="H1233">
            <v>475460</v>
          </cell>
        </row>
        <row r="1234">
          <cell r="A1234" t="str">
            <v>3031</v>
          </cell>
          <cell r="B1234" t="str">
            <v>川崎　昌弘　　　</v>
          </cell>
          <cell r="C1234">
            <v>440510</v>
          </cell>
          <cell r="D1234">
            <v>524590</v>
          </cell>
          <cell r="E1234">
            <v>965100</v>
          </cell>
          <cell r="F1234">
            <v>2081518</v>
          </cell>
          <cell r="G1234">
            <v>3046618</v>
          </cell>
          <cell r="H1234">
            <v>459300</v>
          </cell>
        </row>
        <row r="1235">
          <cell r="A1235" t="str">
            <v>2837</v>
          </cell>
          <cell r="B1235" t="str">
            <v>佐藤　俊行　　　</v>
          </cell>
          <cell r="C1235">
            <v>478050</v>
          </cell>
          <cell r="D1235">
            <v>524070</v>
          </cell>
          <cell r="E1235">
            <v>1002120</v>
          </cell>
          <cell r="F1235">
            <v>2980652</v>
          </cell>
          <cell r="G1235">
            <v>3982772</v>
          </cell>
          <cell r="H1235">
            <v>505330</v>
          </cell>
        </row>
        <row r="1236">
          <cell r="A1236" t="str">
            <v>2833</v>
          </cell>
          <cell r="B1236" t="str">
            <v>大場　良博　　　</v>
          </cell>
          <cell r="C1236">
            <v>478050</v>
          </cell>
          <cell r="D1236">
            <v>524070</v>
          </cell>
          <cell r="E1236">
            <v>1002120</v>
          </cell>
          <cell r="F1236">
            <v>2587195</v>
          </cell>
          <cell r="G1236">
            <v>3589315</v>
          </cell>
          <cell r="H1236">
            <v>505330</v>
          </cell>
        </row>
        <row r="1237">
          <cell r="A1237" t="str">
            <v>1977</v>
          </cell>
          <cell r="B1237" t="str">
            <v>幸　由美　　　　</v>
          </cell>
          <cell r="C1237">
            <v>461690</v>
          </cell>
          <cell r="D1237">
            <v>523280</v>
          </cell>
          <cell r="E1237">
            <v>984970</v>
          </cell>
          <cell r="F1237">
            <v>2633114</v>
          </cell>
          <cell r="G1237">
            <v>3618084</v>
          </cell>
          <cell r="H1237">
            <v>342600</v>
          </cell>
        </row>
        <row r="1238">
          <cell r="A1238" t="str">
            <v>1438</v>
          </cell>
          <cell r="B1238" t="str">
            <v>田中　たみ子　　</v>
          </cell>
          <cell r="C1238">
            <v>461690</v>
          </cell>
          <cell r="D1238">
            <v>523280</v>
          </cell>
          <cell r="E1238">
            <v>984970</v>
          </cell>
          <cell r="F1238">
            <v>2912732</v>
          </cell>
          <cell r="G1238">
            <v>3897702</v>
          </cell>
          <cell r="H1238">
            <v>473060</v>
          </cell>
        </row>
        <row r="1239">
          <cell r="A1239" t="str">
            <v>2841</v>
          </cell>
          <cell r="B1239" t="str">
            <v>山崎　博輝　　　</v>
          </cell>
          <cell r="C1239">
            <v>463380</v>
          </cell>
          <cell r="D1239">
            <v>521000</v>
          </cell>
          <cell r="E1239">
            <v>984380</v>
          </cell>
          <cell r="F1239">
            <v>2271450</v>
          </cell>
          <cell r="G1239">
            <v>3255830</v>
          </cell>
          <cell r="H1239">
            <v>486400</v>
          </cell>
        </row>
        <row r="1240">
          <cell r="A1240" t="str">
            <v>3392</v>
          </cell>
          <cell r="B1240" t="str">
            <v>大西　康司　　　</v>
          </cell>
          <cell r="C1240">
            <v>410390</v>
          </cell>
          <cell r="D1240">
            <v>520990</v>
          </cell>
          <cell r="E1240">
            <v>931380</v>
          </cell>
          <cell r="F1240">
            <v>2671693</v>
          </cell>
          <cell r="G1240">
            <v>3603073</v>
          </cell>
          <cell r="H1240">
            <v>470590</v>
          </cell>
        </row>
        <row r="1241">
          <cell r="A1241" t="str">
            <v>3032</v>
          </cell>
          <cell r="B1241" t="str">
            <v>仲宗根　正樹　　</v>
          </cell>
          <cell r="C1241">
            <v>460900</v>
          </cell>
          <cell r="D1241">
            <v>518180</v>
          </cell>
          <cell r="E1241">
            <v>979080</v>
          </cell>
          <cell r="F1241">
            <v>2260242</v>
          </cell>
          <cell r="G1241">
            <v>3239322</v>
          </cell>
          <cell r="H1241">
            <v>466300</v>
          </cell>
        </row>
        <row r="1242">
          <cell r="A1242" t="str">
            <v>2542</v>
          </cell>
          <cell r="B1242" t="str">
            <v>桑原　久美子　　</v>
          </cell>
          <cell r="C1242">
            <v>444130</v>
          </cell>
          <cell r="D1242">
            <v>517970</v>
          </cell>
          <cell r="E1242">
            <v>962100</v>
          </cell>
          <cell r="F1242">
            <v>2424590</v>
          </cell>
          <cell r="G1242">
            <v>3386690</v>
          </cell>
          <cell r="H1242">
            <v>483880</v>
          </cell>
        </row>
        <row r="1243">
          <cell r="A1243" t="str">
            <v>2834</v>
          </cell>
          <cell r="B1243" t="str">
            <v>沖　利治　　　　</v>
          </cell>
          <cell r="C1243">
            <v>460990</v>
          </cell>
          <cell r="D1243">
            <v>517920</v>
          </cell>
          <cell r="E1243">
            <v>978910</v>
          </cell>
          <cell r="F1243">
            <v>2102586</v>
          </cell>
          <cell r="G1243">
            <v>3081496</v>
          </cell>
          <cell r="H1243">
            <v>467660</v>
          </cell>
        </row>
        <row r="1244">
          <cell r="A1244" t="str">
            <v>0684</v>
          </cell>
          <cell r="B1244" t="str">
            <v>松山　綾枝　　　</v>
          </cell>
          <cell r="C1244">
            <v>447990</v>
          </cell>
          <cell r="D1244">
            <v>517610</v>
          </cell>
          <cell r="E1244">
            <v>965600</v>
          </cell>
          <cell r="F1244">
            <v>2445411</v>
          </cell>
          <cell r="G1244">
            <v>3411011</v>
          </cell>
          <cell r="H1244">
            <v>468880</v>
          </cell>
        </row>
        <row r="1245">
          <cell r="A1245" t="str">
            <v>2936</v>
          </cell>
          <cell r="B1245" t="str">
            <v>安東　良恵　　　</v>
          </cell>
          <cell r="C1245">
            <v>433300</v>
          </cell>
          <cell r="D1245">
            <v>517540</v>
          </cell>
          <cell r="E1245">
            <v>950840</v>
          </cell>
          <cell r="F1245">
            <v>2579412</v>
          </cell>
          <cell r="G1245">
            <v>3530252</v>
          </cell>
          <cell r="H1245">
            <v>466440</v>
          </cell>
        </row>
        <row r="1246">
          <cell r="A1246" t="str">
            <v>2724</v>
          </cell>
          <cell r="B1246" t="str">
            <v>鈴木　弘子　　　</v>
          </cell>
          <cell r="C1246">
            <v>427840</v>
          </cell>
          <cell r="D1246">
            <v>517540</v>
          </cell>
          <cell r="E1246">
            <v>945380</v>
          </cell>
          <cell r="F1246">
            <v>2513881</v>
          </cell>
          <cell r="G1246">
            <v>3459261</v>
          </cell>
          <cell r="H1246">
            <v>456620</v>
          </cell>
        </row>
        <row r="1247">
          <cell r="A1247" t="str">
            <v>2758</v>
          </cell>
          <cell r="B1247" t="str">
            <v>辻　信子　　　　</v>
          </cell>
          <cell r="C1247">
            <v>429280</v>
          </cell>
          <cell r="D1247">
            <v>517030</v>
          </cell>
          <cell r="E1247">
            <v>946310</v>
          </cell>
          <cell r="F1247">
            <v>2454719</v>
          </cell>
          <cell r="G1247">
            <v>3401029</v>
          </cell>
          <cell r="H1247">
            <v>451490</v>
          </cell>
        </row>
        <row r="1248">
          <cell r="A1248" t="str">
            <v>2140</v>
          </cell>
          <cell r="B1248" t="str">
            <v>番井　澄子　　　</v>
          </cell>
          <cell r="C1248">
            <v>467070</v>
          </cell>
          <cell r="D1248">
            <v>516770</v>
          </cell>
          <cell r="E1248">
            <v>983840</v>
          </cell>
          <cell r="F1248">
            <v>2585120</v>
          </cell>
          <cell r="G1248">
            <v>3568960</v>
          </cell>
          <cell r="H1248">
            <v>467300</v>
          </cell>
        </row>
        <row r="1249">
          <cell r="A1249" t="str">
            <v>1662</v>
          </cell>
          <cell r="B1249" t="str">
            <v>藤沢　淳子　　　</v>
          </cell>
          <cell r="C1249">
            <v>443260</v>
          </cell>
          <cell r="D1249">
            <v>515330</v>
          </cell>
          <cell r="E1249">
            <v>958590</v>
          </cell>
          <cell r="F1249">
            <v>2800560</v>
          </cell>
          <cell r="G1249">
            <v>3759150</v>
          </cell>
          <cell r="H1249">
            <v>465880</v>
          </cell>
        </row>
        <row r="1250">
          <cell r="A1250" t="str">
            <v>3095</v>
          </cell>
          <cell r="B1250" t="str">
            <v>安達　祥子　　　</v>
          </cell>
          <cell r="C1250">
            <v>410820</v>
          </cell>
          <cell r="D1250">
            <v>514740</v>
          </cell>
          <cell r="E1250">
            <v>925560</v>
          </cell>
          <cell r="F1250">
            <v>2183206</v>
          </cell>
          <cell r="G1250">
            <v>3108766</v>
          </cell>
          <cell r="H1250">
            <v>454140</v>
          </cell>
        </row>
        <row r="1251">
          <cell r="A1251" t="str">
            <v>2446</v>
          </cell>
          <cell r="B1251" t="str">
            <v>川崎　早苗　　　</v>
          </cell>
          <cell r="C1251">
            <v>470310</v>
          </cell>
          <cell r="D1251">
            <v>512690</v>
          </cell>
          <cell r="E1251">
            <v>983000</v>
          </cell>
          <cell r="F1251">
            <v>2457053</v>
          </cell>
          <cell r="G1251">
            <v>3440053</v>
          </cell>
          <cell r="H1251">
            <v>489240</v>
          </cell>
        </row>
        <row r="1252">
          <cell r="A1252" t="str">
            <v>1669</v>
          </cell>
          <cell r="B1252" t="str">
            <v>江原　優子　　　</v>
          </cell>
          <cell r="C1252">
            <v>449590</v>
          </cell>
          <cell r="D1252">
            <v>512690</v>
          </cell>
          <cell r="E1252">
            <v>962280</v>
          </cell>
          <cell r="F1252">
            <v>2313771</v>
          </cell>
          <cell r="G1252">
            <v>3276051</v>
          </cell>
          <cell r="H1252">
            <v>462620</v>
          </cell>
        </row>
        <row r="1253">
          <cell r="A1253" t="str">
            <v>1413</v>
          </cell>
          <cell r="B1253" t="str">
            <v>葛本　あけみ　　</v>
          </cell>
          <cell r="C1253">
            <v>437840</v>
          </cell>
          <cell r="D1253">
            <v>512690</v>
          </cell>
          <cell r="E1253">
            <v>950530</v>
          </cell>
          <cell r="F1253">
            <v>2330120</v>
          </cell>
          <cell r="G1253">
            <v>3280650</v>
          </cell>
          <cell r="H1253">
            <v>463480</v>
          </cell>
        </row>
        <row r="1254">
          <cell r="A1254" t="str">
            <v>2185</v>
          </cell>
          <cell r="B1254" t="str">
            <v>藤井　三津子　　</v>
          </cell>
          <cell r="C1254">
            <v>455290</v>
          </cell>
          <cell r="D1254">
            <v>511520</v>
          </cell>
          <cell r="E1254">
            <v>966810</v>
          </cell>
          <cell r="F1254">
            <v>2231361</v>
          </cell>
          <cell r="G1254">
            <v>3198171</v>
          </cell>
          <cell r="H1254">
            <v>446660</v>
          </cell>
        </row>
        <row r="1255">
          <cell r="A1255" t="str">
            <v>3116</v>
          </cell>
          <cell r="B1255" t="str">
            <v>塩原　祐美子　　</v>
          </cell>
          <cell r="C1255">
            <v>404630</v>
          </cell>
          <cell r="D1255">
            <v>511520</v>
          </cell>
          <cell r="E1255">
            <v>916150</v>
          </cell>
          <cell r="F1255">
            <v>2222004</v>
          </cell>
          <cell r="G1255">
            <v>3138154</v>
          </cell>
          <cell r="H1255">
            <v>471490</v>
          </cell>
        </row>
        <row r="1256">
          <cell r="A1256" t="str">
            <v>2350</v>
          </cell>
          <cell r="B1256" t="str">
            <v>小松　久美子　　</v>
          </cell>
          <cell r="C1256">
            <v>438220</v>
          </cell>
          <cell r="D1256">
            <v>510000</v>
          </cell>
          <cell r="E1256">
            <v>948220</v>
          </cell>
          <cell r="F1256">
            <v>2501763</v>
          </cell>
          <cell r="G1256">
            <v>3449983</v>
          </cell>
          <cell r="H1256">
            <v>461060</v>
          </cell>
        </row>
        <row r="1257">
          <cell r="A1257" t="str">
            <v>2677</v>
          </cell>
          <cell r="B1257" t="str">
            <v>宮崎　里美　　　</v>
          </cell>
          <cell r="C1257">
            <v>429850</v>
          </cell>
          <cell r="D1257">
            <v>508780</v>
          </cell>
          <cell r="E1257">
            <v>938630</v>
          </cell>
          <cell r="F1257">
            <v>2314562</v>
          </cell>
          <cell r="G1257">
            <v>3253192</v>
          </cell>
          <cell r="H1257">
            <v>459080</v>
          </cell>
        </row>
        <row r="1258">
          <cell r="A1258" t="str">
            <v>2689</v>
          </cell>
          <cell r="B1258" t="str">
            <v>籔本　尚代　　　</v>
          </cell>
          <cell r="C1258">
            <v>429850</v>
          </cell>
          <cell r="D1258">
            <v>508780</v>
          </cell>
          <cell r="E1258">
            <v>938630</v>
          </cell>
          <cell r="F1258">
            <v>2529417</v>
          </cell>
          <cell r="G1258">
            <v>3468047</v>
          </cell>
          <cell r="H1258">
            <v>459080</v>
          </cell>
        </row>
        <row r="1259">
          <cell r="A1259" t="str">
            <v>2759</v>
          </cell>
          <cell r="B1259" t="str">
            <v>山崎　美幸　　　</v>
          </cell>
          <cell r="C1259">
            <v>430280</v>
          </cell>
          <cell r="D1259">
            <v>506040</v>
          </cell>
          <cell r="E1259">
            <v>936320</v>
          </cell>
          <cell r="F1259">
            <v>2849598</v>
          </cell>
          <cell r="G1259">
            <v>3785918</v>
          </cell>
          <cell r="H1259">
            <v>456620</v>
          </cell>
        </row>
        <row r="1260">
          <cell r="A1260" t="str">
            <v>2680</v>
          </cell>
          <cell r="B1260" t="str">
            <v>竹久　美弥子　　</v>
          </cell>
          <cell r="C1260">
            <v>435370</v>
          </cell>
          <cell r="D1260">
            <v>506040</v>
          </cell>
          <cell r="E1260">
            <v>941410</v>
          </cell>
          <cell r="F1260">
            <v>2397643</v>
          </cell>
          <cell r="G1260">
            <v>3339053</v>
          </cell>
          <cell r="H1260">
            <v>466440</v>
          </cell>
        </row>
        <row r="1261">
          <cell r="A1261" t="str">
            <v>2726</v>
          </cell>
          <cell r="B1261" t="str">
            <v>三好　悦子　　　</v>
          </cell>
          <cell r="C1261">
            <v>440790</v>
          </cell>
          <cell r="D1261">
            <v>506040</v>
          </cell>
          <cell r="E1261">
            <v>946830</v>
          </cell>
          <cell r="F1261">
            <v>2177440</v>
          </cell>
          <cell r="G1261">
            <v>3124270</v>
          </cell>
          <cell r="H1261">
            <v>466440</v>
          </cell>
        </row>
        <row r="1262">
          <cell r="A1262" t="str">
            <v>2127</v>
          </cell>
          <cell r="B1262" t="str">
            <v>武内　とし子　　</v>
          </cell>
          <cell r="C1262">
            <v>447210</v>
          </cell>
          <cell r="D1262">
            <v>504710</v>
          </cell>
          <cell r="E1262">
            <v>951920</v>
          </cell>
          <cell r="F1262">
            <v>2494834</v>
          </cell>
          <cell r="G1262">
            <v>3446754</v>
          </cell>
          <cell r="H1262">
            <v>456270</v>
          </cell>
        </row>
        <row r="1263">
          <cell r="A1263" t="str">
            <v>3404</v>
          </cell>
          <cell r="B1263" t="str">
            <v>中村　乃　　　　</v>
          </cell>
          <cell r="C1263">
            <v>432610</v>
          </cell>
          <cell r="D1263">
            <v>503450</v>
          </cell>
          <cell r="E1263">
            <v>936060</v>
          </cell>
          <cell r="F1263">
            <v>3038528</v>
          </cell>
          <cell r="G1263">
            <v>3974588</v>
          </cell>
          <cell r="H1263">
            <v>455710</v>
          </cell>
        </row>
        <row r="1264">
          <cell r="A1264" t="str">
            <v>2681</v>
          </cell>
          <cell r="B1264" t="str">
            <v>谷村　真由美　　</v>
          </cell>
          <cell r="C1264">
            <v>427840</v>
          </cell>
          <cell r="D1264">
            <v>503300</v>
          </cell>
          <cell r="E1264">
            <v>931140</v>
          </cell>
          <cell r="F1264">
            <v>2317232</v>
          </cell>
          <cell r="G1264">
            <v>3248372</v>
          </cell>
          <cell r="H1264">
            <v>439480</v>
          </cell>
        </row>
        <row r="1265">
          <cell r="A1265" t="str">
            <v>2412</v>
          </cell>
          <cell r="B1265" t="str">
            <v>仲　純代　　　　</v>
          </cell>
          <cell r="C1265">
            <v>425810</v>
          </cell>
          <cell r="D1265">
            <v>503300</v>
          </cell>
          <cell r="E1265">
            <v>929110</v>
          </cell>
          <cell r="F1265">
            <v>2389661</v>
          </cell>
          <cell r="G1265">
            <v>3318771</v>
          </cell>
          <cell r="H1265">
            <v>454140</v>
          </cell>
        </row>
        <row r="1266">
          <cell r="A1266" t="str">
            <v>3102</v>
          </cell>
          <cell r="B1266" t="str">
            <v>横田　直士　　　</v>
          </cell>
          <cell r="C1266">
            <v>440560</v>
          </cell>
          <cell r="D1266">
            <v>503140</v>
          </cell>
          <cell r="E1266">
            <v>943700</v>
          </cell>
          <cell r="F1266">
            <v>3112143</v>
          </cell>
          <cell r="G1266">
            <v>4055843</v>
          </cell>
          <cell r="H1266">
            <v>501340</v>
          </cell>
        </row>
        <row r="1267">
          <cell r="A1267" t="str">
            <v>2416</v>
          </cell>
          <cell r="B1267" t="str">
            <v>坂田　さかゑ　　</v>
          </cell>
          <cell r="C1267">
            <v>421740</v>
          </cell>
          <cell r="D1267">
            <v>500550</v>
          </cell>
          <cell r="E1267">
            <v>922290</v>
          </cell>
          <cell r="F1267">
            <v>2395183</v>
          </cell>
          <cell r="G1267">
            <v>3317473</v>
          </cell>
          <cell r="H1267">
            <v>451660</v>
          </cell>
        </row>
        <row r="1268">
          <cell r="A1268" t="str">
            <v>2151</v>
          </cell>
          <cell r="B1268" t="str">
            <v>岡村　かをり　　</v>
          </cell>
          <cell r="C1268">
            <v>427860</v>
          </cell>
          <cell r="D1268">
            <v>500550</v>
          </cell>
          <cell r="E1268">
            <v>928410</v>
          </cell>
          <cell r="F1268">
            <v>2572388</v>
          </cell>
          <cell r="G1268">
            <v>3500798</v>
          </cell>
          <cell r="H1268">
            <v>451660</v>
          </cell>
        </row>
        <row r="1269">
          <cell r="A1269" t="str">
            <v>3482</v>
          </cell>
          <cell r="B1269" t="str">
            <v>大田黒　達也　　</v>
          </cell>
          <cell r="C1269">
            <v>150000</v>
          </cell>
          <cell r="D1269">
            <v>500420</v>
          </cell>
          <cell r="E1269">
            <v>650420</v>
          </cell>
          <cell r="F1269">
            <v>1671288</v>
          </cell>
          <cell r="G1269">
            <v>2321708</v>
          </cell>
          <cell r="H1269">
            <v>479200</v>
          </cell>
        </row>
        <row r="1270">
          <cell r="A1270" t="str">
            <v>3499</v>
          </cell>
          <cell r="B1270" t="str">
            <v>西山　大助　　　</v>
          </cell>
          <cell r="C1270">
            <v>150000</v>
          </cell>
          <cell r="D1270">
            <v>500420</v>
          </cell>
          <cell r="E1270">
            <v>650420</v>
          </cell>
          <cell r="F1270">
            <v>1594092</v>
          </cell>
          <cell r="G1270">
            <v>2244512</v>
          </cell>
          <cell r="H1270">
            <v>484830</v>
          </cell>
        </row>
        <row r="1271">
          <cell r="A1271" t="str">
            <v>3494</v>
          </cell>
          <cell r="B1271" t="str">
            <v>田中　宏和　　　</v>
          </cell>
          <cell r="C1271">
            <v>150000</v>
          </cell>
          <cell r="D1271">
            <v>500420</v>
          </cell>
          <cell r="E1271">
            <v>650420</v>
          </cell>
          <cell r="F1271">
            <v>1744940</v>
          </cell>
          <cell r="G1271">
            <v>2395360</v>
          </cell>
          <cell r="H1271">
            <v>511320</v>
          </cell>
        </row>
        <row r="1272">
          <cell r="A1272" t="str">
            <v>3489</v>
          </cell>
          <cell r="B1272" t="str">
            <v>齋藤　竜平　　　</v>
          </cell>
          <cell r="C1272">
            <v>150000</v>
          </cell>
          <cell r="D1272">
            <v>500420</v>
          </cell>
          <cell r="E1272">
            <v>650420</v>
          </cell>
          <cell r="F1272">
            <v>1703465</v>
          </cell>
          <cell r="G1272">
            <v>2353885</v>
          </cell>
          <cell r="H1272">
            <v>483790</v>
          </cell>
        </row>
        <row r="1273">
          <cell r="A1273" t="str">
            <v>3477</v>
          </cell>
          <cell r="B1273" t="str">
            <v>岩本　敦士　　　</v>
          </cell>
          <cell r="C1273">
            <v>150000</v>
          </cell>
          <cell r="D1273">
            <v>500420</v>
          </cell>
          <cell r="E1273">
            <v>650420</v>
          </cell>
          <cell r="F1273">
            <v>1730115</v>
          </cell>
          <cell r="G1273">
            <v>2380535</v>
          </cell>
          <cell r="H1273">
            <v>506730</v>
          </cell>
        </row>
        <row r="1274">
          <cell r="A1274" t="str">
            <v>3480</v>
          </cell>
          <cell r="B1274" t="str">
            <v>仰木　貴志　　　</v>
          </cell>
          <cell r="C1274">
            <v>150000</v>
          </cell>
          <cell r="D1274">
            <v>500420</v>
          </cell>
          <cell r="E1274">
            <v>650420</v>
          </cell>
          <cell r="F1274">
            <v>1680415</v>
          </cell>
          <cell r="G1274">
            <v>2330835</v>
          </cell>
          <cell r="H1274">
            <v>474610</v>
          </cell>
        </row>
        <row r="1275">
          <cell r="A1275" t="str">
            <v>3497</v>
          </cell>
          <cell r="B1275" t="str">
            <v>冨永　剛　　　　</v>
          </cell>
          <cell r="C1275">
            <v>150000</v>
          </cell>
          <cell r="D1275">
            <v>500420</v>
          </cell>
          <cell r="E1275">
            <v>650420</v>
          </cell>
          <cell r="F1275">
            <v>1705604</v>
          </cell>
          <cell r="G1275">
            <v>2356024</v>
          </cell>
          <cell r="H1275">
            <v>506730</v>
          </cell>
        </row>
        <row r="1276">
          <cell r="A1276" t="str">
            <v>3476</v>
          </cell>
          <cell r="B1276" t="str">
            <v>岩間　吉徳　　　</v>
          </cell>
          <cell r="C1276">
            <v>150000</v>
          </cell>
          <cell r="D1276">
            <v>500420</v>
          </cell>
          <cell r="E1276">
            <v>650420</v>
          </cell>
          <cell r="F1276">
            <v>1560538</v>
          </cell>
          <cell r="G1276">
            <v>2210958</v>
          </cell>
          <cell r="H1276">
            <v>485320</v>
          </cell>
        </row>
        <row r="1277">
          <cell r="A1277" t="str">
            <v>3500</v>
          </cell>
          <cell r="B1277" t="str">
            <v>花森　健一　　　</v>
          </cell>
          <cell r="C1277">
            <v>150000</v>
          </cell>
          <cell r="D1277">
            <v>500420</v>
          </cell>
          <cell r="E1277">
            <v>650420</v>
          </cell>
          <cell r="F1277">
            <v>1695143</v>
          </cell>
          <cell r="G1277">
            <v>2345563</v>
          </cell>
          <cell r="H1277">
            <v>506730</v>
          </cell>
        </row>
        <row r="1278">
          <cell r="A1278" t="str">
            <v>3504</v>
          </cell>
          <cell r="B1278" t="str">
            <v>古家　始　　　　</v>
          </cell>
          <cell r="C1278">
            <v>150000</v>
          </cell>
          <cell r="D1278">
            <v>500420</v>
          </cell>
          <cell r="E1278">
            <v>650420</v>
          </cell>
          <cell r="F1278">
            <v>1572195</v>
          </cell>
          <cell r="G1278">
            <v>2222615</v>
          </cell>
          <cell r="H1278">
            <v>485320</v>
          </cell>
        </row>
        <row r="1279">
          <cell r="A1279" t="str">
            <v>3495</v>
          </cell>
          <cell r="B1279" t="str">
            <v>椿　直哉　　　　</v>
          </cell>
          <cell r="C1279">
            <v>150000</v>
          </cell>
          <cell r="D1279">
            <v>500420</v>
          </cell>
          <cell r="E1279">
            <v>650420</v>
          </cell>
          <cell r="F1279">
            <v>1687875</v>
          </cell>
          <cell r="G1279">
            <v>2338295</v>
          </cell>
          <cell r="H1279">
            <v>506730</v>
          </cell>
        </row>
        <row r="1280">
          <cell r="A1280" t="str">
            <v>3470</v>
          </cell>
          <cell r="B1280" t="str">
            <v>赤木　雅哉　　　</v>
          </cell>
          <cell r="C1280">
            <v>150000</v>
          </cell>
          <cell r="D1280">
            <v>500420</v>
          </cell>
          <cell r="E1280">
            <v>650420</v>
          </cell>
          <cell r="F1280">
            <v>1668445</v>
          </cell>
          <cell r="G1280">
            <v>2318865</v>
          </cell>
          <cell r="H1280">
            <v>483790</v>
          </cell>
        </row>
        <row r="1281">
          <cell r="A1281" t="str">
            <v>3475</v>
          </cell>
          <cell r="B1281" t="str">
            <v>岩城　昌弘　　　</v>
          </cell>
          <cell r="C1281">
            <v>150000</v>
          </cell>
          <cell r="D1281">
            <v>500420</v>
          </cell>
          <cell r="E1281">
            <v>650420</v>
          </cell>
          <cell r="F1281">
            <v>1568799</v>
          </cell>
          <cell r="G1281">
            <v>2219219</v>
          </cell>
          <cell r="H1281">
            <v>471550</v>
          </cell>
        </row>
        <row r="1282">
          <cell r="A1282" t="str">
            <v>3507</v>
          </cell>
          <cell r="B1282" t="str">
            <v>石川　裕子　　　</v>
          </cell>
          <cell r="C1282">
            <v>150000</v>
          </cell>
          <cell r="D1282">
            <v>500420</v>
          </cell>
          <cell r="E1282">
            <v>650420</v>
          </cell>
          <cell r="F1282">
            <v>1589119</v>
          </cell>
          <cell r="G1282">
            <v>2239539</v>
          </cell>
          <cell r="H1282">
            <v>479200</v>
          </cell>
        </row>
        <row r="1283">
          <cell r="A1283" t="str">
            <v>3505</v>
          </cell>
          <cell r="B1283" t="str">
            <v>眞井　洋一　　　</v>
          </cell>
          <cell r="C1283">
            <v>150000</v>
          </cell>
          <cell r="D1283">
            <v>500420</v>
          </cell>
          <cell r="E1283">
            <v>650420</v>
          </cell>
          <cell r="F1283">
            <v>1740675</v>
          </cell>
          <cell r="G1283">
            <v>2391095</v>
          </cell>
          <cell r="H1283">
            <v>506730</v>
          </cell>
        </row>
        <row r="1284">
          <cell r="A1284" t="str">
            <v>3511</v>
          </cell>
          <cell r="B1284" t="str">
            <v>中野　久美子　　</v>
          </cell>
          <cell r="C1284">
            <v>150000</v>
          </cell>
          <cell r="D1284">
            <v>500420</v>
          </cell>
          <cell r="E1284">
            <v>650420</v>
          </cell>
          <cell r="F1284">
            <v>1584267</v>
          </cell>
          <cell r="G1284">
            <v>2234687</v>
          </cell>
          <cell r="H1284">
            <v>479200</v>
          </cell>
        </row>
        <row r="1285">
          <cell r="A1285" t="str">
            <v>3473</v>
          </cell>
          <cell r="B1285" t="str">
            <v>板谷　恭史　　　</v>
          </cell>
          <cell r="C1285">
            <v>150000</v>
          </cell>
          <cell r="D1285">
            <v>500420</v>
          </cell>
          <cell r="E1285">
            <v>650420</v>
          </cell>
          <cell r="F1285">
            <v>1572922</v>
          </cell>
          <cell r="G1285">
            <v>2223342</v>
          </cell>
          <cell r="H1285">
            <v>485320</v>
          </cell>
        </row>
        <row r="1286">
          <cell r="A1286" t="str">
            <v>3488</v>
          </cell>
          <cell r="B1286" t="str">
            <v>小堀　健司　　　</v>
          </cell>
          <cell r="C1286">
            <v>150000</v>
          </cell>
          <cell r="D1286">
            <v>500420</v>
          </cell>
          <cell r="E1286">
            <v>650420</v>
          </cell>
          <cell r="F1286">
            <v>1744062</v>
          </cell>
          <cell r="G1286">
            <v>2394482</v>
          </cell>
          <cell r="H1286">
            <v>506730</v>
          </cell>
        </row>
        <row r="1287">
          <cell r="A1287" t="str">
            <v>3483</v>
          </cell>
          <cell r="B1287" t="str">
            <v>嘉儀　博樹　　　</v>
          </cell>
          <cell r="C1287">
            <v>150000</v>
          </cell>
          <cell r="D1287">
            <v>500420</v>
          </cell>
          <cell r="E1287">
            <v>650420</v>
          </cell>
          <cell r="F1287">
            <v>1684535</v>
          </cell>
          <cell r="G1287">
            <v>2334955</v>
          </cell>
          <cell r="H1287">
            <v>500610</v>
          </cell>
        </row>
        <row r="1288">
          <cell r="A1288" t="str">
            <v>3498</v>
          </cell>
          <cell r="B1288" t="str">
            <v>中原　浩雅　　　</v>
          </cell>
          <cell r="C1288">
            <v>150000</v>
          </cell>
          <cell r="D1288">
            <v>500420</v>
          </cell>
          <cell r="E1288">
            <v>650420</v>
          </cell>
          <cell r="F1288">
            <v>1673395</v>
          </cell>
          <cell r="G1288">
            <v>2323815</v>
          </cell>
          <cell r="H1288">
            <v>483790</v>
          </cell>
        </row>
        <row r="1289">
          <cell r="A1289" t="str">
            <v>3481</v>
          </cell>
          <cell r="B1289" t="str">
            <v>大島　仁　　　　</v>
          </cell>
          <cell r="C1289">
            <v>150000</v>
          </cell>
          <cell r="D1289">
            <v>500420</v>
          </cell>
          <cell r="E1289">
            <v>650420</v>
          </cell>
          <cell r="F1289">
            <v>2272996</v>
          </cell>
          <cell r="G1289">
            <v>2923416</v>
          </cell>
          <cell r="H1289">
            <v>492960</v>
          </cell>
        </row>
        <row r="1290">
          <cell r="A1290" t="str">
            <v>3485</v>
          </cell>
          <cell r="B1290" t="str">
            <v>木下　博正　　　</v>
          </cell>
          <cell r="C1290">
            <v>150000</v>
          </cell>
          <cell r="D1290">
            <v>500420</v>
          </cell>
          <cell r="E1290">
            <v>650420</v>
          </cell>
          <cell r="F1290">
            <v>1577293</v>
          </cell>
          <cell r="G1290">
            <v>2227713</v>
          </cell>
          <cell r="H1290">
            <v>485320</v>
          </cell>
        </row>
        <row r="1291">
          <cell r="A1291" t="str">
            <v>3506</v>
          </cell>
          <cell r="B1291" t="str">
            <v>山本　賢一　　　</v>
          </cell>
          <cell r="C1291">
            <v>150000</v>
          </cell>
          <cell r="D1291">
            <v>500420</v>
          </cell>
          <cell r="E1291">
            <v>650420</v>
          </cell>
          <cell r="F1291">
            <v>1718995</v>
          </cell>
          <cell r="G1291">
            <v>2369415</v>
          </cell>
          <cell r="H1291">
            <v>511320</v>
          </cell>
        </row>
        <row r="1292">
          <cell r="A1292" t="str">
            <v>3478</v>
          </cell>
          <cell r="B1292" t="str">
            <v>江崎　栄亮　　　</v>
          </cell>
          <cell r="C1292">
            <v>150000</v>
          </cell>
          <cell r="D1292">
            <v>500420</v>
          </cell>
          <cell r="E1292">
            <v>650420</v>
          </cell>
          <cell r="F1292">
            <v>1584484</v>
          </cell>
          <cell r="G1292">
            <v>2234904</v>
          </cell>
          <cell r="H1292">
            <v>479200</v>
          </cell>
        </row>
        <row r="1293">
          <cell r="A1293" t="str">
            <v>3491</v>
          </cell>
          <cell r="B1293" t="str">
            <v>菅原　秀樹　　　</v>
          </cell>
          <cell r="C1293">
            <v>150000</v>
          </cell>
          <cell r="D1293">
            <v>500420</v>
          </cell>
          <cell r="E1293">
            <v>650420</v>
          </cell>
          <cell r="F1293">
            <v>1688243</v>
          </cell>
          <cell r="G1293">
            <v>2338663</v>
          </cell>
          <cell r="H1293">
            <v>511320</v>
          </cell>
        </row>
        <row r="1294">
          <cell r="A1294" t="str">
            <v>3502</v>
          </cell>
          <cell r="B1294" t="str">
            <v>平野　太進　　　</v>
          </cell>
          <cell r="C1294">
            <v>150000</v>
          </cell>
          <cell r="D1294">
            <v>500420</v>
          </cell>
          <cell r="E1294">
            <v>650420</v>
          </cell>
          <cell r="F1294">
            <v>1679761</v>
          </cell>
          <cell r="G1294">
            <v>2330181</v>
          </cell>
          <cell r="H1294">
            <v>506730</v>
          </cell>
        </row>
        <row r="1295">
          <cell r="A1295" t="str">
            <v>3487</v>
          </cell>
          <cell r="B1295" t="str">
            <v>鯉川　浩二　　　</v>
          </cell>
          <cell r="C1295">
            <v>150000</v>
          </cell>
          <cell r="D1295">
            <v>500420</v>
          </cell>
          <cell r="E1295">
            <v>650420</v>
          </cell>
          <cell r="F1295">
            <v>1690445</v>
          </cell>
          <cell r="G1295">
            <v>2340865</v>
          </cell>
          <cell r="H1295">
            <v>506730</v>
          </cell>
        </row>
        <row r="1296">
          <cell r="A1296" t="str">
            <v>3474</v>
          </cell>
          <cell r="B1296" t="str">
            <v>稲前　賢治　　　</v>
          </cell>
          <cell r="C1296">
            <v>150000</v>
          </cell>
          <cell r="D1296">
            <v>500420</v>
          </cell>
          <cell r="E1296">
            <v>650420</v>
          </cell>
          <cell r="F1296">
            <v>2082968</v>
          </cell>
          <cell r="G1296">
            <v>2733388</v>
          </cell>
          <cell r="H1296">
            <v>506730</v>
          </cell>
        </row>
        <row r="1297">
          <cell r="A1297" t="str">
            <v>3490</v>
          </cell>
          <cell r="B1297" t="str">
            <v>佐々木　正文　　</v>
          </cell>
          <cell r="C1297">
            <v>150000</v>
          </cell>
          <cell r="D1297">
            <v>500420</v>
          </cell>
          <cell r="E1297">
            <v>650420</v>
          </cell>
          <cell r="F1297">
            <v>1647918</v>
          </cell>
          <cell r="G1297">
            <v>2298338</v>
          </cell>
          <cell r="H1297">
            <v>485320</v>
          </cell>
        </row>
        <row r="1298">
          <cell r="A1298" t="str">
            <v>3484</v>
          </cell>
          <cell r="B1298" t="str">
            <v>川浪　巌　　　　</v>
          </cell>
          <cell r="C1298">
            <v>150000</v>
          </cell>
          <cell r="D1298">
            <v>500420</v>
          </cell>
          <cell r="E1298">
            <v>650420</v>
          </cell>
          <cell r="F1298">
            <v>2434597</v>
          </cell>
          <cell r="G1298">
            <v>3085017</v>
          </cell>
          <cell r="H1298">
            <v>511320</v>
          </cell>
        </row>
        <row r="1299">
          <cell r="A1299" t="str">
            <v>3472</v>
          </cell>
          <cell r="B1299" t="str">
            <v>石川　一輝　　　</v>
          </cell>
          <cell r="C1299">
            <v>150000</v>
          </cell>
          <cell r="D1299">
            <v>500420</v>
          </cell>
          <cell r="E1299">
            <v>650420</v>
          </cell>
          <cell r="F1299">
            <v>1713652</v>
          </cell>
          <cell r="G1299">
            <v>2364072</v>
          </cell>
          <cell r="H1299">
            <v>511320</v>
          </cell>
        </row>
        <row r="1300">
          <cell r="A1300" t="str">
            <v>3496</v>
          </cell>
          <cell r="B1300" t="str">
            <v>藤木　史和　　　</v>
          </cell>
          <cell r="C1300">
            <v>150000</v>
          </cell>
          <cell r="D1300">
            <v>500420</v>
          </cell>
          <cell r="E1300">
            <v>650420</v>
          </cell>
          <cell r="F1300">
            <v>1635574</v>
          </cell>
          <cell r="G1300">
            <v>2285994</v>
          </cell>
          <cell r="H1300">
            <v>485320</v>
          </cell>
        </row>
        <row r="1301">
          <cell r="A1301" t="str">
            <v>3486</v>
          </cell>
          <cell r="B1301" t="str">
            <v>桑原　健悟　　　</v>
          </cell>
          <cell r="C1301">
            <v>150000</v>
          </cell>
          <cell r="D1301">
            <v>500420</v>
          </cell>
          <cell r="E1301">
            <v>650420</v>
          </cell>
          <cell r="F1301">
            <v>1682675</v>
          </cell>
          <cell r="G1301">
            <v>2333095</v>
          </cell>
          <cell r="H1301">
            <v>506730</v>
          </cell>
        </row>
        <row r="1302">
          <cell r="A1302" t="str">
            <v>3503</v>
          </cell>
          <cell r="B1302" t="str">
            <v>藤本　忍　　　　</v>
          </cell>
          <cell r="C1302">
            <v>150000</v>
          </cell>
          <cell r="D1302">
            <v>500420</v>
          </cell>
          <cell r="E1302">
            <v>650420</v>
          </cell>
          <cell r="F1302">
            <v>1574547</v>
          </cell>
          <cell r="G1302">
            <v>2224967</v>
          </cell>
          <cell r="H1302">
            <v>479200</v>
          </cell>
        </row>
        <row r="1303">
          <cell r="A1303" t="str">
            <v>3501</v>
          </cell>
          <cell r="B1303" t="str">
            <v>平尾　紀明　　　</v>
          </cell>
          <cell r="C1303">
            <v>150000</v>
          </cell>
          <cell r="D1303">
            <v>500420</v>
          </cell>
          <cell r="E1303">
            <v>650420</v>
          </cell>
          <cell r="F1303">
            <v>1653905</v>
          </cell>
          <cell r="G1303">
            <v>2304325</v>
          </cell>
          <cell r="H1303">
            <v>479200</v>
          </cell>
        </row>
        <row r="1304">
          <cell r="A1304" t="str">
            <v>3510</v>
          </cell>
          <cell r="B1304" t="str">
            <v>田中　章恵　　　</v>
          </cell>
          <cell r="C1304">
            <v>150000</v>
          </cell>
          <cell r="D1304">
            <v>500420</v>
          </cell>
          <cell r="E1304">
            <v>650420</v>
          </cell>
          <cell r="F1304">
            <v>1704985</v>
          </cell>
          <cell r="G1304">
            <v>2355405</v>
          </cell>
          <cell r="H1304">
            <v>485320</v>
          </cell>
        </row>
        <row r="1305">
          <cell r="A1305" t="str">
            <v>3492</v>
          </cell>
          <cell r="B1305" t="str">
            <v>鈴木　英俊　　　</v>
          </cell>
          <cell r="C1305">
            <v>150000</v>
          </cell>
          <cell r="D1305">
            <v>500420</v>
          </cell>
          <cell r="E1305">
            <v>650420</v>
          </cell>
          <cell r="F1305">
            <v>1594777</v>
          </cell>
          <cell r="G1305">
            <v>2245197</v>
          </cell>
          <cell r="H1305">
            <v>485320</v>
          </cell>
        </row>
        <row r="1306">
          <cell r="A1306" t="str">
            <v>3185</v>
          </cell>
          <cell r="B1306" t="str">
            <v>井上　英司　　　</v>
          </cell>
          <cell r="C1306">
            <v>453030</v>
          </cell>
          <cell r="D1306">
            <v>500180</v>
          </cell>
          <cell r="E1306">
            <v>953210</v>
          </cell>
          <cell r="F1306">
            <v>2373918</v>
          </cell>
          <cell r="G1306">
            <v>3327128</v>
          </cell>
          <cell r="H1306">
            <v>488160</v>
          </cell>
        </row>
        <row r="1307">
          <cell r="A1307" t="str">
            <v>2406</v>
          </cell>
          <cell r="B1307" t="str">
            <v>片山　眞由美　　</v>
          </cell>
          <cell r="C1307">
            <v>419720</v>
          </cell>
          <cell r="D1307">
            <v>497780</v>
          </cell>
          <cell r="E1307">
            <v>917500</v>
          </cell>
          <cell r="F1307">
            <v>2608980</v>
          </cell>
          <cell r="G1307">
            <v>3526480</v>
          </cell>
          <cell r="H1307">
            <v>449160</v>
          </cell>
        </row>
        <row r="1308">
          <cell r="A1308" t="str">
            <v>2751</v>
          </cell>
          <cell r="B1308" t="str">
            <v>二木　陽子　　　</v>
          </cell>
          <cell r="C1308">
            <v>419720</v>
          </cell>
          <cell r="D1308">
            <v>497780</v>
          </cell>
          <cell r="E1308">
            <v>917500</v>
          </cell>
          <cell r="F1308">
            <v>2140674</v>
          </cell>
          <cell r="G1308">
            <v>3058174</v>
          </cell>
          <cell r="H1308">
            <v>434660</v>
          </cell>
        </row>
        <row r="1309">
          <cell r="A1309" t="str">
            <v>3186</v>
          </cell>
          <cell r="B1309" t="str">
            <v>西尾　武俊　　　</v>
          </cell>
          <cell r="C1309">
            <v>433790</v>
          </cell>
          <cell r="D1309">
            <v>497680</v>
          </cell>
          <cell r="E1309">
            <v>931470</v>
          </cell>
          <cell r="F1309">
            <v>2180729</v>
          </cell>
          <cell r="G1309">
            <v>3112199</v>
          </cell>
          <cell r="H1309">
            <v>473490</v>
          </cell>
        </row>
        <row r="1310">
          <cell r="A1310" t="str">
            <v>3291</v>
          </cell>
          <cell r="B1310" t="str">
            <v>石渡　弘幸　　　</v>
          </cell>
          <cell r="C1310">
            <v>439910</v>
          </cell>
          <cell r="D1310">
            <v>496690</v>
          </cell>
          <cell r="E1310">
            <v>936600</v>
          </cell>
          <cell r="F1310">
            <v>2169712</v>
          </cell>
          <cell r="G1310">
            <v>3106312</v>
          </cell>
          <cell r="H1310">
            <v>456300</v>
          </cell>
        </row>
        <row r="1311">
          <cell r="A1311" t="str">
            <v>3118</v>
          </cell>
          <cell r="B1311" t="str">
            <v>下山　紀子　　　</v>
          </cell>
          <cell r="C1311">
            <v>442760</v>
          </cell>
          <cell r="D1311">
            <v>496650</v>
          </cell>
          <cell r="E1311">
            <v>939410</v>
          </cell>
          <cell r="F1311">
            <v>2579205</v>
          </cell>
          <cell r="G1311">
            <v>3518615</v>
          </cell>
          <cell r="H1311">
            <v>481260</v>
          </cell>
        </row>
        <row r="1312">
          <cell r="A1312" t="str">
            <v>2404</v>
          </cell>
          <cell r="B1312" t="str">
            <v>臼田　玲子　　　</v>
          </cell>
          <cell r="C1312">
            <v>417700</v>
          </cell>
          <cell r="D1312">
            <v>495030</v>
          </cell>
          <cell r="E1312">
            <v>912730</v>
          </cell>
          <cell r="F1312">
            <v>2566754</v>
          </cell>
          <cell r="G1312">
            <v>3479484</v>
          </cell>
          <cell r="H1312">
            <v>446690</v>
          </cell>
        </row>
        <row r="1313">
          <cell r="A1313" t="str">
            <v>1880</v>
          </cell>
          <cell r="B1313" t="str">
            <v>住田　サチ子　　</v>
          </cell>
          <cell r="C1313">
            <v>411620</v>
          </cell>
          <cell r="D1313">
            <v>494080</v>
          </cell>
          <cell r="E1313">
            <v>905700</v>
          </cell>
          <cell r="F1313">
            <v>2252980</v>
          </cell>
          <cell r="G1313">
            <v>3158680</v>
          </cell>
          <cell r="H1313">
            <v>431770</v>
          </cell>
        </row>
        <row r="1314">
          <cell r="A1314" t="str">
            <v>2757</v>
          </cell>
          <cell r="B1314" t="str">
            <v>井口　恵子　　　</v>
          </cell>
          <cell r="C1314">
            <v>436670</v>
          </cell>
          <cell r="D1314">
            <v>490470</v>
          </cell>
          <cell r="E1314">
            <v>927140</v>
          </cell>
          <cell r="F1314">
            <v>2351435</v>
          </cell>
          <cell r="G1314">
            <v>3278575</v>
          </cell>
          <cell r="H1314">
            <v>443450</v>
          </cell>
        </row>
        <row r="1315">
          <cell r="A1315" t="str">
            <v>3204</v>
          </cell>
          <cell r="B1315" t="str">
            <v>渡辺　隆行　　　</v>
          </cell>
          <cell r="C1315">
            <v>416270</v>
          </cell>
          <cell r="D1315">
            <v>486920</v>
          </cell>
          <cell r="E1315">
            <v>903190</v>
          </cell>
          <cell r="F1315">
            <v>2010360</v>
          </cell>
          <cell r="G1315">
            <v>2913550</v>
          </cell>
          <cell r="H1315">
            <v>447470</v>
          </cell>
        </row>
        <row r="1316">
          <cell r="A1316" t="str">
            <v>3451</v>
          </cell>
          <cell r="B1316" t="str">
            <v>角田　誠　　　　</v>
          </cell>
          <cell r="C1316">
            <v>419250</v>
          </cell>
          <cell r="D1316">
            <v>486290</v>
          </cell>
          <cell r="E1316">
            <v>905540</v>
          </cell>
          <cell r="F1316">
            <v>2878437</v>
          </cell>
          <cell r="G1316">
            <v>3783977</v>
          </cell>
          <cell r="H1316">
            <v>455070</v>
          </cell>
        </row>
        <row r="1317">
          <cell r="A1317" t="str">
            <v>2863</v>
          </cell>
          <cell r="B1317" t="str">
            <v>藤田　知世　　　</v>
          </cell>
          <cell r="C1317">
            <v>434500</v>
          </cell>
          <cell r="D1317">
            <v>485280</v>
          </cell>
          <cell r="E1317">
            <v>919780</v>
          </cell>
          <cell r="F1317">
            <v>2289446</v>
          </cell>
          <cell r="G1317">
            <v>3209226</v>
          </cell>
          <cell r="H1317">
            <v>434600</v>
          </cell>
        </row>
        <row r="1318">
          <cell r="A1318" t="str">
            <v>2864</v>
          </cell>
          <cell r="B1318" t="str">
            <v>矢野　敦子　　　</v>
          </cell>
          <cell r="C1318">
            <v>436580</v>
          </cell>
          <cell r="D1318">
            <v>485280</v>
          </cell>
          <cell r="E1318">
            <v>921860</v>
          </cell>
          <cell r="F1318">
            <v>2278137</v>
          </cell>
          <cell r="G1318">
            <v>3199997</v>
          </cell>
          <cell r="H1318">
            <v>441770</v>
          </cell>
        </row>
        <row r="1319">
          <cell r="A1319" t="str">
            <v>3418</v>
          </cell>
          <cell r="B1319" t="str">
            <v>武村　孝　　　　</v>
          </cell>
          <cell r="C1319">
            <v>419830</v>
          </cell>
          <cell r="D1319">
            <v>484630</v>
          </cell>
          <cell r="E1319">
            <v>904460</v>
          </cell>
          <cell r="F1319">
            <v>2118686</v>
          </cell>
          <cell r="G1319">
            <v>3023146</v>
          </cell>
          <cell r="H1319">
            <v>438680</v>
          </cell>
        </row>
        <row r="1320">
          <cell r="A1320" t="str">
            <v>1865</v>
          </cell>
          <cell r="B1320" t="str">
            <v>芦田　愛子　　　</v>
          </cell>
          <cell r="C1320">
            <v>416000</v>
          </cell>
          <cell r="D1320">
            <v>484340</v>
          </cell>
          <cell r="E1320">
            <v>900340</v>
          </cell>
          <cell r="F1320">
            <v>2834713</v>
          </cell>
          <cell r="G1320">
            <v>3735053</v>
          </cell>
          <cell r="H1320">
            <v>438740</v>
          </cell>
        </row>
        <row r="1321">
          <cell r="A1321" t="str">
            <v>2838</v>
          </cell>
          <cell r="B1321" t="str">
            <v>野元　和彦　　　</v>
          </cell>
          <cell r="C1321">
            <v>447460</v>
          </cell>
          <cell r="D1321">
            <v>482420</v>
          </cell>
          <cell r="E1321">
            <v>929880</v>
          </cell>
          <cell r="F1321">
            <v>2174805</v>
          </cell>
          <cell r="G1321">
            <v>3104685</v>
          </cell>
          <cell r="H1321">
            <v>451790</v>
          </cell>
        </row>
        <row r="1322">
          <cell r="A1322" t="str">
            <v>3081</v>
          </cell>
          <cell r="B1322" t="str">
            <v>西嶋　史代　　　</v>
          </cell>
          <cell r="C1322">
            <v>416330</v>
          </cell>
          <cell r="D1322">
            <v>479290</v>
          </cell>
          <cell r="E1322">
            <v>895620</v>
          </cell>
          <cell r="F1322">
            <v>2686591</v>
          </cell>
          <cell r="G1322">
            <v>3582211</v>
          </cell>
          <cell r="H1322">
            <v>462970</v>
          </cell>
        </row>
        <row r="1323">
          <cell r="A1323" t="str">
            <v>2182</v>
          </cell>
          <cell r="B1323" t="str">
            <v>花田　由美子　　</v>
          </cell>
          <cell r="C1323">
            <v>439940</v>
          </cell>
          <cell r="D1323">
            <v>479220</v>
          </cell>
          <cell r="E1323">
            <v>919160</v>
          </cell>
          <cell r="F1323">
            <v>2257615</v>
          </cell>
          <cell r="G1323">
            <v>3176775</v>
          </cell>
          <cell r="H1323">
            <v>443900</v>
          </cell>
        </row>
        <row r="1324">
          <cell r="A1324" t="str">
            <v>1400</v>
          </cell>
          <cell r="B1324" t="str">
            <v>後藤　繁美　　　</v>
          </cell>
          <cell r="C1324">
            <v>430870</v>
          </cell>
          <cell r="D1324">
            <v>478560</v>
          </cell>
          <cell r="E1324">
            <v>909430</v>
          </cell>
          <cell r="F1324">
            <v>2151585</v>
          </cell>
          <cell r="G1324">
            <v>3061015</v>
          </cell>
          <cell r="H1324">
            <v>445000</v>
          </cell>
        </row>
        <row r="1325">
          <cell r="A1325" t="str">
            <v>3202</v>
          </cell>
          <cell r="B1325" t="str">
            <v>永井　祐二　　　</v>
          </cell>
          <cell r="C1325">
            <v>416270</v>
          </cell>
          <cell r="D1325">
            <v>478360</v>
          </cell>
          <cell r="E1325">
            <v>894630</v>
          </cell>
          <cell r="F1325">
            <v>2377403</v>
          </cell>
          <cell r="G1325">
            <v>3272033</v>
          </cell>
          <cell r="H1325">
            <v>456620</v>
          </cell>
        </row>
        <row r="1326">
          <cell r="A1326" t="str">
            <v>3259</v>
          </cell>
          <cell r="B1326" t="str">
            <v>佐藤　陽子　　　</v>
          </cell>
          <cell r="C1326">
            <v>401800</v>
          </cell>
          <cell r="D1326">
            <v>477700</v>
          </cell>
          <cell r="E1326">
            <v>879500</v>
          </cell>
          <cell r="F1326">
            <v>2676939</v>
          </cell>
          <cell r="G1326">
            <v>3556439</v>
          </cell>
          <cell r="H1326">
            <v>436890</v>
          </cell>
        </row>
        <row r="1327">
          <cell r="A1327" t="str">
            <v>3047</v>
          </cell>
          <cell r="B1327" t="str">
            <v>秦　奈苗　　　　</v>
          </cell>
          <cell r="C1327">
            <v>407560</v>
          </cell>
          <cell r="D1327">
            <v>477630</v>
          </cell>
          <cell r="E1327">
            <v>885190</v>
          </cell>
          <cell r="F1327">
            <v>2230493</v>
          </cell>
          <cell r="G1327">
            <v>3115683</v>
          </cell>
          <cell r="H1327">
            <v>413450</v>
          </cell>
        </row>
        <row r="1328">
          <cell r="A1328" t="str">
            <v>2405</v>
          </cell>
          <cell r="B1328" t="str">
            <v>大川　ひろみ　　</v>
          </cell>
          <cell r="C1328">
            <v>404690</v>
          </cell>
          <cell r="D1328">
            <v>472860</v>
          </cell>
          <cell r="E1328">
            <v>877550</v>
          </cell>
          <cell r="F1328">
            <v>2242090</v>
          </cell>
          <cell r="G1328">
            <v>3119640</v>
          </cell>
          <cell r="H1328">
            <v>427480</v>
          </cell>
        </row>
        <row r="1329">
          <cell r="A1329" t="str">
            <v>2410</v>
          </cell>
          <cell r="B1329" t="str">
            <v>竹岡　明美　　　</v>
          </cell>
          <cell r="C1329">
            <v>404690</v>
          </cell>
          <cell r="D1329">
            <v>472860</v>
          </cell>
          <cell r="E1329">
            <v>877550</v>
          </cell>
          <cell r="F1329">
            <v>2307026</v>
          </cell>
          <cell r="G1329">
            <v>3184576</v>
          </cell>
          <cell r="H1329">
            <v>427480</v>
          </cell>
        </row>
        <row r="1330">
          <cell r="A1330" t="str">
            <v>3057</v>
          </cell>
          <cell r="B1330" t="str">
            <v>向出　里美　　　</v>
          </cell>
          <cell r="C1330">
            <v>414730</v>
          </cell>
          <cell r="D1330">
            <v>471690</v>
          </cell>
          <cell r="E1330">
            <v>886420</v>
          </cell>
          <cell r="F1330">
            <v>2108448</v>
          </cell>
          <cell r="G1330">
            <v>2994868</v>
          </cell>
          <cell r="H1330">
            <v>415450</v>
          </cell>
        </row>
        <row r="1331">
          <cell r="A1331" t="str">
            <v>3227</v>
          </cell>
          <cell r="B1331" t="str">
            <v>河村　美津子　　</v>
          </cell>
          <cell r="C1331">
            <v>418200</v>
          </cell>
          <cell r="D1331">
            <v>471340</v>
          </cell>
          <cell r="E1331">
            <v>889540</v>
          </cell>
          <cell r="F1331">
            <v>2491068</v>
          </cell>
          <cell r="G1331">
            <v>3380608</v>
          </cell>
          <cell r="H1331">
            <v>447790</v>
          </cell>
        </row>
        <row r="1332">
          <cell r="A1332" t="str">
            <v>2533</v>
          </cell>
          <cell r="B1332" t="str">
            <v>前田　明子　　　</v>
          </cell>
          <cell r="C1332">
            <v>415660</v>
          </cell>
          <cell r="D1332">
            <v>470110</v>
          </cell>
          <cell r="E1332">
            <v>885770</v>
          </cell>
          <cell r="F1332">
            <v>2117578</v>
          </cell>
          <cell r="G1332">
            <v>3003348</v>
          </cell>
          <cell r="H1332">
            <v>421430</v>
          </cell>
        </row>
        <row r="1333">
          <cell r="A1333" t="str">
            <v>0611</v>
          </cell>
          <cell r="B1333" t="str">
            <v>品川　美和子　　</v>
          </cell>
          <cell r="C1333">
            <v>425780</v>
          </cell>
          <cell r="D1333">
            <v>469210</v>
          </cell>
          <cell r="E1333">
            <v>894990</v>
          </cell>
          <cell r="F1333">
            <v>2510857</v>
          </cell>
          <cell r="G1333">
            <v>3405847</v>
          </cell>
          <cell r="H1333">
            <v>423380</v>
          </cell>
        </row>
        <row r="1334">
          <cell r="A1334" t="str">
            <v>2538</v>
          </cell>
          <cell r="B1334" t="str">
            <v>向井　康江　　　</v>
          </cell>
          <cell r="C1334">
            <v>402730</v>
          </cell>
          <cell r="D1334">
            <v>467870</v>
          </cell>
          <cell r="E1334">
            <v>870600</v>
          </cell>
          <cell r="F1334">
            <v>2089359</v>
          </cell>
          <cell r="G1334">
            <v>2959959</v>
          </cell>
          <cell r="H1334">
            <v>419430</v>
          </cell>
        </row>
        <row r="1335">
          <cell r="A1335" t="str">
            <v>2534</v>
          </cell>
          <cell r="B1335" t="str">
            <v>荒木　治子　　　</v>
          </cell>
          <cell r="C1335">
            <v>413650</v>
          </cell>
          <cell r="D1335">
            <v>467870</v>
          </cell>
          <cell r="E1335">
            <v>881520</v>
          </cell>
          <cell r="F1335">
            <v>2191227</v>
          </cell>
          <cell r="G1335">
            <v>3072747</v>
          </cell>
          <cell r="H1335">
            <v>419430</v>
          </cell>
        </row>
        <row r="1336">
          <cell r="A1336" t="str">
            <v>3407</v>
          </cell>
          <cell r="B1336" t="str">
            <v>浅野　法子　　　</v>
          </cell>
          <cell r="C1336">
            <v>456920</v>
          </cell>
          <cell r="D1336">
            <v>466410</v>
          </cell>
          <cell r="E1336">
            <v>923330</v>
          </cell>
          <cell r="F1336">
            <v>2937042</v>
          </cell>
          <cell r="G1336">
            <v>3860372</v>
          </cell>
          <cell r="H1336">
            <v>459090</v>
          </cell>
        </row>
        <row r="1337">
          <cell r="A1337" t="str">
            <v>3078</v>
          </cell>
          <cell r="B1337" t="str">
            <v>江草　佳美　　　</v>
          </cell>
          <cell r="C1337">
            <v>392310</v>
          </cell>
          <cell r="D1337">
            <v>465650</v>
          </cell>
          <cell r="E1337">
            <v>857960</v>
          </cell>
          <cell r="F1337">
            <v>2424039</v>
          </cell>
          <cell r="G1337">
            <v>3281999</v>
          </cell>
          <cell r="H1337">
            <v>417430</v>
          </cell>
        </row>
        <row r="1338">
          <cell r="A1338" t="str">
            <v>3463</v>
          </cell>
          <cell r="B1338" t="str">
            <v>池田　有紀子　　</v>
          </cell>
          <cell r="C1338">
            <v>115000</v>
          </cell>
          <cell r="D1338">
            <v>464370</v>
          </cell>
          <cell r="E1338">
            <v>579370</v>
          </cell>
          <cell r="F1338">
            <v>1929153</v>
          </cell>
          <cell r="G1338">
            <v>2508523</v>
          </cell>
          <cell r="H1338">
            <v>439780</v>
          </cell>
        </row>
        <row r="1339">
          <cell r="A1339" t="str">
            <v>3056</v>
          </cell>
          <cell r="B1339" t="str">
            <v>不破　和美　　　</v>
          </cell>
          <cell r="C1339">
            <v>416800</v>
          </cell>
          <cell r="D1339">
            <v>463440</v>
          </cell>
          <cell r="E1339">
            <v>880240</v>
          </cell>
          <cell r="F1339">
            <v>2113842</v>
          </cell>
          <cell r="G1339">
            <v>2994082</v>
          </cell>
          <cell r="H1339">
            <v>415450</v>
          </cell>
        </row>
        <row r="1340">
          <cell r="A1340" t="str">
            <v>3390</v>
          </cell>
          <cell r="B1340" t="str">
            <v>井上　貴文　　　</v>
          </cell>
          <cell r="C1340">
            <v>395000</v>
          </cell>
          <cell r="D1340">
            <v>462630</v>
          </cell>
          <cell r="E1340">
            <v>857630</v>
          </cell>
          <cell r="F1340">
            <v>2110446</v>
          </cell>
          <cell r="G1340">
            <v>2968076</v>
          </cell>
          <cell r="H1340">
            <v>422380</v>
          </cell>
        </row>
        <row r="1341">
          <cell r="A1341" t="str">
            <v>1881</v>
          </cell>
          <cell r="B1341" t="str">
            <v>稲田　信子　　　</v>
          </cell>
          <cell r="C1341">
            <v>398230</v>
          </cell>
          <cell r="D1341">
            <v>461270</v>
          </cell>
          <cell r="E1341">
            <v>859500</v>
          </cell>
          <cell r="F1341">
            <v>2214886</v>
          </cell>
          <cell r="G1341">
            <v>3074386</v>
          </cell>
          <cell r="H1341">
            <v>417860</v>
          </cell>
        </row>
        <row r="1342">
          <cell r="A1342" t="str">
            <v>2289</v>
          </cell>
          <cell r="B1342" t="str">
            <v>安部　貴美　　　</v>
          </cell>
          <cell r="C1342">
            <v>410600</v>
          </cell>
          <cell r="D1342">
            <v>461270</v>
          </cell>
          <cell r="E1342">
            <v>871870</v>
          </cell>
          <cell r="F1342">
            <v>2199390</v>
          </cell>
          <cell r="G1342">
            <v>3071260</v>
          </cell>
          <cell r="H1342">
            <v>432270</v>
          </cell>
        </row>
        <row r="1343">
          <cell r="A1343" t="str">
            <v>1403</v>
          </cell>
          <cell r="B1343" t="str">
            <v>船倉　真由美　　</v>
          </cell>
          <cell r="C1343">
            <v>410600</v>
          </cell>
          <cell r="D1343">
            <v>461270</v>
          </cell>
          <cell r="E1343">
            <v>871870</v>
          </cell>
          <cell r="F1343">
            <v>2359991</v>
          </cell>
          <cell r="G1343">
            <v>3231861</v>
          </cell>
          <cell r="H1343">
            <v>417860</v>
          </cell>
        </row>
        <row r="1344">
          <cell r="A1344" t="str">
            <v>2531</v>
          </cell>
          <cell r="B1344" t="str">
            <v>長野　美佐子　　</v>
          </cell>
          <cell r="C1344">
            <v>407560</v>
          </cell>
          <cell r="D1344">
            <v>461200</v>
          </cell>
          <cell r="E1344">
            <v>868760</v>
          </cell>
          <cell r="F1344">
            <v>2245029</v>
          </cell>
          <cell r="G1344">
            <v>3113789</v>
          </cell>
          <cell r="H1344">
            <v>413450</v>
          </cell>
        </row>
        <row r="1345">
          <cell r="A1345" t="str">
            <v>2522</v>
          </cell>
          <cell r="B1345" t="str">
            <v>岡部　夕子　　　</v>
          </cell>
          <cell r="C1345">
            <v>407560</v>
          </cell>
          <cell r="D1345">
            <v>461200</v>
          </cell>
          <cell r="E1345">
            <v>868760</v>
          </cell>
          <cell r="F1345">
            <v>2089495</v>
          </cell>
          <cell r="G1345">
            <v>2958255</v>
          </cell>
          <cell r="H1345">
            <v>413450</v>
          </cell>
        </row>
        <row r="1346">
          <cell r="A1346" t="str">
            <v>3356</v>
          </cell>
          <cell r="B1346" t="str">
            <v>若井　武夫　　　</v>
          </cell>
          <cell r="C1346">
            <v>401250</v>
          </cell>
          <cell r="D1346">
            <v>461130</v>
          </cell>
          <cell r="E1346">
            <v>862380</v>
          </cell>
          <cell r="F1346">
            <v>2140607</v>
          </cell>
          <cell r="G1346">
            <v>3002987</v>
          </cell>
          <cell r="H1346">
            <v>440050</v>
          </cell>
        </row>
        <row r="1347">
          <cell r="A1347" t="str">
            <v>3355</v>
          </cell>
          <cell r="B1347" t="str">
            <v>河野　修一　　　</v>
          </cell>
          <cell r="C1347">
            <v>401250</v>
          </cell>
          <cell r="D1347">
            <v>461130</v>
          </cell>
          <cell r="E1347">
            <v>862380</v>
          </cell>
          <cell r="F1347">
            <v>2058381</v>
          </cell>
          <cell r="G1347">
            <v>2920761</v>
          </cell>
          <cell r="H1347">
            <v>440050</v>
          </cell>
        </row>
        <row r="1348">
          <cell r="A1348" t="str">
            <v>3203</v>
          </cell>
          <cell r="B1348" t="str">
            <v>橋本　健　　　　</v>
          </cell>
          <cell r="C1348">
            <v>407240</v>
          </cell>
          <cell r="D1348">
            <v>459760</v>
          </cell>
          <cell r="E1348">
            <v>867000</v>
          </cell>
          <cell r="F1348">
            <v>2084339</v>
          </cell>
          <cell r="G1348">
            <v>2951339</v>
          </cell>
          <cell r="H1348">
            <v>434620</v>
          </cell>
        </row>
        <row r="1349">
          <cell r="A1349" t="str">
            <v>0234</v>
          </cell>
          <cell r="B1349" t="str">
            <v>森江　秀雄　　　</v>
          </cell>
          <cell r="C1349">
            <v>455480</v>
          </cell>
          <cell r="D1349">
            <v>459700</v>
          </cell>
          <cell r="E1349">
            <v>915180</v>
          </cell>
          <cell r="F1349">
            <v>2563290</v>
          </cell>
          <cell r="G1349">
            <v>3478470</v>
          </cell>
          <cell r="H1349">
            <v>426170</v>
          </cell>
        </row>
        <row r="1350">
          <cell r="A1350" t="str">
            <v>2521</v>
          </cell>
          <cell r="B1350" t="str">
            <v>井上　準子　　　</v>
          </cell>
          <cell r="C1350">
            <v>398770</v>
          </cell>
          <cell r="D1350">
            <v>458970</v>
          </cell>
          <cell r="E1350">
            <v>857740</v>
          </cell>
          <cell r="F1350">
            <v>2222969</v>
          </cell>
          <cell r="G1350">
            <v>3080709</v>
          </cell>
          <cell r="H1350">
            <v>401090</v>
          </cell>
        </row>
        <row r="1351">
          <cell r="A1351" t="str">
            <v>3436</v>
          </cell>
          <cell r="B1351" t="str">
            <v>稲毛　秀昭　　　</v>
          </cell>
          <cell r="C1351">
            <v>404940</v>
          </cell>
          <cell r="D1351">
            <v>458450</v>
          </cell>
          <cell r="E1351">
            <v>863390</v>
          </cell>
          <cell r="F1351">
            <v>2412512</v>
          </cell>
          <cell r="G1351">
            <v>3275902</v>
          </cell>
          <cell r="H1351">
            <v>428060</v>
          </cell>
        </row>
        <row r="1352">
          <cell r="A1352" t="str">
            <v>2701</v>
          </cell>
          <cell r="B1352" t="str">
            <v>鶴田　三恵子　　</v>
          </cell>
          <cell r="C1352">
            <v>399470</v>
          </cell>
          <cell r="D1352">
            <v>458070</v>
          </cell>
          <cell r="E1352">
            <v>857540</v>
          </cell>
          <cell r="F1352">
            <v>2630018</v>
          </cell>
          <cell r="G1352">
            <v>3487558</v>
          </cell>
          <cell r="H1352">
            <v>403460</v>
          </cell>
        </row>
        <row r="1353">
          <cell r="A1353" t="str">
            <v>2920</v>
          </cell>
          <cell r="B1353" t="str">
            <v>加藤　夏美　　　</v>
          </cell>
          <cell r="C1353">
            <v>399470</v>
          </cell>
          <cell r="D1353">
            <v>458070</v>
          </cell>
          <cell r="E1353">
            <v>857540</v>
          </cell>
          <cell r="F1353">
            <v>2025563</v>
          </cell>
          <cell r="G1353">
            <v>2883103</v>
          </cell>
          <cell r="H1353">
            <v>410220</v>
          </cell>
        </row>
        <row r="1354">
          <cell r="A1354" t="str">
            <v>2875</v>
          </cell>
          <cell r="B1354" t="str">
            <v>南出　惠子　　　</v>
          </cell>
          <cell r="C1354">
            <v>402370</v>
          </cell>
          <cell r="D1354">
            <v>458070</v>
          </cell>
          <cell r="E1354">
            <v>860440</v>
          </cell>
          <cell r="F1354">
            <v>2061334</v>
          </cell>
          <cell r="G1354">
            <v>2921774</v>
          </cell>
          <cell r="H1354">
            <v>410220</v>
          </cell>
        </row>
        <row r="1355">
          <cell r="A1355" t="str">
            <v>3040</v>
          </cell>
          <cell r="B1355" t="str">
            <v>安藤　雅子　　　</v>
          </cell>
          <cell r="C1355">
            <v>405550</v>
          </cell>
          <cell r="D1355">
            <v>456730</v>
          </cell>
          <cell r="E1355">
            <v>862280</v>
          </cell>
          <cell r="F1355">
            <v>2114246</v>
          </cell>
          <cell r="G1355">
            <v>2976526</v>
          </cell>
          <cell r="H1355">
            <v>409440</v>
          </cell>
        </row>
        <row r="1356">
          <cell r="A1356" t="str">
            <v>2705</v>
          </cell>
          <cell r="B1356" t="str">
            <v>寺原　常予　　　</v>
          </cell>
          <cell r="C1356">
            <v>403510</v>
          </cell>
          <cell r="D1356">
            <v>456730</v>
          </cell>
          <cell r="E1356">
            <v>860240</v>
          </cell>
          <cell r="F1356">
            <v>2047154</v>
          </cell>
          <cell r="G1356">
            <v>2907394</v>
          </cell>
          <cell r="H1356">
            <v>409440</v>
          </cell>
        </row>
        <row r="1357">
          <cell r="A1357" t="str">
            <v>2856</v>
          </cell>
          <cell r="B1357" t="str">
            <v>小川　和子　　　</v>
          </cell>
          <cell r="C1357">
            <v>404690</v>
          </cell>
          <cell r="D1357">
            <v>455380</v>
          </cell>
          <cell r="E1357">
            <v>860070</v>
          </cell>
          <cell r="F1357">
            <v>2192966</v>
          </cell>
          <cell r="G1357">
            <v>3053036</v>
          </cell>
          <cell r="H1357">
            <v>408870</v>
          </cell>
        </row>
        <row r="1358">
          <cell r="A1358" t="str">
            <v>3082</v>
          </cell>
          <cell r="B1358" t="str">
            <v>坂田　有希子　　</v>
          </cell>
          <cell r="C1358">
            <v>377930</v>
          </cell>
          <cell r="D1358">
            <v>454530</v>
          </cell>
          <cell r="E1358">
            <v>832460</v>
          </cell>
          <cell r="F1358">
            <v>2043850</v>
          </cell>
          <cell r="G1358">
            <v>2876310</v>
          </cell>
          <cell r="H1358">
            <v>407460</v>
          </cell>
        </row>
        <row r="1359">
          <cell r="A1359" t="str">
            <v>2754</v>
          </cell>
          <cell r="B1359" t="str">
            <v>熊谷　由美子　　</v>
          </cell>
          <cell r="C1359">
            <v>404690</v>
          </cell>
          <cell r="D1359">
            <v>453210</v>
          </cell>
          <cell r="E1359">
            <v>857900</v>
          </cell>
          <cell r="F1359">
            <v>2702793</v>
          </cell>
          <cell r="G1359">
            <v>3560693</v>
          </cell>
          <cell r="H1359">
            <v>406930</v>
          </cell>
        </row>
        <row r="1360">
          <cell r="A1360" t="str">
            <v>3079</v>
          </cell>
          <cell r="B1360" t="str">
            <v>原田　明子　　　</v>
          </cell>
          <cell r="C1360">
            <v>377930</v>
          </cell>
          <cell r="D1360">
            <v>452300</v>
          </cell>
          <cell r="E1360">
            <v>830230</v>
          </cell>
          <cell r="F1360">
            <v>2405231</v>
          </cell>
          <cell r="G1360">
            <v>3235461</v>
          </cell>
          <cell r="H1360">
            <v>405470</v>
          </cell>
        </row>
        <row r="1361">
          <cell r="A1361" t="str">
            <v>3262</v>
          </cell>
          <cell r="B1361" t="str">
            <v>河口　正子　　　</v>
          </cell>
          <cell r="C1361">
            <v>386570</v>
          </cell>
          <cell r="D1361">
            <v>450860</v>
          </cell>
          <cell r="E1361">
            <v>837430</v>
          </cell>
          <cell r="F1361">
            <v>2604482</v>
          </cell>
          <cell r="G1361">
            <v>3441912</v>
          </cell>
          <cell r="H1361">
            <v>406230</v>
          </cell>
        </row>
        <row r="1362">
          <cell r="A1362" t="str">
            <v>2862</v>
          </cell>
          <cell r="B1362" t="str">
            <v>綾部　美奈子　　</v>
          </cell>
          <cell r="C1362">
            <v>402730</v>
          </cell>
          <cell r="D1362">
            <v>450850</v>
          </cell>
          <cell r="E1362">
            <v>853580</v>
          </cell>
          <cell r="F1362">
            <v>2127288</v>
          </cell>
          <cell r="G1362">
            <v>2980868</v>
          </cell>
          <cell r="H1362">
            <v>403530</v>
          </cell>
        </row>
        <row r="1363">
          <cell r="A1363" t="str">
            <v>3257</v>
          </cell>
          <cell r="B1363" t="str">
            <v>藤田　早苗　　　</v>
          </cell>
          <cell r="C1363">
            <v>383690</v>
          </cell>
          <cell r="D1363">
            <v>450680</v>
          </cell>
          <cell r="E1363">
            <v>834370</v>
          </cell>
          <cell r="F1363">
            <v>2405279</v>
          </cell>
          <cell r="G1363">
            <v>3239649</v>
          </cell>
          <cell r="H1363">
            <v>406650</v>
          </cell>
        </row>
        <row r="1364">
          <cell r="A1364" t="str">
            <v>3414</v>
          </cell>
          <cell r="B1364" t="str">
            <v>寺本　晋　　　　</v>
          </cell>
          <cell r="C1364">
            <v>384520</v>
          </cell>
          <cell r="D1364">
            <v>450420</v>
          </cell>
          <cell r="E1364">
            <v>834940</v>
          </cell>
          <cell r="F1364">
            <v>2546566</v>
          </cell>
          <cell r="G1364">
            <v>3381506</v>
          </cell>
          <cell r="H1364">
            <v>407160</v>
          </cell>
        </row>
        <row r="1365">
          <cell r="A1365" t="str">
            <v>3395</v>
          </cell>
          <cell r="B1365" t="str">
            <v>高杉　大樹　　　</v>
          </cell>
          <cell r="C1365">
            <v>380390</v>
          </cell>
          <cell r="D1365">
            <v>450210</v>
          </cell>
          <cell r="E1365">
            <v>830600</v>
          </cell>
          <cell r="F1365">
            <v>1890948</v>
          </cell>
          <cell r="G1365">
            <v>2721548</v>
          </cell>
          <cell r="H1365">
            <v>407410</v>
          </cell>
        </row>
        <row r="1366">
          <cell r="A1366" t="str">
            <v>3042</v>
          </cell>
          <cell r="B1366" t="str">
            <v>北村　綾子　　　</v>
          </cell>
          <cell r="C1366">
            <v>407560</v>
          </cell>
          <cell r="D1366">
            <v>448880</v>
          </cell>
          <cell r="E1366">
            <v>856440</v>
          </cell>
          <cell r="F1366">
            <v>2116419</v>
          </cell>
          <cell r="G1366">
            <v>2972859</v>
          </cell>
          <cell r="H1366">
            <v>413450</v>
          </cell>
        </row>
        <row r="1367">
          <cell r="A1367" t="str">
            <v>3051</v>
          </cell>
          <cell r="B1367" t="str">
            <v>生田　智子　　　</v>
          </cell>
          <cell r="C1367">
            <v>398770</v>
          </cell>
          <cell r="D1367">
            <v>448880</v>
          </cell>
          <cell r="E1367">
            <v>847650</v>
          </cell>
          <cell r="F1367">
            <v>2142562</v>
          </cell>
          <cell r="G1367">
            <v>2990212</v>
          </cell>
          <cell r="H1367">
            <v>413450</v>
          </cell>
        </row>
        <row r="1368">
          <cell r="A1368" t="str">
            <v>2700</v>
          </cell>
          <cell r="B1368" t="str">
            <v>小山　智加子　　</v>
          </cell>
          <cell r="C1368">
            <v>386950</v>
          </cell>
          <cell r="D1368">
            <v>447850</v>
          </cell>
          <cell r="E1368">
            <v>834800</v>
          </cell>
          <cell r="F1368">
            <v>2271122</v>
          </cell>
          <cell r="G1368">
            <v>3105922</v>
          </cell>
          <cell r="H1368">
            <v>401480</v>
          </cell>
        </row>
        <row r="1369">
          <cell r="A1369" t="str">
            <v>2707</v>
          </cell>
          <cell r="B1369" t="str">
            <v>宮沢　昌枝　　　</v>
          </cell>
          <cell r="C1369">
            <v>388260</v>
          </cell>
          <cell r="D1369">
            <v>447850</v>
          </cell>
          <cell r="E1369">
            <v>836110</v>
          </cell>
          <cell r="F1369">
            <v>2221531</v>
          </cell>
          <cell r="G1369">
            <v>3057641</v>
          </cell>
          <cell r="H1369">
            <v>401480</v>
          </cell>
        </row>
        <row r="1370">
          <cell r="A1370" t="str">
            <v>1864</v>
          </cell>
          <cell r="B1370" t="str">
            <v>荒川　佳枝　　　</v>
          </cell>
          <cell r="C1370">
            <v>398000</v>
          </cell>
          <cell r="D1370">
            <v>446870</v>
          </cell>
          <cell r="E1370">
            <v>844870</v>
          </cell>
          <cell r="F1370">
            <v>2450595</v>
          </cell>
          <cell r="G1370">
            <v>3295465</v>
          </cell>
          <cell r="H1370">
            <v>405670</v>
          </cell>
        </row>
        <row r="1371">
          <cell r="A1371" t="str">
            <v>1239</v>
          </cell>
          <cell r="B1371" t="str">
            <v>池田　淳子　　　</v>
          </cell>
          <cell r="C1371">
            <v>388970</v>
          </cell>
          <cell r="D1371">
            <v>446870</v>
          </cell>
          <cell r="E1371">
            <v>835840</v>
          </cell>
          <cell r="F1371">
            <v>2565922</v>
          </cell>
          <cell r="G1371">
            <v>3401762</v>
          </cell>
          <cell r="H1371">
            <v>405670</v>
          </cell>
        </row>
        <row r="1372">
          <cell r="A1372" t="str">
            <v>2530</v>
          </cell>
          <cell r="B1372" t="str">
            <v>津本　佳子　　　</v>
          </cell>
          <cell r="C1372">
            <v>396120</v>
          </cell>
          <cell r="D1372">
            <v>446710</v>
          </cell>
          <cell r="E1372">
            <v>842830</v>
          </cell>
          <cell r="F1372">
            <v>2569192</v>
          </cell>
          <cell r="G1372">
            <v>3412022</v>
          </cell>
          <cell r="H1372">
            <v>411440</v>
          </cell>
        </row>
        <row r="1373">
          <cell r="A1373" t="str">
            <v>2861</v>
          </cell>
          <cell r="B1373" t="str">
            <v>西口　知里　　　</v>
          </cell>
          <cell r="C1373">
            <v>416910</v>
          </cell>
          <cell r="D1373">
            <v>445690</v>
          </cell>
          <cell r="E1373">
            <v>862600</v>
          </cell>
          <cell r="F1373">
            <v>2169199</v>
          </cell>
          <cell r="G1373">
            <v>3031799</v>
          </cell>
          <cell r="H1373">
            <v>400930</v>
          </cell>
        </row>
        <row r="1374">
          <cell r="A1374" t="str">
            <v>1876</v>
          </cell>
          <cell r="B1374" t="str">
            <v>泉谷　千津子　　</v>
          </cell>
          <cell r="C1374">
            <v>414840</v>
          </cell>
          <cell r="D1374">
            <v>444640</v>
          </cell>
          <cell r="E1374">
            <v>859480</v>
          </cell>
          <cell r="F1374">
            <v>2110311</v>
          </cell>
          <cell r="G1374">
            <v>2969791</v>
          </cell>
          <cell r="H1374">
            <v>379500</v>
          </cell>
        </row>
        <row r="1375">
          <cell r="A1375" t="str">
            <v>2041</v>
          </cell>
          <cell r="B1375" t="str">
            <v>高石　房代　　　</v>
          </cell>
          <cell r="C1375">
            <v>398080</v>
          </cell>
          <cell r="D1375">
            <v>444530</v>
          </cell>
          <cell r="E1375">
            <v>842610</v>
          </cell>
          <cell r="F1375">
            <v>2097396</v>
          </cell>
          <cell r="G1375">
            <v>2940006</v>
          </cell>
          <cell r="H1375">
            <v>398490</v>
          </cell>
        </row>
        <row r="1376">
          <cell r="A1376" t="str">
            <v>2535</v>
          </cell>
          <cell r="B1376" t="str">
            <v>松本　光代　　　</v>
          </cell>
          <cell r="C1376">
            <v>394840</v>
          </cell>
          <cell r="D1376">
            <v>444530</v>
          </cell>
          <cell r="E1376">
            <v>839370</v>
          </cell>
          <cell r="F1376">
            <v>2306609</v>
          </cell>
          <cell r="G1376">
            <v>3145979</v>
          </cell>
          <cell r="H1376">
            <v>399140</v>
          </cell>
        </row>
        <row r="1377">
          <cell r="A1377" t="str">
            <v>1866</v>
          </cell>
          <cell r="B1377" t="str">
            <v>中本　明美　　　</v>
          </cell>
          <cell r="C1377">
            <v>410600</v>
          </cell>
          <cell r="D1377">
            <v>444390</v>
          </cell>
          <cell r="E1377">
            <v>854990</v>
          </cell>
          <cell r="F1377">
            <v>2589277</v>
          </cell>
          <cell r="G1377">
            <v>3444267</v>
          </cell>
          <cell r="H1377">
            <v>417860</v>
          </cell>
        </row>
        <row r="1378">
          <cell r="A1378" t="str">
            <v>3108</v>
          </cell>
          <cell r="B1378" t="str">
            <v>米澤　協子　　　</v>
          </cell>
          <cell r="C1378">
            <v>395810</v>
          </cell>
          <cell r="D1378">
            <v>442660</v>
          </cell>
          <cell r="E1378">
            <v>838470</v>
          </cell>
          <cell r="F1378">
            <v>2177961</v>
          </cell>
          <cell r="G1378">
            <v>3016431</v>
          </cell>
          <cell r="H1378">
            <v>420550</v>
          </cell>
        </row>
        <row r="1379">
          <cell r="A1379" t="str">
            <v>3067</v>
          </cell>
          <cell r="B1379" t="str">
            <v>藤田　智子　　　</v>
          </cell>
          <cell r="C1379">
            <v>383260</v>
          </cell>
          <cell r="D1379">
            <v>442210</v>
          </cell>
          <cell r="E1379">
            <v>825470</v>
          </cell>
          <cell r="F1379">
            <v>2000473</v>
          </cell>
          <cell r="G1379">
            <v>2825943</v>
          </cell>
          <cell r="H1379">
            <v>396010</v>
          </cell>
        </row>
        <row r="1380">
          <cell r="A1380" t="str">
            <v>3063</v>
          </cell>
          <cell r="B1380" t="str">
            <v>辻本　真澄　　　</v>
          </cell>
          <cell r="C1380">
            <v>383260</v>
          </cell>
          <cell r="D1380">
            <v>442210</v>
          </cell>
          <cell r="E1380">
            <v>825470</v>
          </cell>
          <cell r="F1380">
            <v>2121204</v>
          </cell>
          <cell r="G1380">
            <v>2946674</v>
          </cell>
          <cell r="H1380">
            <v>396010</v>
          </cell>
        </row>
        <row r="1381">
          <cell r="A1381" t="str">
            <v>2874</v>
          </cell>
          <cell r="B1381" t="str">
            <v>道本　由紀　　　</v>
          </cell>
          <cell r="C1381">
            <v>391360</v>
          </cell>
          <cell r="D1381">
            <v>441180</v>
          </cell>
          <cell r="E1381">
            <v>832540</v>
          </cell>
          <cell r="F1381">
            <v>2710091</v>
          </cell>
          <cell r="G1381">
            <v>3542631</v>
          </cell>
          <cell r="H1381">
            <v>395490</v>
          </cell>
        </row>
        <row r="1382">
          <cell r="A1382" t="str">
            <v>3415</v>
          </cell>
          <cell r="B1382" t="str">
            <v>柿澤　慶子　　　</v>
          </cell>
          <cell r="C1382">
            <v>379330</v>
          </cell>
          <cell r="D1382">
            <v>439680</v>
          </cell>
          <cell r="E1382">
            <v>819010</v>
          </cell>
          <cell r="F1382">
            <v>2421656</v>
          </cell>
          <cell r="G1382">
            <v>3240666</v>
          </cell>
          <cell r="H1382">
            <v>391260</v>
          </cell>
        </row>
        <row r="1383">
          <cell r="A1383" t="str">
            <v>1607</v>
          </cell>
          <cell r="B1383" t="str">
            <v>松本　典子　　　</v>
          </cell>
          <cell r="C1383">
            <v>393820</v>
          </cell>
          <cell r="D1383">
            <v>439470</v>
          </cell>
          <cell r="E1383">
            <v>833290</v>
          </cell>
          <cell r="F1383">
            <v>2118007</v>
          </cell>
          <cell r="G1383">
            <v>2951297</v>
          </cell>
          <cell r="H1383">
            <v>398970</v>
          </cell>
        </row>
        <row r="1384">
          <cell r="A1384" t="str">
            <v>3110</v>
          </cell>
          <cell r="B1384" t="str">
            <v>荘林　万規子　　</v>
          </cell>
          <cell r="C1384">
            <v>380890</v>
          </cell>
          <cell r="D1384">
            <v>438010</v>
          </cell>
          <cell r="E1384">
            <v>818900</v>
          </cell>
          <cell r="F1384">
            <v>2110781</v>
          </cell>
          <cell r="G1384">
            <v>2929681</v>
          </cell>
          <cell r="H1384">
            <v>417430</v>
          </cell>
        </row>
        <row r="1385">
          <cell r="A1385" t="str">
            <v>3060</v>
          </cell>
          <cell r="B1385" t="str">
            <v>櫻井　芳美　　　</v>
          </cell>
          <cell r="C1385">
            <v>371160</v>
          </cell>
          <cell r="D1385">
            <v>437690</v>
          </cell>
          <cell r="E1385">
            <v>808850</v>
          </cell>
          <cell r="F1385">
            <v>1931970</v>
          </cell>
          <cell r="G1385">
            <v>2740820</v>
          </cell>
          <cell r="H1385">
            <v>85000</v>
          </cell>
        </row>
        <row r="1386">
          <cell r="A1386" t="str">
            <v>3113</v>
          </cell>
          <cell r="B1386" t="str">
            <v>田中　美穂　　　</v>
          </cell>
          <cell r="C1386">
            <v>386510</v>
          </cell>
          <cell r="D1386">
            <v>437180</v>
          </cell>
          <cell r="E1386">
            <v>823690</v>
          </cell>
          <cell r="F1386">
            <v>2054130</v>
          </cell>
          <cell r="G1386">
            <v>2877820</v>
          </cell>
          <cell r="H1386">
            <v>418340</v>
          </cell>
        </row>
        <row r="1387">
          <cell r="A1387" t="str">
            <v>2942</v>
          </cell>
          <cell r="B1387" t="str">
            <v>飯塚　敏子　　　</v>
          </cell>
          <cell r="C1387">
            <v>389460</v>
          </cell>
          <cell r="D1387">
            <v>436510</v>
          </cell>
          <cell r="E1387">
            <v>825970</v>
          </cell>
          <cell r="F1387">
            <v>2068591</v>
          </cell>
          <cell r="G1387">
            <v>2894561</v>
          </cell>
          <cell r="H1387">
            <v>0</v>
          </cell>
        </row>
        <row r="1388">
          <cell r="A1388" t="str">
            <v>2750</v>
          </cell>
          <cell r="B1388" t="str">
            <v>藤枝　洋子　　　</v>
          </cell>
          <cell r="C1388">
            <v>377210</v>
          </cell>
          <cell r="D1388">
            <v>435890</v>
          </cell>
          <cell r="E1388">
            <v>813100</v>
          </cell>
          <cell r="F1388">
            <v>2131262</v>
          </cell>
          <cell r="G1388">
            <v>2944362</v>
          </cell>
          <cell r="H1388">
            <v>391380</v>
          </cell>
        </row>
        <row r="1389">
          <cell r="A1389" t="str">
            <v>2895</v>
          </cell>
          <cell r="B1389" t="str">
            <v>水口　朋子　　　</v>
          </cell>
          <cell r="C1389">
            <v>386950</v>
          </cell>
          <cell r="D1389">
            <v>435890</v>
          </cell>
          <cell r="E1389">
            <v>822840</v>
          </cell>
          <cell r="F1389">
            <v>2435921</v>
          </cell>
          <cell r="G1389">
            <v>3258761</v>
          </cell>
          <cell r="H1389">
            <v>391380</v>
          </cell>
        </row>
        <row r="1390">
          <cell r="A1390" t="str">
            <v>3104</v>
          </cell>
          <cell r="B1390" t="str">
            <v>馬場　理恵子　　</v>
          </cell>
          <cell r="C1390">
            <v>387350</v>
          </cell>
          <cell r="D1390">
            <v>435040</v>
          </cell>
          <cell r="E1390">
            <v>822390</v>
          </cell>
          <cell r="F1390">
            <v>2776153</v>
          </cell>
          <cell r="G1390">
            <v>3598543</v>
          </cell>
          <cell r="H1390">
            <v>409440</v>
          </cell>
        </row>
        <row r="1391">
          <cell r="A1391" t="str">
            <v>3059</v>
          </cell>
          <cell r="B1391" t="str">
            <v>大中　孝子　　　</v>
          </cell>
          <cell r="C1391">
            <v>383260</v>
          </cell>
          <cell r="D1391">
            <v>434480</v>
          </cell>
          <cell r="E1391">
            <v>817740</v>
          </cell>
          <cell r="F1391">
            <v>1953165</v>
          </cell>
          <cell r="G1391">
            <v>2770905</v>
          </cell>
          <cell r="H1391">
            <v>389480</v>
          </cell>
        </row>
        <row r="1392">
          <cell r="A1392" t="str">
            <v>2876</v>
          </cell>
          <cell r="B1392" t="str">
            <v>安岡　博美　　　</v>
          </cell>
          <cell r="C1392">
            <v>384970</v>
          </cell>
          <cell r="D1392">
            <v>433710</v>
          </cell>
          <cell r="E1392">
            <v>818680</v>
          </cell>
          <cell r="F1392">
            <v>2111448</v>
          </cell>
          <cell r="G1392">
            <v>2930128</v>
          </cell>
          <cell r="H1392">
            <v>389420</v>
          </cell>
        </row>
        <row r="1393">
          <cell r="A1393" t="str">
            <v>3365</v>
          </cell>
          <cell r="B1393" t="str">
            <v>石垣　将爾　　　</v>
          </cell>
          <cell r="C1393">
            <v>370610</v>
          </cell>
          <cell r="D1393">
            <v>432920</v>
          </cell>
          <cell r="E1393">
            <v>803530</v>
          </cell>
          <cell r="F1393">
            <v>1902300</v>
          </cell>
          <cell r="G1393">
            <v>2705830</v>
          </cell>
          <cell r="H1393">
            <v>404380</v>
          </cell>
        </row>
        <row r="1394">
          <cell r="A1394" t="str">
            <v>3368</v>
          </cell>
          <cell r="B1394" t="str">
            <v>内記　市治　　　</v>
          </cell>
          <cell r="C1394">
            <v>370610</v>
          </cell>
          <cell r="D1394">
            <v>432920</v>
          </cell>
          <cell r="E1394">
            <v>803530</v>
          </cell>
          <cell r="F1394">
            <v>2124237</v>
          </cell>
          <cell r="G1394">
            <v>2927767</v>
          </cell>
          <cell r="H1394">
            <v>404380</v>
          </cell>
        </row>
        <row r="1395">
          <cell r="A1395" t="str">
            <v>3366</v>
          </cell>
          <cell r="B1395" t="str">
            <v>井上　啓臣　　　</v>
          </cell>
          <cell r="C1395">
            <v>376770</v>
          </cell>
          <cell r="D1395">
            <v>432920</v>
          </cell>
          <cell r="E1395">
            <v>809690</v>
          </cell>
          <cell r="F1395">
            <v>2017041</v>
          </cell>
          <cell r="G1395">
            <v>2826731</v>
          </cell>
          <cell r="H1395">
            <v>404380</v>
          </cell>
        </row>
        <row r="1396">
          <cell r="A1396" t="str">
            <v>3364</v>
          </cell>
          <cell r="B1396" t="str">
            <v>安達　哲也　　　</v>
          </cell>
          <cell r="C1396">
            <v>376770</v>
          </cell>
          <cell r="D1396">
            <v>432920</v>
          </cell>
          <cell r="E1396">
            <v>809690</v>
          </cell>
          <cell r="F1396">
            <v>1949295</v>
          </cell>
          <cell r="G1396">
            <v>2758985</v>
          </cell>
          <cell r="H1396">
            <v>404380</v>
          </cell>
        </row>
        <row r="1397">
          <cell r="A1397" t="str">
            <v>3370</v>
          </cell>
          <cell r="B1397" t="str">
            <v>船田　大輔　　　</v>
          </cell>
          <cell r="C1397">
            <v>370610</v>
          </cell>
          <cell r="D1397">
            <v>432920</v>
          </cell>
          <cell r="E1397">
            <v>803530</v>
          </cell>
          <cell r="F1397">
            <v>1977385</v>
          </cell>
          <cell r="G1397">
            <v>2780915</v>
          </cell>
          <cell r="H1397">
            <v>395630</v>
          </cell>
        </row>
        <row r="1398">
          <cell r="A1398" t="str">
            <v>3066</v>
          </cell>
          <cell r="B1398" t="str">
            <v>日比野　洋子　　</v>
          </cell>
          <cell r="C1398">
            <v>383260</v>
          </cell>
          <cell r="D1398">
            <v>432260</v>
          </cell>
          <cell r="E1398">
            <v>815520</v>
          </cell>
          <cell r="F1398">
            <v>1947858</v>
          </cell>
          <cell r="G1398">
            <v>2763378</v>
          </cell>
          <cell r="H1398">
            <v>387510</v>
          </cell>
        </row>
        <row r="1399">
          <cell r="A1399" t="str">
            <v>3069</v>
          </cell>
          <cell r="B1399" t="str">
            <v>四方　真佐江　　</v>
          </cell>
          <cell r="C1399">
            <v>381220</v>
          </cell>
          <cell r="D1399">
            <v>430030</v>
          </cell>
          <cell r="E1399">
            <v>811250</v>
          </cell>
          <cell r="F1399">
            <v>2330522</v>
          </cell>
          <cell r="G1399">
            <v>3141772</v>
          </cell>
          <cell r="H1399">
            <v>384810</v>
          </cell>
        </row>
        <row r="1400">
          <cell r="A1400" t="str">
            <v>2694</v>
          </cell>
          <cell r="B1400" t="str">
            <v>木村　陽子　　　</v>
          </cell>
          <cell r="C1400">
            <v>367530</v>
          </cell>
          <cell r="D1400">
            <v>429780</v>
          </cell>
          <cell r="E1400">
            <v>797310</v>
          </cell>
          <cell r="F1400">
            <v>1994963</v>
          </cell>
          <cell r="G1400">
            <v>2792273</v>
          </cell>
          <cell r="H1400">
            <v>391940</v>
          </cell>
        </row>
        <row r="1401">
          <cell r="A1401" t="str">
            <v>3196</v>
          </cell>
          <cell r="B1401" t="str">
            <v>西尾　友岐　　　</v>
          </cell>
          <cell r="C1401">
            <v>374120</v>
          </cell>
          <cell r="D1401">
            <v>428680</v>
          </cell>
          <cell r="E1401">
            <v>802800</v>
          </cell>
          <cell r="F1401">
            <v>2042433</v>
          </cell>
          <cell r="G1401">
            <v>2845233</v>
          </cell>
          <cell r="H1401">
            <v>410220</v>
          </cell>
        </row>
        <row r="1402">
          <cell r="A1402" t="str">
            <v>3194</v>
          </cell>
          <cell r="B1402" t="str">
            <v>高橋　美香　　　</v>
          </cell>
          <cell r="C1402">
            <v>378790</v>
          </cell>
          <cell r="D1402">
            <v>428680</v>
          </cell>
          <cell r="E1402">
            <v>807470</v>
          </cell>
          <cell r="F1402">
            <v>2027456</v>
          </cell>
          <cell r="G1402">
            <v>2834926</v>
          </cell>
          <cell r="H1402">
            <v>402730</v>
          </cell>
        </row>
        <row r="1403">
          <cell r="A1403" t="str">
            <v>3236</v>
          </cell>
          <cell r="B1403" t="str">
            <v>武内　明美　　　</v>
          </cell>
          <cell r="C1403">
            <v>349670</v>
          </cell>
          <cell r="D1403">
            <v>427550</v>
          </cell>
          <cell r="E1403">
            <v>777220</v>
          </cell>
          <cell r="F1403">
            <v>2162682</v>
          </cell>
          <cell r="G1403">
            <v>2939902</v>
          </cell>
          <cell r="H1403">
            <v>399490</v>
          </cell>
        </row>
        <row r="1404">
          <cell r="A1404" t="str">
            <v>3232</v>
          </cell>
          <cell r="B1404" t="str">
            <v>山本　詔子　　　</v>
          </cell>
          <cell r="C1404">
            <v>359720</v>
          </cell>
          <cell r="D1404">
            <v>427550</v>
          </cell>
          <cell r="E1404">
            <v>787270</v>
          </cell>
          <cell r="F1404">
            <v>2122854</v>
          </cell>
          <cell r="G1404">
            <v>2910124</v>
          </cell>
          <cell r="H1404">
            <v>384680</v>
          </cell>
        </row>
        <row r="1405">
          <cell r="A1405" t="str">
            <v>2877</v>
          </cell>
          <cell r="B1405" t="str">
            <v>山田　美由紀　　</v>
          </cell>
          <cell r="C1405">
            <v>379060</v>
          </cell>
          <cell r="D1405">
            <v>427220</v>
          </cell>
          <cell r="E1405">
            <v>806280</v>
          </cell>
          <cell r="F1405">
            <v>2272965</v>
          </cell>
          <cell r="G1405">
            <v>3079245</v>
          </cell>
          <cell r="H1405">
            <v>393500</v>
          </cell>
        </row>
        <row r="1406">
          <cell r="A1406" t="str">
            <v>2865</v>
          </cell>
          <cell r="B1406" t="str">
            <v>片山　葉月　　　</v>
          </cell>
          <cell r="C1406">
            <v>381030</v>
          </cell>
          <cell r="D1406">
            <v>427220</v>
          </cell>
          <cell r="E1406">
            <v>808250</v>
          </cell>
          <cell r="F1406">
            <v>2202486</v>
          </cell>
          <cell r="G1406">
            <v>3010736</v>
          </cell>
          <cell r="H1406">
            <v>383600</v>
          </cell>
        </row>
        <row r="1407">
          <cell r="A1407" t="str">
            <v>3237</v>
          </cell>
          <cell r="B1407" t="str">
            <v>橋本　恵美　　　</v>
          </cell>
          <cell r="C1407">
            <v>353570</v>
          </cell>
          <cell r="D1407">
            <v>426900</v>
          </cell>
          <cell r="E1407">
            <v>780470</v>
          </cell>
          <cell r="F1407">
            <v>2067282</v>
          </cell>
          <cell r="G1407">
            <v>2847752</v>
          </cell>
          <cell r="H1407">
            <v>384680</v>
          </cell>
        </row>
        <row r="1408">
          <cell r="A1408" t="str">
            <v>2541</v>
          </cell>
          <cell r="B1408" t="str">
            <v>山下　公子　　　</v>
          </cell>
          <cell r="C1408">
            <v>381030</v>
          </cell>
          <cell r="D1408">
            <v>426790</v>
          </cell>
          <cell r="E1408">
            <v>807820</v>
          </cell>
          <cell r="F1408">
            <v>2062312</v>
          </cell>
          <cell r="G1408">
            <v>2870132</v>
          </cell>
          <cell r="H1408">
            <v>395260</v>
          </cell>
        </row>
        <row r="1409">
          <cell r="A1409" t="str">
            <v>3195</v>
          </cell>
          <cell r="B1409" t="str">
            <v>竹中　麻紀子　　</v>
          </cell>
          <cell r="C1409">
            <v>374120</v>
          </cell>
          <cell r="D1409">
            <v>426580</v>
          </cell>
          <cell r="E1409">
            <v>800700</v>
          </cell>
          <cell r="F1409">
            <v>2086280</v>
          </cell>
          <cell r="G1409">
            <v>2886980</v>
          </cell>
          <cell r="H1409">
            <v>408210</v>
          </cell>
        </row>
        <row r="1410">
          <cell r="A1410" t="str">
            <v>3369</v>
          </cell>
          <cell r="B1410" t="str">
            <v>播磨　孝一　　　</v>
          </cell>
          <cell r="C1410">
            <v>376770</v>
          </cell>
          <cell r="D1410">
            <v>425570</v>
          </cell>
          <cell r="E1410">
            <v>802340</v>
          </cell>
          <cell r="F1410">
            <v>1903013</v>
          </cell>
          <cell r="G1410">
            <v>2705353</v>
          </cell>
          <cell r="H1410">
            <v>404380</v>
          </cell>
        </row>
        <row r="1411">
          <cell r="A1411" t="str">
            <v>3197</v>
          </cell>
          <cell r="B1411" t="str">
            <v>橋口　敬子　　　</v>
          </cell>
          <cell r="C1411">
            <v>374120</v>
          </cell>
          <cell r="D1411">
            <v>423340</v>
          </cell>
          <cell r="E1411">
            <v>797460</v>
          </cell>
          <cell r="F1411">
            <v>2019394</v>
          </cell>
          <cell r="G1411">
            <v>2816854</v>
          </cell>
          <cell r="H1411">
            <v>393310</v>
          </cell>
        </row>
        <row r="1412">
          <cell r="A1412" t="str">
            <v>3513</v>
          </cell>
          <cell r="B1412" t="str">
            <v>寺西　広孝　　　</v>
          </cell>
          <cell r="C1412">
            <v>105000</v>
          </cell>
          <cell r="D1412">
            <v>422360</v>
          </cell>
          <cell r="E1412">
            <v>527360</v>
          </cell>
          <cell r="F1412">
            <v>1413362</v>
          </cell>
          <cell r="G1412">
            <v>1940722</v>
          </cell>
          <cell r="H1412">
            <v>409610</v>
          </cell>
        </row>
        <row r="1413">
          <cell r="A1413" t="str">
            <v>3512</v>
          </cell>
          <cell r="B1413" t="str">
            <v>鮫島　雅弘　　　</v>
          </cell>
          <cell r="C1413">
            <v>105000</v>
          </cell>
          <cell r="D1413">
            <v>422360</v>
          </cell>
          <cell r="E1413">
            <v>527360</v>
          </cell>
          <cell r="F1413">
            <v>1400198</v>
          </cell>
          <cell r="G1413">
            <v>1927558</v>
          </cell>
          <cell r="H1413">
            <v>404450</v>
          </cell>
        </row>
        <row r="1414">
          <cell r="A1414" t="str">
            <v>3201</v>
          </cell>
          <cell r="B1414" t="str">
            <v>吉原　信子　　　</v>
          </cell>
          <cell r="C1414">
            <v>365960</v>
          </cell>
          <cell r="D1414">
            <v>421270</v>
          </cell>
          <cell r="E1414">
            <v>787230</v>
          </cell>
          <cell r="F1414">
            <v>2059981</v>
          </cell>
          <cell r="G1414">
            <v>2847211</v>
          </cell>
          <cell r="H1414">
            <v>391380</v>
          </cell>
        </row>
        <row r="1415">
          <cell r="A1415" t="str">
            <v>3192</v>
          </cell>
          <cell r="B1415" t="str">
            <v>酒井　珠美　　　</v>
          </cell>
          <cell r="C1415">
            <v>374120</v>
          </cell>
          <cell r="D1415">
            <v>421270</v>
          </cell>
          <cell r="E1415">
            <v>795390</v>
          </cell>
          <cell r="F1415">
            <v>2046934</v>
          </cell>
          <cell r="G1415">
            <v>2842324</v>
          </cell>
          <cell r="H1415">
            <v>380160</v>
          </cell>
        </row>
        <row r="1416">
          <cell r="A1416" t="str">
            <v>3266</v>
          </cell>
          <cell r="B1416" t="str">
            <v>横尾　順子　　　</v>
          </cell>
          <cell r="C1416">
            <v>350810</v>
          </cell>
          <cell r="D1416">
            <v>421270</v>
          </cell>
          <cell r="E1416">
            <v>772080</v>
          </cell>
          <cell r="F1416">
            <v>2656570</v>
          </cell>
          <cell r="G1416">
            <v>3428650</v>
          </cell>
          <cell r="H1416">
            <v>379030</v>
          </cell>
        </row>
        <row r="1417">
          <cell r="A1417" t="str">
            <v>1693</v>
          </cell>
          <cell r="B1417" t="str">
            <v>宇都　豊子　　　</v>
          </cell>
          <cell r="C1417">
            <v>374090</v>
          </cell>
          <cell r="D1417">
            <v>418770</v>
          </cell>
          <cell r="E1417">
            <v>792860</v>
          </cell>
          <cell r="F1417">
            <v>2457246</v>
          </cell>
          <cell r="G1417">
            <v>3250106</v>
          </cell>
          <cell r="H1417">
            <v>377390</v>
          </cell>
        </row>
        <row r="1418">
          <cell r="A1418" t="str">
            <v>3106</v>
          </cell>
          <cell r="B1418" t="str">
            <v>日向　暁子　　　</v>
          </cell>
          <cell r="C1418">
            <v>380890</v>
          </cell>
          <cell r="D1418">
            <v>418660</v>
          </cell>
          <cell r="E1418">
            <v>799550</v>
          </cell>
          <cell r="F1418">
            <v>2429765</v>
          </cell>
          <cell r="G1418">
            <v>3229315</v>
          </cell>
          <cell r="H1418">
            <v>406930</v>
          </cell>
        </row>
        <row r="1419">
          <cell r="A1419" t="str">
            <v>2871</v>
          </cell>
          <cell r="B1419" t="str">
            <v>長竹　鈴恵　　　</v>
          </cell>
          <cell r="C1419">
            <v>363810</v>
          </cell>
          <cell r="D1419">
            <v>418540</v>
          </cell>
          <cell r="E1419">
            <v>782350</v>
          </cell>
          <cell r="F1419">
            <v>2015277</v>
          </cell>
          <cell r="G1419">
            <v>2797627</v>
          </cell>
          <cell r="H1419">
            <v>385500</v>
          </cell>
        </row>
        <row r="1420">
          <cell r="A1420" t="str">
            <v>3064</v>
          </cell>
          <cell r="B1420" t="str">
            <v>西村　香澄　　　</v>
          </cell>
          <cell r="C1420">
            <v>381220</v>
          </cell>
          <cell r="D1420">
            <v>418540</v>
          </cell>
          <cell r="E1420">
            <v>799760</v>
          </cell>
          <cell r="F1420">
            <v>1974901</v>
          </cell>
          <cell r="G1420">
            <v>2774661</v>
          </cell>
          <cell r="H1420">
            <v>375180</v>
          </cell>
        </row>
        <row r="1421">
          <cell r="A1421" t="str">
            <v>3070</v>
          </cell>
          <cell r="B1421" t="str">
            <v>吉川　ゆかり　　</v>
          </cell>
          <cell r="C1421">
            <v>371160</v>
          </cell>
          <cell r="D1421">
            <v>418540</v>
          </cell>
          <cell r="E1421">
            <v>789700</v>
          </cell>
          <cell r="F1421">
            <v>2016829</v>
          </cell>
          <cell r="G1421">
            <v>2806529</v>
          </cell>
          <cell r="H1421">
            <v>375800</v>
          </cell>
        </row>
        <row r="1422">
          <cell r="A1422" t="str">
            <v>3061</v>
          </cell>
          <cell r="B1422" t="str">
            <v>斉藤　晴美　　　</v>
          </cell>
          <cell r="C1422">
            <v>371160</v>
          </cell>
          <cell r="D1422">
            <v>416370</v>
          </cell>
          <cell r="E1422">
            <v>787530</v>
          </cell>
          <cell r="F1422">
            <v>2207324</v>
          </cell>
          <cell r="G1422">
            <v>2994854</v>
          </cell>
          <cell r="H1422">
            <v>373850</v>
          </cell>
        </row>
        <row r="1423">
          <cell r="A1423" t="str">
            <v>3062</v>
          </cell>
          <cell r="B1423" t="str">
            <v>島立　美奈子　　</v>
          </cell>
          <cell r="C1423">
            <v>371160</v>
          </cell>
          <cell r="D1423">
            <v>416370</v>
          </cell>
          <cell r="E1423">
            <v>787530</v>
          </cell>
          <cell r="F1423">
            <v>1936845</v>
          </cell>
          <cell r="G1423">
            <v>2724375</v>
          </cell>
          <cell r="H1423">
            <v>373850</v>
          </cell>
        </row>
        <row r="1424">
          <cell r="A1424" t="str">
            <v>2699</v>
          </cell>
          <cell r="B1424" t="str">
            <v>桜井　順子　　　</v>
          </cell>
          <cell r="C1424">
            <v>371470</v>
          </cell>
          <cell r="D1424">
            <v>416300</v>
          </cell>
          <cell r="E1424">
            <v>787770</v>
          </cell>
          <cell r="F1424">
            <v>2027130</v>
          </cell>
          <cell r="G1424">
            <v>2814900</v>
          </cell>
          <cell r="H1424">
            <v>385540</v>
          </cell>
        </row>
        <row r="1425">
          <cell r="A1425" t="str">
            <v>3406</v>
          </cell>
          <cell r="B1425" t="str">
            <v>藤田　みさ子　　</v>
          </cell>
          <cell r="C1425">
            <v>356440</v>
          </cell>
          <cell r="D1425">
            <v>416250</v>
          </cell>
          <cell r="E1425">
            <v>772690</v>
          </cell>
          <cell r="F1425">
            <v>2104095</v>
          </cell>
          <cell r="G1425">
            <v>2876785</v>
          </cell>
          <cell r="H1425">
            <v>370990</v>
          </cell>
        </row>
        <row r="1426">
          <cell r="A1426" t="str">
            <v>3198</v>
          </cell>
          <cell r="B1426" t="str">
            <v>平井　敬子　　　</v>
          </cell>
          <cell r="C1426">
            <v>365960</v>
          </cell>
          <cell r="D1426">
            <v>411960</v>
          </cell>
          <cell r="E1426">
            <v>777920</v>
          </cell>
          <cell r="F1426">
            <v>2321308</v>
          </cell>
          <cell r="G1426">
            <v>3099228</v>
          </cell>
          <cell r="H1426">
            <v>391380</v>
          </cell>
        </row>
        <row r="1427">
          <cell r="A1427" t="str">
            <v>3508</v>
          </cell>
          <cell r="B1427" t="str">
            <v>金田　範子　　　</v>
          </cell>
          <cell r="C1427">
            <v>150000</v>
          </cell>
          <cell r="D1427">
            <v>411890</v>
          </cell>
          <cell r="E1427">
            <v>561890</v>
          </cell>
          <cell r="F1427">
            <v>1645693</v>
          </cell>
          <cell r="G1427">
            <v>2207583</v>
          </cell>
          <cell r="H1427">
            <v>394170</v>
          </cell>
        </row>
        <row r="1428">
          <cell r="A1428" t="str">
            <v>3509</v>
          </cell>
          <cell r="B1428" t="str">
            <v>佐々木　礼子　　</v>
          </cell>
          <cell r="C1428">
            <v>150000</v>
          </cell>
          <cell r="D1428">
            <v>411890</v>
          </cell>
          <cell r="E1428">
            <v>561890</v>
          </cell>
          <cell r="F1428">
            <v>1980928</v>
          </cell>
          <cell r="G1428">
            <v>2542818</v>
          </cell>
          <cell r="H1428">
            <v>394170</v>
          </cell>
        </row>
        <row r="1429">
          <cell r="A1429" t="str">
            <v>3191</v>
          </cell>
          <cell r="B1429" t="str">
            <v>金子　抄矢子　　</v>
          </cell>
          <cell r="C1429">
            <v>365960</v>
          </cell>
          <cell r="D1429">
            <v>409910</v>
          </cell>
          <cell r="E1429">
            <v>775870</v>
          </cell>
          <cell r="F1429">
            <v>2040967</v>
          </cell>
          <cell r="G1429">
            <v>2816837</v>
          </cell>
          <cell r="H1429">
            <v>389420</v>
          </cell>
        </row>
        <row r="1430">
          <cell r="A1430" t="str">
            <v>3193</v>
          </cell>
          <cell r="B1430" t="str">
            <v>永田　愛子　　　</v>
          </cell>
          <cell r="C1430">
            <v>365960</v>
          </cell>
          <cell r="D1430">
            <v>409910</v>
          </cell>
          <cell r="E1430">
            <v>775870</v>
          </cell>
          <cell r="F1430">
            <v>2030729</v>
          </cell>
          <cell r="G1430">
            <v>2806599</v>
          </cell>
          <cell r="H1430">
            <v>389420</v>
          </cell>
        </row>
        <row r="1431">
          <cell r="A1431" t="str">
            <v>3188</v>
          </cell>
          <cell r="B1431" t="str">
            <v>伊藤　久美子　　</v>
          </cell>
          <cell r="C1431">
            <v>365960</v>
          </cell>
          <cell r="D1431">
            <v>409910</v>
          </cell>
          <cell r="E1431">
            <v>775870</v>
          </cell>
          <cell r="F1431">
            <v>2460748</v>
          </cell>
          <cell r="G1431">
            <v>3236618</v>
          </cell>
          <cell r="H1431">
            <v>389420</v>
          </cell>
        </row>
        <row r="1432">
          <cell r="A1432" t="str">
            <v>3190</v>
          </cell>
          <cell r="B1432" t="str">
            <v>大久保　悦代　　</v>
          </cell>
          <cell r="C1432">
            <v>365460</v>
          </cell>
          <cell r="D1432">
            <v>409340</v>
          </cell>
          <cell r="E1432">
            <v>774800</v>
          </cell>
          <cell r="F1432">
            <v>2034837</v>
          </cell>
          <cell r="G1432">
            <v>2809637</v>
          </cell>
          <cell r="H1432">
            <v>388780</v>
          </cell>
        </row>
        <row r="1433">
          <cell r="A1433" t="str">
            <v>3420</v>
          </cell>
          <cell r="B1433" t="str">
            <v>嵯峨　悦子　　　</v>
          </cell>
          <cell r="C1433">
            <v>349520</v>
          </cell>
          <cell r="D1433">
            <v>408570</v>
          </cell>
          <cell r="E1433">
            <v>758090</v>
          </cell>
          <cell r="F1433">
            <v>2349379</v>
          </cell>
          <cell r="G1433">
            <v>3107469</v>
          </cell>
          <cell r="H1433">
            <v>368880</v>
          </cell>
        </row>
        <row r="1434">
          <cell r="A1434" t="str">
            <v>3466</v>
          </cell>
          <cell r="B1434" t="str">
            <v>近藤　美佐子　　</v>
          </cell>
          <cell r="C1434">
            <v>117000</v>
          </cell>
          <cell r="D1434">
            <v>406460</v>
          </cell>
          <cell r="E1434">
            <v>523460</v>
          </cell>
          <cell r="F1434">
            <v>1929767</v>
          </cell>
          <cell r="G1434">
            <v>2453227</v>
          </cell>
          <cell r="H1434">
            <v>375440</v>
          </cell>
        </row>
        <row r="1435">
          <cell r="A1435" t="str">
            <v>3252</v>
          </cell>
          <cell r="B1435" t="str">
            <v>田中　道子　　　</v>
          </cell>
          <cell r="C1435">
            <v>342630</v>
          </cell>
          <cell r="D1435">
            <v>405820</v>
          </cell>
          <cell r="E1435">
            <v>748450</v>
          </cell>
          <cell r="F1435">
            <v>2045317</v>
          </cell>
          <cell r="G1435">
            <v>2793767</v>
          </cell>
          <cell r="H1435">
            <v>365640</v>
          </cell>
        </row>
        <row r="1436">
          <cell r="A1436" t="str">
            <v>3068</v>
          </cell>
          <cell r="B1436" t="str">
            <v>松浦　かなえ　　</v>
          </cell>
          <cell r="C1436">
            <v>361900</v>
          </cell>
          <cell r="D1436">
            <v>405780</v>
          </cell>
          <cell r="E1436">
            <v>767680</v>
          </cell>
          <cell r="F1436">
            <v>1966979</v>
          </cell>
          <cell r="G1436">
            <v>2734659</v>
          </cell>
          <cell r="H1436">
            <v>365030</v>
          </cell>
        </row>
        <row r="1437">
          <cell r="A1437" t="str">
            <v>3286</v>
          </cell>
          <cell r="B1437" t="str">
            <v>米倉　史世　　　</v>
          </cell>
          <cell r="C1437">
            <v>356730</v>
          </cell>
          <cell r="D1437">
            <v>402920</v>
          </cell>
          <cell r="E1437">
            <v>759650</v>
          </cell>
          <cell r="F1437">
            <v>2470261</v>
          </cell>
          <cell r="G1437">
            <v>3229911</v>
          </cell>
          <cell r="H1437">
            <v>384090</v>
          </cell>
        </row>
        <row r="1438">
          <cell r="A1438" t="str">
            <v>3200</v>
          </cell>
          <cell r="B1438" t="str">
            <v>宮沢　かよ　　　</v>
          </cell>
          <cell r="C1438">
            <v>357800</v>
          </cell>
          <cell r="D1438">
            <v>402660</v>
          </cell>
          <cell r="E1438">
            <v>760460</v>
          </cell>
          <cell r="F1438">
            <v>2104475</v>
          </cell>
          <cell r="G1438">
            <v>2864935</v>
          </cell>
          <cell r="H1438">
            <v>391380</v>
          </cell>
        </row>
        <row r="1439">
          <cell r="A1439" t="str">
            <v>3428</v>
          </cell>
          <cell r="B1439" t="str">
            <v>彦エ　有香　　　</v>
          </cell>
          <cell r="C1439">
            <v>343020</v>
          </cell>
          <cell r="D1439">
            <v>400570</v>
          </cell>
          <cell r="E1439">
            <v>743590</v>
          </cell>
          <cell r="F1439">
            <v>2073596</v>
          </cell>
          <cell r="G1439">
            <v>2817186</v>
          </cell>
          <cell r="H1439">
            <v>357340</v>
          </cell>
        </row>
        <row r="1440">
          <cell r="A1440" t="str">
            <v>3422</v>
          </cell>
          <cell r="B1440" t="str">
            <v>藤井　由紀　　　</v>
          </cell>
          <cell r="C1440">
            <v>345910</v>
          </cell>
          <cell r="D1440">
            <v>400570</v>
          </cell>
          <cell r="E1440">
            <v>746480</v>
          </cell>
          <cell r="F1440">
            <v>2179656</v>
          </cell>
          <cell r="G1440">
            <v>2926136</v>
          </cell>
          <cell r="H1440">
            <v>357340</v>
          </cell>
        </row>
        <row r="1441">
          <cell r="A1441" t="str">
            <v>3398</v>
          </cell>
          <cell r="B1441" t="str">
            <v>橋本　麻弓　　　</v>
          </cell>
          <cell r="C1441">
            <v>342600</v>
          </cell>
          <cell r="D1441">
            <v>400570</v>
          </cell>
          <cell r="E1441">
            <v>743170</v>
          </cell>
          <cell r="F1441">
            <v>2049605</v>
          </cell>
          <cell r="G1441">
            <v>2792775</v>
          </cell>
          <cell r="H1441">
            <v>361900</v>
          </cell>
        </row>
        <row r="1442">
          <cell r="A1442" t="str">
            <v>3536</v>
          </cell>
          <cell r="B1442" t="str">
            <v>新城　健司　　　</v>
          </cell>
          <cell r="C1442">
            <v>95000</v>
          </cell>
          <cell r="D1442">
            <v>400050</v>
          </cell>
          <cell r="E1442">
            <v>495050</v>
          </cell>
          <cell r="F1442">
            <v>1285751</v>
          </cell>
          <cell r="G1442">
            <v>1780801</v>
          </cell>
          <cell r="H1442">
            <v>372100</v>
          </cell>
        </row>
        <row r="1443">
          <cell r="A1443" t="str">
            <v>3532</v>
          </cell>
          <cell r="B1443" t="str">
            <v>尾崎　誠　　　　</v>
          </cell>
          <cell r="C1443">
            <v>95000</v>
          </cell>
          <cell r="D1443">
            <v>400050</v>
          </cell>
          <cell r="E1443">
            <v>495050</v>
          </cell>
          <cell r="F1443">
            <v>1418962</v>
          </cell>
          <cell r="G1443">
            <v>1914012</v>
          </cell>
          <cell r="H1443">
            <v>376990</v>
          </cell>
        </row>
        <row r="1444">
          <cell r="A1444" t="str">
            <v>3529</v>
          </cell>
          <cell r="B1444" t="str">
            <v>相澤　学　　　　</v>
          </cell>
          <cell r="C1444">
            <v>95000</v>
          </cell>
          <cell r="D1444">
            <v>400050</v>
          </cell>
          <cell r="E1444">
            <v>495050</v>
          </cell>
          <cell r="F1444">
            <v>1272562</v>
          </cell>
          <cell r="G1444">
            <v>1767612</v>
          </cell>
          <cell r="H1444">
            <v>372100</v>
          </cell>
        </row>
        <row r="1445">
          <cell r="A1445" t="str">
            <v>3530</v>
          </cell>
          <cell r="B1445" t="str">
            <v>岩佐　大二郎　　</v>
          </cell>
          <cell r="C1445">
            <v>95000</v>
          </cell>
          <cell r="D1445">
            <v>400050</v>
          </cell>
          <cell r="E1445">
            <v>495050</v>
          </cell>
          <cell r="F1445">
            <v>1355775</v>
          </cell>
          <cell r="G1445">
            <v>1850825</v>
          </cell>
          <cell r="H1445">
            <v>383100</v>
          </cell>
        </row>
        <row r="1446">
          <cell r="A1446" t="str">
            <v>3538</v>
          </cell>
          <cell r="B1446" t="str">
            <v>村上　浩司　　　</v>
          </cell>
          <cell r="C1446">
            <v>95000</v>
          </cell>
          <cell r="D1446">
            <v>400050</v>
          </cell>
          <cell r="E1446">
            <v>495050</v>
          </cell>
          <cell r="F1446">
            <v>1254112</v>
          </cell>
          <cell r="G1446">
            <v>1749162</v>
          </cell>
          <cell r="H1446">
            <v>372100</v>
          </cell>
        </row>
        <row r="1447">
          <cell r="A1447" t="str">
            <v>3537</v>
          </cell>
          <cell r="B1447" t="str">
            <v>高橋　雅弘　　　</v>
          </cell>
          <cell r="C1447">
            <v>95000</v>
          </cell>
          <cell r="D1447">
            <v>400050</v>
          </cell>
          <cell r="E1447">
            <v>495050</v>
          </cell>
          <cell r="F1447">
            <v>1381746</v>
          </cell>
          <cell r="G1447">
            <v>1876796</v>
          </cell>
          <cell r="H1447">
            <v>383100</v>
          </cell>
        </row>
        <row r="1448">
          <cell r="A1448" t="str">
            <v>3534</v>
          </cell>
          <cell r="B1448" t="str">
            <v>片平　文彦　　　</v>
          </cell>
          <cell r="C1448">
            <v>95000</v>
          </cell>
          <cell r="D1448">
            <v>400050</v>
          </cell>
          <cell r="E1448">
            <v>495050</v>
          </cell>
          <cell r="F1448">
            <v>1409425</v>
          </cell>
          <cell r="G1448">
            <v>1904475</v>
          </cell>
          <cell r="H1448">
            <v>383100</v>
          </cell>
        </row>
        <row r="1449">
          <cell r="A1449" t="str">
            <v>3533</v>
          </cell>
          <cell r="B1449" t="str">
            <v>小嶋　宏　　　　</v>
          </cell>
          <cell r="C1449">
            <v>95000</v>
          </cell>
          <cell r="D1449">
            <v>400050</v>
          </cell>
          <cell r="E1449">
            <v>495050</v>
          </cell>
          <cell r="F1449">
            <v>1297205</v>
          </cell>
          <cell r="G1449">
            <v>1792255</v>
          </cell>
          <cell r="H1449">
            <v>372100</v>
          </cell>
        </row>
        <row r="1450">
          <cell r="A1450" t="str">
            <v>3531</v>
          </cell>
          <cell r="B1450" t="str">
            <v>江藤　正次　　　</v>
          </cell>
          <cell r="C1450">
            <v>95000</v>
          </cell>
          <cell r="D1450">
            <v>400050</v>
          </cell>
          <cell r="E1450">
            <v>495050</v>
          </cell>
          <cell r="F1450">
            <v>1280099</v>
          </cell>
          <cell r="G1450">
            <v>1775149</v>
          </cell>
          <cell r="H1450">
            <v>372100</v>
          </cell>
        </row>
        <row r="1451">
          <cell r="A1451" t="str">
            <v>3535</v>
          </cell>
          <cell r="B1451" t="str">
            <v>木下　勝善　　　</v>
          </cell>
          <cell r="C1451">
            <v>95000</v>
          </cell>
          <cell r="D1451">
            <v>399820</v>
          </cell>
          <cell r="E1451">
            <v>494820</v>
          </cell>
          <cell r="F1451">
            <v>1302858</v>
          </cell>
          <cell r="G1451">
            <v>1797678</v>
          </cell>
          <cell r="H1451">
            <v>382350</v>
          </cell>
        </row>
        <row r="1452">
          <cell r="A1452" t="str">
            <v>3119</v>
          </cell>
          <cell r="B1452" t="str">
            <v>岩井　睦美　　　</v>
          </cell>
          <cell r="C1452">
            <v>354770</v>
          </cell>
          <cell r="D1452">
            <v>399660</v>
          </cell>
          <cell r="E1452">
            <v>754430</v>
          </cell>
          <cell r="F1452">
            <v>1992143</v>
          </cell>
          <cell r="G1452">
            <v>2746573</v>
          </cell>
          <cell r="H1452">
            <v>379680</v>
          </cell>
        </row>
        <row r="1453">
          <cell r="A1453" t="str">
            <v>3221</v>
          </cell>
          <cell r="B1453" t="str">
            <v>長島　香緒里　　</v>
          </cell>
          <cell r="C1453">
            <v>350700</v>
          </cell>
          <cell r="D1453">
            <v>398230</v>
          </cell>
          <cell r="E1453">
            <v>748930</v>
          </cell>
          <cell r="F1453">
            <v>2029981</v>
          </cell>
          <cell r="G1453">
            <v>2778911</v>
          </cell>
          <cell r="H1453">
            <v>0</v>
          </cell>
        </row>
        <row r="1454">
          <cell r="A1454" t="str">
            <v>3215</v>
          </cell>
          <cell r="B1454" t="str">
            <v>鈴木　飛鳥　　　</v>
          </cell>
          <cell r="C1454">
            <v>351230</v>
          </cell>
          <cell r="D1454">
            <v>398230</v>
          </cell>
          <cell r="E1454">
            <v>749460</v>
          </cell>
          <cell r="F1454">
            <v>1927260</v>
          </cell>
          <cell r="G1454">
            <v>2676720</v>
          </cell>
          <cell r="H1454">
            <v>385880</v>
          </cell>
        </row>
        <row r="1455">
          <cell r="A1455" t="str">
            <v>3213</v>
          </cell>
          <cell r="B1455" t="str">
            <v>桑平　良美　　　</v>
          </cell>
          <cell r="C1455">
            <v>351230</v>
          </cell>
          <cell r="D1455">
            <v>396120</v>
          </cell>
          <cell r="E1455">
            <v>747350</v>
          </cell>
          <cell r="F1455">
            <v>2077928</v>
          </cell>
          <cell r="G1455">
            <v>2825278</v>
          </cell>
          <cell r="H1455">
            <v>383840</v>
          </cell>
        </row>
        <row r="1456">
          <cell r="A1456" t="str">
            <v>3448</v>
          </cell>
          <cell r="B1456" t="str">
            <v>吉田　智美　　　</v>
          </cell>
          <cell r="C1456">
            <v>341070</v>
          </cell>
          <cell r="D1456">
            <v>394670</v>
          </cell>
          <cell r="E1456">
            <v>735740</v>
          </cell>
          <cell r="F1456">
            <v>2112664</v>
          </cell>
          <cell r="G1456">
            <v>2848404</v>
          </cell>
          <cell r="H1456">
            <v>368990</v>
          </cell>
        </row>
        <row r="1457">
          <cell r="A1457" t="str">
            <v>3441</v>
          </cell>
          <cell r="B1457" t="str">
            <v>小走　久仁子　　</v>
          </cell>
          <cell r="C1457">
            <v>341020</v>
          </cell>
          <cell r="D1457">
            <v>393020</v>
          </cell>
          <cell r="E1457">
            <v>734040</v>
          </cell>
          <cell r="F1457">
            <v>2332405</v>
          </cell>
          <cell r="G1457">
            <v>3066445</v>
          </cell>
          <cell r="H1457">
            <v>368990</v>
          </cell>
        </row>
        <row r="1458">
          <cell r="A1458" t="str">
            <v>3399</v>
          </cell>
          <cell r="B1458" t="str">
            <v>江崎　さつき　　</v>
          </cell>
          <cell r="C1458">
            <v>335700</v>
          </cell>
          <cell r="D1458">
            <v>392720</v>
          </cell>
          <cell r="E1458">
            <v>728420</v>
          </cell>
          <cell r="F1458">
            <v>1997681</v>
          </cell>
          <cell r="G1458">
            <v>2726101</v>
          </cell>
          <cell r="H1458">
            <v>350340</v>
          </cell>
        </row>
        <row r="1459">
          <cell r="A1459" t="str">
            <v>3421</v>
          </cell>
          <cell r="B1459" t="str">
            <v>蒲田　英里子　　</v>
          </cell>
          <cell r="C1459">
            <v>342600</v>
          </cell>
          <cell r="D1459">
            <v>392720</v>
          </cell>
          <cell r="E1459">
            <v>735320</v>
          </cell>
          <cell r="F1459">
            <v>2106517</v>
          </cell>
          <cell r="G1459">
            <v>2841837</v>
          </cell>
          <cell r="H1459">
            <v>354800</v>
          </cell>
        </row>
        <row r="1460">
          <cell r="A1460" t="str">
            <v>3403</v>
          </cell>
          <cell r="B1460" t="str">
            <v>津田　知子　　　</v>
          </cell>
          <cell r="C1460">
            <v>335700</v>
          </cell>
          <cell r="D1460">
            <v>392720</v>
          </cell>
          <cell r="E1460">
            <v>728420</v>
          </cell>
          <cell r="F1460">
            <v>2055974</v>
          </cell>
          <cell r="G1460">
            <v>2784394</v>
          </cell>
          <cell r="H1460">
            <v>354800</v>
          </cell>
        </row>
        <row r="1461">
          <cell r="A1461" t="str">
            <v>3416</v>
          </cell>
          <cell r="B1461" t="str">
            <v>塩山　麻里　　　</v>
          </cell>
          <cell r="C1461">
            <v>335700</v>
          </cell>
          <cell r="D1461">
            <v>388800</v>
          </cell>
          <cell r="E1461">
            <v>724500</v>
          </cell>
          <cell r="F1461">
            <v>2739918</v>
          </cell>
          <cell r="G1461">
            <v>3464418</v>
          </cell>
          <cell r="H1461">
            <v>346850</v>
          </cell>
        </row>
        <row r="1462">
          <cell r="A1462" t="str">
            <v>3409</v>
          </cell>
          <cell r="B1462" t="str">
            <v>山口　美保子　　</v>
          </cell>
          <cell r="C1462">
            <v>332890</v>
          </cell>
          <cell r="D1462">
            <v>388800</v>
          </cell>
          <cell r="E1462">
            <v>721690</v>
          </cell>
          <cell r="F1462">
            <v>2309607</v>
          </cell>
          <cell r="G1462">
            <v>3031297</v>
          </cell>
          <cell r="H1462">
            <v>351270</v>
          </cell>
        </row>
        <row r="1463">
          <cell r="A1463" t="str">
            <v>3429</v>
          </cell>
          <cell r="B1463" t="str">
            <v>武智　美穂　　　</v>
          </cell>
          <cell r="C1463">
            <v>339730</v>
          </cell>
          <cell r="D1463">
            <v>387430</v>
          </cell>
          <cell r="E1463">
            <v>727160</v>
          </cell>
          <cell r="F1463">
            <v>2031614</v>
          </cell>
          <cell r="G1463">
            <v>2758774</v>
          </cell>
          <cell r="H1463">
            <v>354800</v>
          </cell>
        </row>
        <row r="1464">
          <cell r="A1464" t="str">
            <v>3222</v>
          </cell>
          <cell r="B1464" t="str">
            <v>西堀　真理　　　</v>
          </cell>
          <cell r="C1464">
            <v>343570</v>
          </cell>
          <cell r="D1464">
            <v>387370</v>
          </cell>
          <cell r="E1464">
            <v>730940</v>
          </cell>
          <cell r="F1464">
            <v>1935787</v>
          </cell>
          <cell r="G1464">
            <v>2666727</v>
          </cell>
          <cell r="H1464">
            <v>368010</v>
          </cell>
        </row>
        <row r="1465">
          <cell r="A1465" t="str">
            <v>3449</v>
          </cell>
          <cell r="B1465" t="str">
            <v>熊谷　昌美　　　</v>
          </cell>
          <cell r="C1465">
            <v>334450</v>
          </cell>
          <cell r="D1465">
            <v>387080</v>
          </cell>
          <cell r="E1465">
            <v>721530</v>
          </cell>
          <cell r="F1465">
            <v>2059492</v>
          </cell>
          <cell r="G1465">
            <v>2781022</v>
          </cell>
          <cell r="H1465">
            <v>361900</v>
          </cell>
        </row>
        <row r="1466">
          <cell r="A1466" t="str">
            <v>3224</v>
          </cell>
          <cell r="B1466" t="str">
            <v>藤田　裕美　　　</v>
          </cell>
          <cell r="C1466">
            <v>343570</v>
          </cell>
          <cell r="D1466">
            <v>385340</v>
          </cell>
          <cell r="E1466">
            <v>728910</v>
          </cell>
          <cell r="F1466">
            <v>2073885</v>
          </cell>
          <cell r="G1466">
            <v>2802795</v>
          </cell>
          <cell r="H1466">
            <v>366090</v>
          </cell>
        </row>
        <row r="1467">
          <cell r="A1467" t="str">
            <v>3212</v>
          </cell>
          <cell r="B1467" t="str">
            <v>木佐貫　理江　　</v>
          </cell>
          <cell r="C1467">
            <v>343100</v>
          </cell>
          <cell r="D1467">
            <v>385340</v>
          </cell>
          <cell r="E1467">
            <v>728440</v>
          </cell>
          <cell r="F1467">
            <v>2096488</v>
          </cell>
          <cell r="G1467">
            <v>2824928</v>
          </cell>
          <cell r="H1467">
            <v>366090</v>
          </cell>
        </row>
        <row r="1468">
          <cell r="A1468" t="str">
            <v>3211</v>
          </cell>
          <cell r="B1468" t="str">
            <v>川那部　真理　　</v>
          </cell>
          <cell r="C1468">
            <v>327900</v>
          </cell>
          <cell r="D1468">
            <v>385340</v>
          </cell>
          <cell r="E1468">
            <v>713240</v>
          </cell>
          <cell r="F1468">
            <v>1929847</v>
          </cell>
          <cell r="G1468">
            <v>2643087</v>
          </cell>
          <cell r="H1468">
            <v>355070</v>
          </cell>
        </row>
        <row r="1469">
          <cell r="A1469" t="str">
            <v>3217</v>
          </cell>
          <cell r="B1469" t="str">
            <v>十亀　由理　　　</v>
          </cell>
          <cell r="C1469">
            <v>335910</v>
          </cell>
          <cell r="D1469">
            <v>385340</v>
          </cell>
          <cell r="E1469">
            <v>721250</v>
          </cell>
          <cell r="F1469">
            <v>2099291</v>
          </cell>
          <cell r="G1469">
            <v>2820541</v>
          </cell>
          <cell r="H1469">
            <v>366090</v>
          </cell>
        </row>
        <row r="1470">
          <cell r="A1470" t="str">
            <v>3207</v>
          </cell>
          <cell r="B1470" t="str">
            <v>岡野　長生子　　</v>
          </cell>
          <cell r="C1470">
            <v>342640</v>
          </cell>
          <cell r="D1470">
            <v>385340</v>
          </cell>
          <cell r="E1470">
            <v>727980</v>
          </cell>
          <cell r="F1470">
            <v>1987282</v>
          </cell>
          <cell r="G1470">
            <v>2715262</v>
          </cell>
          <cell r="H1470">
            <v>355590</v>
          </cell>
        </row>
        <row r="1471">
          <cell r="A1471" t="str">
            <v>3223</v>
          </cell>
          <cell r="B1471" t="str">
            <v>半下石　マキ　　</v>
          </cell>
          <cell r="C1471">
            <v>335500</v>
          </cell>
          <cell r="D1471">
            <v>385340</v>
          </cell>
          <cell r="E1471">
            <v>720840</v>
          </cell>
          <cell r="F1471">
            <v>1983262</v>
          </cell>
          <cell r="G1471">
            <v>2704102</v>
          </cell>
          <cell r="H1471">
            <v>355070</v>
          </cell>
        </row>
        <row r="1472">
          <cell r="A1472" t="str">
            <v>3225</v>
          </cell>
          <cell r="B1472" t="str">
            <v>山口　佐智子　　</v>
          </cell>
          <cell r="C1472">
            <v>343570</v>
          </cell>
          <cell r="D1472">
            <v>385340</v>
          </cell>
          <cell r="E1472">
            <v>728910</v>
          </cell>
          <cell r="F1472">
            <v>1912374</v>
          </cell>
          <cell r="G1472">
            <v>2641284</v>
          </cell>
          <cell r="H1472">
            <v>366090</v>
          </cell>
        </row>
        <row r="1473">
          <cell r="A1473" t="str">
            <v>3426</v>
          </cell>
          <cell r="B1473" t="str">
            <v>井後　奈都子　　</v>
          </cell>
          <cell r="C1473">
            <v>334000</v>
          </cell>
          <cell r="D1473">
            <v>384860</v>
          </cell>
          <cell r="E1473">
            <v>718860</v>
          </cell>
          <cell r="F1473">
            <v>2081329</v>
          </cell>
          <cell r="G1473">
            <v>2800189</v>
          </cell>
          <cell r="H1473">
            <v>347710</v>
          </cell>
        </row>
        <row r="1474">
          <cell r="A1474" t="str">
            <v>3357</v>
          </cell>
          <cell r="B1474" t="str">
            <v>明山　浩美　　　</v>
          </cell>
          <cell r="C1474">
            <v>334750</v>
          </cell>
          <cell r="D1474">
            <v>384860</v>
          </cell>
          <cell r="E1474">
            <v>719610</v>
          </cell>
          <cell r="F1474">
            <v>2007886</v>
          </cell>
          <cell r="G1474">
            <v>2727496</v>
          </cell>
          <cell r="H1474">
            <v>369600</v>
          </cell>
        </row>
        <row r="1475">
          <cell r="A1475" t="str">
            <v>3362</v>
          </cell>
          <cell r="B1475" t="str">
            <v>古川　栄里　　　</v>
          </cell>
          <cell r="C1475">
            <v>335110</v>
          </cell>
          <cell r="D1475">
            <v>384860</v>
          </cell>
          <cell r="E1475">
            <v>719970</v>
          </cell>
          <cell r="F1475">
            <v>2109230</v>
          </cell>
          <cell r="G1475">
            <v>2829200</v>
          </cell>
          <cell r="H1475">
            <v>373980</v>
          </cell>
        </row>
        <row r="1476">
          <cell r="A1476" t="str">
            <v>3220</v>
          </cell>
          <cell r="B1476" t="str">
            <v>露口　恵子　　　</v>
          </cell>
          <cell r="C1476">
            <v>335910</v>
          </cell>
          <cell r="D1476">
            <v>383290</v>
          </cell>
          <cell r="E1476">
            <v>719200</v>
          </cell>
          <cell r="F1476">
            <v>2022312</v>
          </cell>
          <cell r="G1476">
            <v>2741512</v>
          </cell>
          <cell r="H1476">
            <v>364130</v>
          </cell>
        </row>
        <row r="1477">
          <cell r="A1477" t="str">
            <v>3218</v>
          </cell>
          <cell r="B1477" t="str">
            <v>十河　有希子　　</v>
          </cell>
          <cell r="C1477">
            <v>335910</v>
          </cell>
          <cell r="D1477">
            <v>383290</v>
          </cell>
          <cell r="E1477">
            <v>719200</v>
          </cell>
          <cell r="F1477">
            <v>2165932</v>
          </cell>
          <cell r="G1477">
            <v>2885132</v>
          </cell>
          <cell r="H1477">
            <v>364130</v>
          </cell>
        </row>
        <row r="1478">
          <cell r="A1478" t="str">
            <v>3443</v>
          </cell>
          <cell r="B1478" t="str">
            <v>川口　祐喜子　　</v>
          </cell>
          <cell r="C1478">
            <v>334740</v>
          </cell>
          <cell r="D1478">
            <v>383030</v>
          </cell>
          <cell r="E1478">
            <v>717770</v>
          </cell>
          <cell r="F1478">
            <v>2064587</v>
          </cell>
          <cell r="G1478">
            <v>2782357</v>
          </cell>
          <cell r="H1478">
            <v>357340</v>
          </cell>
        </row>
        <row r="1479">
          <cell r="A1479" t="str">
            <v>3358</v>
          </cell>
          <cell r="B1479" t="str">
            <v>斉藤　恭子　　　</v>
          </cell>
          <cell r="C1479">
            <v>330660</v>
          </cell>
          <cell r="D1479">
            <v>379680</v>
          </cell>
          <cell r="E1479">
            <v>710340</v>
          </cell>
          <cell r="F1479">
            <v>2078070</v>
          </cell>
          <cell r="G1479">
            <v>2788410</v>
          </cell>
          <cell r="H1479">
            <v>361940</v>
          </cell>
        </row>
        <row r="1480">
          <cell r="A1480" t="str">
            <v>3363</v>
          </cell>
          <cell r="B1480" t="str">
            <v>森　恵子　　　　</v>
          </cell>
          <cell r="C1480">
            <v>325090</v>
          </cell>
          <cell r="D1480">
            <v>379680</v>
          </cell>
          <cell r="E1480">
            <v>704770</v>
          </cell>
          <cell r="F1480">
            <v>2013645</v>
          </cell>
          <cell r="G1480">
            <v>2718415</v>
          </cell>
          <cell r="H1480">
            <v>361940</v>
          </cell>
        </row>
        <row r="1481">
          <cell r="A1481" t="str">
            <v>3361</v>
          </cell>
          <cell r="B1481" t="str">
            <v>辻上　早苗　　　</v>
          </cell>
          <cell r="C1481">
            <v>325090</v>
          </cell>
          <cell r="D1481">
            <v>378930</v>
          </cell>
          <cell r="E1481">
            <v>704020</v>
          </cell>
          <cell r="F1481">
            <v>2099250</v>
          </cell>
          <cell r="G1481">
            <v>2803270</v>
          </cell>
          <cell r="H1481">
            <v>361010</v>
          </cell>
        </row>
        <row r="1482">
          <cell r="A1482" t="str">
            <v>3288</v>
          </cell>
          <cell r="B1482" t="str">
            <v>村主　さおり　　</v>
          </cell>
          <cell r="C1482">
            <v>332930</v>
          </cell>
          <cell r="D1482">
            <v>377010</v>
          </cell>
          <cell r="E1482">
            <v>709940</v>
          </cell>
          <cell r="F1482">
            <v>2223212</v>
          </cell>
          <cell r="G1482">
            <v>2933152</v>
          </cell>
          <cell r="H1482">
            <v>362060</v>
          </cell>
        </row>
        <row r="1483">
          <cell r="A1483" t="str">
            <v>3458</v>
          </cell>
          <cell r="B1483" t="str">
            <v>増山　小夜子　　</v>
          </cell>
          <cell r="C1483">
            <v>126000</v>
          </cell>
          <cell r="D1483">
            <v>375710</v>
          </cell>
          <cell r="E1483">
            <v>501710</v>
          </cell>
          <cell r="F1483">
            <v>1565150</v>
          </cell>
          <cell r="G1483">
            <v>2066860</v>
          </cell>
          <cell r="H1483">
            <v>346850</v>
          </cell>
        </row>
        <row r="1484">
          <cell r="A1484" t="str">
            <v>3455</v>
          </cell>
          <cell r="B1484" t="str">
            <v>田淵　笑子　　　</v>
          </cell>
          <cell r="C1484">
            <v>317480</v>
          </cell>
          <cell r="D1484">
            <v>375710</v>
          </cell>
          <cell r="E1484">
            <v>693190</v>
          </cell>
          <cell r="F1484">
            <v>2044756</v>
          </cell>
          <cell r="G1484">
            <v>2737946</v>
          </cell>
          <cell r="H1484">
            <v>351270</v>
          </cell>
        </row>
        <row r="1485">
          <cell r="A1485" t="str">
            <v>3447</v>
          </cell>
          <cell r="B1485" t="str">
            <v>蘆本　みち子　　</v>
          </cell>
          <cell r="C1485">
            <v>323040</v>
          </cell>
          <cell r="D1485">
            <v>375520</v>
          </cell>
          <cell r="E1485">
            <v>698560</v>
          </cell>
          <cell r="F1485">
            <v>2031225</v>
          </cell>
          <cell r="G1485">
            <v>2729785</v>
          </cell>
          <cell r="H1485">
            <v>350340</v>
          </cell>
        </row>
        <row r="1486">
          <cell r="A1486" t="str">
            <v>3467</v>
          </cell>
          <cell r="B1486" t="str">
            <v>世戸　基子　　　</v>
          </cell>
          <cell r="C1486">
            <v>106000</v>
          </cell>
          <cell r="D1486">
            <v>373510</v>
          </cell>
          <cell r="E1486">
            <v>479510</v>
          </cell>
          <cell r="F1486">
            <v>1484435</v>
          </cell>
          <cell r="G1486">
            <v>1963945</v>
          </cell>
          <cell r="H1486">
            <v>351270</v>
          </cell>
        </row>
        <row r="1487">
          <cell r="A1487" t="str">
            <v>3359</v>
          </cell>
          <cell r="B1487" t="str">
            <v>品田　真美　　　</v>
          </cell>
          <cell r="C1487">
            <v>325090</v>
          </cell>
          <cell r="D1487">
            <v>373190</v>
          </cell>
          <cell r="E1487">
            <v>698280</v>
          </cell>
          <cell r="F1487">
            <v>2013606</v>
          </cell>
          <cell r="G1487">
            <v>2711886</v>
          </cell>
          <cell r="H1487">
            <v>354280</v>
          </cell>
        </row>
        <row r="1488">
          <cell r="A1488" t="str">
            <v>3427</v>
          </cell>
          <cell r="B1488" t="str">
            <v>赤井　都代美　　</v>
          </cell>
          <cell r="C1488">
            <v>314310</v>
          </cell>
          <cell r="D1488">
            <v>371930</v>
          </cell>
          <cell r="E1488">
            <v>686240</v>
          </cell>
          <cell r="F1488">
            <v>2062102</v>
          </cell>
          <cell r="G1488">
            <v>2748342</v>
          </cell>
          <cell r="H1488">
            <v>336330</v>
          </cell>
        </row>
        <row r="1489">
          <cell r="A1489" t="str">
            <v>3444</v>
          </cell>
          <cell r="B1489" t="str">
            <v>桝本　雪子　　　</v>
          </cell>
          <cell r="C1489">
            <v>321510</v>
          </cell>
          <cell r="D1489">
            <v>371900</v>
          </cell>
          <cell r="E1489">
            <v>693410</v>
          </cell>
          <cell r="F1489">
            <v>1989374</v>
          </cell>
          <cell r="G1489">
            <v>2682784</v>
          </cell>
          <cell r="H1489">
            <v>347360</v>
          </cell>
        </row>
        <row r="1490">
          <cell r="A1490" t="str">
            <v>3450</v>
          </cell>
          <cell r="B1490" t="str">
            <v>菅野　香苗　　　</v>
          </cell>
          <cell r="C1490">
            <v>319670</v>
          </cell>
          <cell r="D1490">
            <v>371270</v>
          </cell>
          <cell r="E1490">
            <v>690940</v>
          </cell>
          <cell r="F1490">
            <v>2126817</v>
          </cell>
          <cell r="G1490">
            <v>2817757</v>
          </cell>
          <cell r="H1490">
            <v>347710</v>
          </cell>
        </row>
        <row r="1491">
          <cell r="A1491" t="str">
            <v>3273</v>
          </cell>
          <cell r="B1491" t="str">
            <v>木村　育子　　　</v>
          </cell>
          <cell r="C1491">
            <v>329340</v>
          </cell>
          <cell r="D1491">
            <v>371130</v>
          </cell>
          <cell r="E1491">
            <v>700470</v>
          </cell>
          <cell r="F1491">
            <v>2025034</v>
          </cell>
          <cell r="G1491">
            <v>2725504</v>
          </cell>
          <cell r="H1491">
            <v>356400</v>
          </cell>
        </row>
        <row r="1492">
          <cell r="A1492" t="str">
            <v>3445</v>
          </cell>
          <cell r="B1492" t="str">
            <v>金川　佳子　　　</v>
          </cell>
          <cell r="C1492">
            <v>312880</v>
          </cell>
          <cell r="D1492">
            <v>369050</v>
          </cell>
          <cell r="E1492">
            <v>681930</v>
          </cell>
          <cell r="F1492">
            <v>2062013</v>
          </cell>
          <cell r="G1492">
            <v>2743943</v>
          </cell>
          <cell r="H1492">
            <v>346650</v>
          </cell>
        </row>
        <row r="1493">
          <cell r="A1493" t="str">
            <v>3410</v>
          </cell>
          <cell r="B1493" t="str">
            <v>黒山　亜紀子　　</v>
          </cell>
          <cell r="C1493">
            <v>318550</v>
          </cell>
          <cell r="D1493">
            <v>368070</v>
          </cell>
          <cell r="E1493">
            <v>686620</v>
          </cell>
          <cell r="F1493">
            <v>1922874</v>
          </cell>
          <cell r="G1493">
            <v>2609494</v>
          </cell>
          <cell r="H1493">
            <v>332530</v>
          </cell>
        </row>
        <row r="1494">
          <cell r="A1494" t="str">
            <v>3442</v>
          </cell>
          <cell r="B1494" t="str">
            <v>内野　有佳　　　</v>
          </cell>
          <cell r="C1494">
            <v>321510</v>
          </cell>
          <cell r="D1494">
            <v>368010</v>
          </cell>
          <cell r="E1494">
            <v>689520</v>
          </cell>
          <cell r="F1494">
            <v>1999372</v>
          </cell>
          <cell r="G1494">
            <v>2688892</v>
          </cell>
          <cell r="H1494">
            <v>347710</v>
          </cell>
        </row>
        <row r="1495">
          <cell r="A1495" t="str">
            <v>3360</v>
          </cell>
          <cell r="B1495" t="str">
            <v>杉本　良子　　　</v>
          </cell>
          <cell r="C1495">
            <v>330660</v>
          </cell>
          <cell r="D1495">
            <v>368010</v>
          </cell>
          <cell r="E1495">
            <v>698670</v>
          </cell>
          <cell r="F1495">
            <v>1964316</v>
          </cell>
          <cell r="G1495">
            <v>2662986</v>
          </cell>
          <cell r="H1495">
            <v>346620</v>
          </cell>
        </row>
        <row r="1496">
          <cell r="A1496" t="str">
            <v>3208</v>
          </cell>
          <cell r="B1496" t="str">
            <v>長田　保美　　　</v>
          </cell>
          <cell r="C1496">
            <v>328250</v>
          </cell>
          <cell r="D1496">
            <v>367930</v>
          </cell>
          <cell r="E1496">
            <v>696180</v>
          </cell>
          <cell r="F1496">
            <v>1900882</v>
          </cell>
          <cell r="G1496">
            <v>2597062</v>
          </cell>
          <cell r="H1496">
            <v>346150</v>
          </cell>
        </row>
        <row r="1497">
          <cell r="A1497" t="str">
            <v>3433</v>
          </cell>
          <cell r="B1497" t="str">
            <v>和田　美幸　　　</v>
          </cell>
          <cell r="C1497">
            <v>331470</v>
          </cell>
          <cell r="D1497">
            <v>366050</v>
          </cell>
          <cell r="E1497">
            <v>697520</v>
          </cell>
          <cell r="F1497">
            <v>2097356</v>
          </cell>
          <cell r="G1497">
            <v>2794876</v>
          </cell>
          <cell r="H1497">
            <v>347360</v>
          </cell>
        </row>
        <row r="1498">
          <cell r="A1498" t="str">
            <v>3452</v>
          </cell>
          <cell r="B1498" t="str">
            <v>河内屋　京子　　</v>
          </cell>
          <cell r="C1498">
            <v>313470</v>
          </cell>
          <cell r="D1498">
            <v>361390</v>
          </cell>
          <cell r="E1498">
            <v>674860</v>
          </cell>
          <cell r="F1498">
            <v>1998145</v>
          </cell>
          <cell r="G1498">
            <v>2673005</v>
          </cell>
          <cell r="H1498">
            <v>336460</v>
          </cell>
        </row>
        <row r="1499">
          <cell r="A1499" t="str">
            <v>3379</v>
          </cell>
          <cell r="B1499" t="str">
            <v>谷山　利香　　　</v>
          </cell>
          <cell r="C1499">
            <v>310480</v>
          </cell>
          <cell r="D1499">
            <v>361330</v>
          </cell>
          <cell r="E1499">
            <v>671810</v>
          </cell>
          <cell r="F1499">
            <v>1873700</v>
          </cell>
          <cell r="G1499">
            <v>2545510</v>
          </cell>
          <cell r="H1499">
            <v>339810</v>
          </cell>
        </row>
        <row r="1500">
          <cell r="A1500" t="str">
            <v>3371</v>
          </cell>
          <cell r="B1500" t="str">
            <v>今岡　左知　　　</v>
          </cell>
          <cell r="C1500">
            <v>310480</v>
          </cell>
          <cell r="D1500">
            <v>361330</v>
          </cell>
          <cell r="E1500">
            <v>671810</v>
          </cell>
          <cell r="F1500">
            <v>1912646</v>
          </cell>
          <cell r="G1500">
            <v>2584456</v>
          </cell>
          <cell r="H1500">
            <v>347010</v>
          </cell>
        </row>
        <row r="1501">
          <cell r="A1501" t="str">
            <v>3378</v>
          </cell>
          <cell r="B1501" t="str">
            <v>高橋　里枝　　　</v>
          </cell>
          <cell r="C1501">
            <v>310170</v>
          </cell>
          <cell r="D1501">
            <v>356460</v>
          </cell>
          <cell r="E1501">
            <v>666630</v>
          </cell>
          <cell r="F1501">
            <v>1844616</v>
          </cell>
          <cell r="G1501">
            <v>2511246</v>
          </cell>
          <cell r="H1501">
            <v>332620</v>
          </cell>
        </row>
        <row r="1502">
          <cell r="A1502" t="str">
            <v>3375</v>
          </cell>
          <cell r="B1502" t="str">
            <v>鈴木　明子　　　</v>
          </cell>
          <cell r="C1502">
            <v>310480</v>
          </cell>
          <cell r="D1502">
            <v>356460</v>
          </cell>
          <cell r="E1502">
            <v>666940</v>
          </cell>
          <cell r="F1502">
            <v>1923497</v>
          </cell>
          <cell r="G1502">
            <v>2590437</v>
          </cell>
          <cell r="H1502">
            <v>339810</v>
          </cell>
        </row>
        <row r="1503">
          <cell r="A1503" t="str">
            <v>3381</v>
          </cell>
          <cell r="B1503" t="str">
            <v>古澤　利恵　　　</v>
          </cell>
          <cell r="C1503">
            <v>310480</v>
          </cell>
          <cell r="D1503">
            <v>356460</v>
          </cell>
          <cell r="E1503">
            <v>666940</v>
          </cell>
          <cell r="F1503">
            <v>1876275</v>
          </cell>
          <cell r="G1503">
            <v>2543215</v>
          </cell>
          <cell r="H1503">
            <v>339810</v>
          </cell>
        </row>
        <row r="1504">
          <cell r="A1504" t="str">
            <v>3374</v>
          </cell>
          <cell r="B1504" t="str">
            <v>白井　千晴　　　</v>
          </cell>
          <cell r="C1504">
            <v>310480</v>
          </cell>
          <cell r="D1504">
            <v>356460</v>
          </cell>
          <cell r="E1504">
            <v>666940</v>
          </cell>
          <cell r="F1504">
            <v>2031820</v>
          </cell>
          <cell r="G1504">
            <v>2698760</v>
          </cell>
          <cell r="H1504">
            <v>339810</v>
          </cell>
        </row>
        <row r="1505">
          <cell r="A1505" t="str">
            <v>3372</v>
          </cell>
          <cell r="B1505" t="str">
            <v>小林　恵子　　　</v>
          </cell>
          <cell r="C1505">
            <v>310480</v>
          </cell>
          <cell r="D1505">
            <v>356460</v>
          </cell>
          <cell r="E1505">
            <v>666940</v>
          </cell>
          <cell r="F1505">
            <v>1881191</v>
          </cell>
          <cell r="G1505">
            <v>2548131</v>
          </cell>
          <cell r="H1505">
            <v>339810</v>
          </cell>
        </row>
        <row r="1506">
          <cell r="A1506" t="str">
            <v>3377</v>
          </cell>
          <cell r="B1506" t="str">
            <v>高田　ますみ　　</v>
          </cell>
          <cell r="C1506">
            <v>310480</v>
          </cell>
          <cell r="D1506">
            <v>356460</v>
          </cell>
          <cell r="E1506">
            <v>666940</v>
          </cell>
          <cell r="F1506">
            <v>2089589</v>
          </cell>
          <cell r="G1506">
            <v>2756529</v>
          </cell>
          <cell r="H1506">
            <v>339810</v>
          </cell>
        </row>
        <row r="1507">
          <cell r="A1507" t="str">
            <v>0680</v>
          </cell>
          <cell r="B1507" t="str">
            <v>早瀬　和子　　　</v>
          </cell>
          <cell r="C1507">
            <v>325440</v>
          </cell>
          <cell r="D1507">
            <v>352770</v>
          </cell>
          <cell r="E1507">
            <v>678210</v>
          </cell>
          <cell r="F1507">
            <v>2024515</v>
          </cell>
          <cell r="G1507">
            <v>2702725</v>
          </cell>
          <cell r="H1507">
            <v>319500</v>
          </cell>
        </row>
        <row r="1508">
          <cell r="A1508" t="str">
            <v>3382</v>
          </cell>
          <cell r="B1508" t="str">
            <v>堀井　真理子　　</v>
          </cell>
          <cell r="C1508">
            <v>305250</v>
          </cell>
          <cell r="D1508">
            <v>350380</v>
          </cell>
          <cell r="E1508">
            <v>655630</v>
          </cell>
          <cell r="F1508">
            <v>1869804</v>
          </cell>
          <cell r="G1508">
            <v>2525434</v>
          </cell>
          <cell r="H1508">
            <v>339810</v>
          </cell>
        </row>
        <row r="1509">
          <cell r="A1509" t="str">
            <v>3525</v>
          </cell>
          <cell r="B1509" t="str">
            <v>福田　明子　　　</v>
          </cell>
          <cell r="C1509">
            <v>105000</v>
          </cell>
          <cell r="D1509">
            <v>347640</v>
          </cell>
          <cell r="E1509">
            <v>452640</v>
          </cell>
          <cell r="F1509">
            <v>1332577</v>
          </cell>
          <cell r="G1509">
            <v>1785217</v>
          </cell>
          <cell r="H1509">
            <v>327380</v>
          </cell>
        </row>
        <row r="1510">
          <cell r="A1510" t="str">
            <v>3514</v>
          </cell>
          <cell r="B1510" t="str">
            <v>荒川　敦子　　　</v>
          </cell>
          <cell r="C1510">
            <v>105000</v>
          </cell>
          <cell r="D1510">
            <v>347640</v>
          </cell>
          <cell r="E1510">
            <v>452640</v>
          </cell>
          <cell r="F1510">
            <v>1357032</v>
          </cell>
          <cell r="G1510">
            <v>1809672</v>
          </cell>
          <cell r="H1510">
            <v>332680</v>
          </cell>
        </row>
        <row r="1511">
          <cell r="A1511" t="str">
            <v>3516</v>
          </cell>
          <cell r="B1511" t="str">
            <v>上野　由美子　　</v>
          </cell>
          <cell r="C1511">
            <v>105000</v>
          </cell>
          <cell r="D1511">
            <v>347640</v>
          </cell>
          <cell r="E1511">
            <v>452640</v>
          </cell>
          <cell r="F1511">
            <v>1327524</v>
          </cell>
          <cell r="G1511">
            <v>1780164</v>
          </cell>
          <cell r="H1511">
            <v>336930</v>
          </cell>
        </row>
        <row r="1512">
          <cell r="A1512" t="str">
            <v>3520</v>
          </cell>
          <cell r="B1512" t="str">
            <v>曽根勝　治代　　</v>
          </cell>
          <cell r="C1512">
            <v>105000</v>
          </cell>
          <cell r="D1512">
            <v>347640</v>
          </cell>
          <cell r="E1512">
            <v>452640</v>
          </cell>
          <cell r="F1512">
            <v>1319159</v>
          </cell>
          <cell r="G1512">
            <v>1771799</v>
          </cell>
          <cell r="H1512">
            <v>332370</v>
          </cell>
        </row>
        <row r="1513">
          <cell r="A1513" t="str">
            <v>3528</v>
          </cell>
          <cell r="B1513" t="str">
            <v>柳田　成代　　　</v>
          </cell>
          <cell r="C1513">
            <v>105000</v>
          </cell>
          <cell r="D1513">
            <v>347640</v>
          </cell>
          <cell r="E1513">
            <v>452640</v>
          </cell>
          <cell r="F1513">
            <v>1321432</v>
          </cell>
          <cell r="G1513">
            <v>1774072</v>
          </cell>
          <cell r="H1513">
            <v>327380</v>
          </cell>
        </row>
        <row r="1514">
          <cell r="A1514" t="str">
            <v>3515</v>
          </cell>
          <cell r="B1514" t="str">
            <v>荒瀬　雅子　　　</v>
          </cell>
          <cell r="C1514">
            <v>105000</v>
          </cell>
          <cell r="D1514">
            <v>347640</v>
          </cell>
          <cell r="E1514">
            <v>452640</v>
          </cell>
          <cell r="F1514">
            <v>1341343</v>
          </cell>
          <cell r="G1514">
            <v>1793983</v>
          </cell>
          <cell r="H1514">
            <v>327380</v>
          </cell>
        </row>
        <row r="1515">
          <cell r="A1515" t="str">
            <v>3527</v>
          </cell>
          <cell r="B1515" t="str">
            <v>森岡　美佳　　　</v>
          </cell>
          <cell r="C1515">
            <v>105000</v>
          </cell>
          <cell r="D1515">
            <v>347640</v>
          </cell>
          <cell r="E1515">
            <v>452640</v>
          </cell>
          <cell r="F1515">
            <v>1325766</v>
          </cell>
          <cell r="G1515">
            <v>1778406</v>
          </cell>
          <cell r="H1515">
            <v>327380</v>
          </cell>
        </row>
        <row r="1516">
          <cell r="A1516" t="str">
            <v>3524</v>
          </cell>
          <cell r="B1516" t="str">
            <v>伴仲　幸子　　　</v>
          </cell>
          <cell r="C1516">
            <v>105000</v>
          </cell>
          <cell r="D1516">
            <v>347640</v>
          </cell>
          <cell r="E1516">
            <v>452640</v>
          </cell>
          <cell r="F1516">
            <v>1332886</v>
          </cell>
          <cell r="G1516">
            <v>1785526</v>
          </cell>
          <cell r="H1516">
            <v>332680</v>
          </cell>
        </row>
        <row r="1517">
          <cell r="A1517" t="str">
            <v>3526</v>
          </cell>
          <cell r="B1517" t="str">
            <v>望田　悦子　　　</v>
          </cell>
          <cell r="C1517">
            <v>105000</v>
          </cell>
          <cell r="D1517">
            <v>347640</v>
          </cell>
          <cell r="E1517">
            <v>452640</v>
          </cell>
          <cell r="F1517">
            <v>1327413</v>
          </cell>
          <cell r="G1517">
            <v>1780053</v>
          </cell>
          <cell r="H1517">
            <v>332680</v>
          </cell>
        </row>
        <row r="1518">
          <cell r="A1518" t="str">
            <v>3518</v>
          </cell>
          <cell r="B1518" t="str">
            <v>杉山　佳美　　　</v>
          </cell>
          <cell r="C1518">
            <v>105000</v>
          </cell>
          <cell r="D1518">
            <v>347640</v>
          </cell>
          <cell r="E1518">
            <v>452640</v>
          </cell>
          <cell r="F1518">
            <v>1329171</v>
          </cell>
          <cell r="G1518">
            <v>1781811</v>
          </cell>
          <cell r="H1518">
            <v>336930</v>
          </cell>
        </row>
        <row r="1519">
          <cell r="A1519" t="str">
            <v>3521</v>
          </cell>
          <cell r="B1519" t="str">
            <v>對馬　響　　　　</v>
          </cell>
          <cell r="C1519">
            <v>105000</v>
          </cell>
          <cell r="D1519">
            <v>347640</v>
          </cell>
          <cell r="E1519">
            <v>452640</v>
          </cell>
          <cell r="F1519">
            <v>1352698</v>
          </cell>
          <cell r="G1519">
            <v>1805338</v>
          </cell>
          <cell r="H1519">
            <v>336930</v>
          </cell>
        </row>
        <row r="1520">
          <cell r="A1520" t="str">
            <v>3517</v>
          </cell>
          <cell r="B1520" t="str">
            <v>亀田　弘子　　　</v>
          </cell>
          <cell r="C1520">
            <v>105000</v>
          </cell>
          <cell r="D1520">
            <v>347640</v>
          </cell>
          <cell r="E1520">
            <v>452640</v>
          </cell>
          <cell r="F1520">
            <v>1339598</v>
          </cell>
          <cell r="G1520">
            <v>1792238</v>
          </cell>
          <cell r="H1520">
            <v>336930</v>
          </cell>
        </row>
        <row r="1521">
          <cell r="A1521" t="str">
            <v>3523</v>
          </cell>
          <cell r="B1521" t="str">
            <v>野村　珠実　　　</v>
          </cell>
          <cell r="C1521">
            <v>105000</v>
          </cell>
          <cell r="D1521">
            <v>347640</v>
          </cell>
          <cell r="E1521">
            <v>452640</v>
          </cell>
          <cell r="F1521">
            <v>1327623</v>
          </cell>
          <cell r="G1521">
            <v>1780263</v>
          </cell>
          <cell r="H1521">
            <v>327380</v>
          </cell>
        </row>
        <row r="1522">
          <cell r="A1522" t="str">
            <v>3519</v>
          </cell>
          <cell r="B1522" t="str">
            <v>関根　美紀　　　</v>
          </cell>
          <cell r="C1522">
            <v>105000</v>
          </cell>
          <cell r="D1522">
            <v>347640</v>
          </cell>
          <cell r="E1522">
            <v>452640</v>
          </cell>
          <cell r="F1522">
            <v>1320841</v>
          </cell>
          <cell r="G1522">
            <v>1773481</v>
          </cell>
          <cell r="H1522">
            <v>332680</v>
          </cell>
        </row>
        <row r="1523">
          <cell r="A1523" t="str">
            <v>3522</v>
          </cell>
          <cell r="B1523" t="str">
            <v>土地　はる香　　</v>
          </cell>
          <cell r="C1523">
            <v>105000</v>
          </cell>
          <cell r="D1523">
            <v>347640</v>
          </cell>
          <cell r="E1523">
            <v>452640</v>
          </cell>
          <cell r="F1523">
            <v>1321432</v>
          </cell>
          <cell r="G1523">
            <v>1774072</v>
          </cell>
          <cell r="H1523">
            <v>332680</v>
          </cell>
        </row>
        <row r="1524">
          <cell r="A1524" t="str">
            <v>3557</v>
          </cell>
          <cell r="B1524" t="str">
            <v>野中　雅子　　　</v>
          </cell>
          <cell r="C1524">
            <v>31000</v>
          </cell>
          <cell r="D1524">
            <v>346030</v>
          </cell>
          <cell r="E1524">
            <v>377030</v>
          </cell>
          <cell r="F1524">
            <v>1102456</v>
          </cell>
          <cell r="G1524">
            <v>1479486</v>
          </cell>
          <cell r="H1524">
            <v>325760</v>
          </cell>
        </row>
        <row r="1525">
          <cell r="A1525" t="str">
            <v>3373</v>
          </cell>
          <cell r="B1525" t="str">
            <v>島田　陽子　　　</v>
          </cell>
          <cell r="C1525">
            <v>300840</v>
          </cell>
          <cell r="D1525">
            <v>344980</v>
          </cell>
          <cell r="E1525">
            <v>645820</v>
          </cell>
          <cell r="F1525">
            <v>1830626</v>
          </cell>
          <cell r="G1525">
            <v>2476446</v>
          </cell>
          <cell r="H1525">
            <v>325100</v>
          </cell>
        </row>
        <row r="1526">
          <cell r="A1526" t="str">
            <v>3383</v>
          </cell>
          <cell r="B1526" t="str">
            <v>宮城　加恵　　　</v>
          </cell>
          <cell r="C1526">
            <v>305250</v>
          </cell>
          <cell r="D1526">
            <v>344720</v>
          </cell>
          <cell r="E1526">
            <v>649970</v>
          </cell>
          <cell r="F1526">
            <v>1855174</v>
          </cell>
          <cell r="G1526">
            <v>2505144</v>
          </cell>
          <cell r="H1526">
            <v>323100</v>
          </cell>
        </row>
        <row r="1527">
          <cell r="A1527" t="str">
            <v>3384</v>
          </cell>
          <cell r="B1527" t="str">
            <v>山下　佳代子　　</v>
          </cell>
          <cell r="C1527">
            <v>302620</v>
          </cell>
          <cell r="D1527">
            <v>344720</v>
          </cell>
          <cell r="E1527">
            <v>647340</v>
          </cell>
          <cell r="F1527">
            <v>1848730</v>
          </cell>
          <cell r="G1527">
            <v>2496070</v>
          </cell>
          <cell r="H1527">
            <v>325100</v>
          </cell>
        </row>
        <row r="1528">
          <cell r="A1528" t="str">
            <v>3551</v>
          </cell>
          <cell r="B1528" t="str">
            <v>伯川　由利子　　</v>
          </cell>
          <cell r="C1528">
            <v>95000</v>
          </cell>
          <cell r="D1528">
            <v>329280</v>
          </cell>
          <cell r="E1528">
            <v>424280</v>
          </cell>
          <cell r="F1528">
            <v>1273534</v>
          </cell>
          <cell r="G1528">
            <v>1697814</v>
          </cell>
          <cell r="H1528">
            <v>319140</v>
          </cell>
        </row>
        <row r="1529">
          <cell r="A1529" t="str">
            <v>3541</v>
          </cell>
          <cell r="B1529" t="str">
            <v>加藤　昌代　　　</v>
          </cell>
          <cell r="C1529">
            <v>95000</v>
          </cell>
          <cell r="D1529">
            <v>329280</v>
          </cell>
          <cell r="E1529">
            <v>424280</v>
          </cell>
          <cell r="F1529">
            <v>1296468</v>
          </cell>
          <cell r="G1529">
            <v>1720748</v>
          </cell>
          <cell r="H1529">
            <v>319140</v>
          </cell>
        </row>
        <row r="1530">
          <cell r="A1530" t="str">
            <v>3539</v>
          </cell>
          <cell r="B1530" t="str">
            <v>荒木　歩　　　　</v>
          </cell>
          <cell r="C1530">
            <v>95000</v>
          </cell>
          <cell r="D1530">
            <v>329280</v>
          </cell>
          <cell r="E1530">
            <v>424280</v>
          </cell>
          <cell r="F1530">
            <v>1267172</v>
          </cell>
          <cell r="G1530">
            <v>1691452</v>
          </cell>
          <cell r="H1530">
            <v>310100</v>
          </cell>
        </row>
        <row r="1531">
          <cell r="A1531" t="str">
            <v>3553</v>
          </cell>
          <cell r="B1531" t="str">
            <v>柳野　純子　　　</v>
          </cell>
          <cell r="C1531">
            <v>95000</v>
          </cell>
          <cell r="D1531">
            <v>329280</v>
          </cell>
          <cell r="E1531">
            <v>424280</v>
          </cell>
          <cell r="F1531">
            <v>1291968</v>
          </cell>
          <cell r="G1531">
            <v>1716248</v>
          </cell>
          <cell r="H1531">
            <v>319140</v>
          </cell>
        </row>
        <row r="1532">
          <cell r="A1532" t="str">
            <v>3540</v>
          </cell>
          <cell r="B1532" t="str">
            <v>浦谷　正美　　　</v>
          </cell>
          <cell r="C1532">
            <v>95000</v>
          </cell>
          <cell r="D1532">
            <v>329280</v>
          </cell>
          <cell r="E1532">
            <v>424280</v>
          </cell>
          <cell r="F1532">
            <v>1292933</v>
          </cell>
          <cell r="G1532">
            <v>1717213</v>
          </cell>
          <cell r="H1532">
            <v>306080</v>
          </cell>
        </row>
        <row r="1533">
          <cell r="A1533" t="str">
            <v>3552</v>
          </cell>
          <cell r="B1533" t="str">
            <v>三輪　奈央　　　</v>
          </cell>
          <cell r="C1533">
            <v>95000</v>
          </cell>
          <cell r="D1533">
            <v>329280</v>
          </cell>
          <cell r="E1533">
            <v>424280</v>
          </cell>
          <cell r="F1533">
            <v>1255614</v>
          </cell>
          <cell r="G1533">
            <v>1679894</v>
          </cell>
          <cell r="H1533">
            <v>315120</v>
          </cell>
        </row>
        <row r="1534">
          <cell r="A1534" t="str">
            <v>3548</v>
          </cell>
          <cell r="B1534" t="str">
            <v>中井　やよい　　</v>
          </cell>
          <cell r="C1534">
            <v>95000</v>
          </cell>
          <cell r="D1534">
            <v>329280</v>
          </cell>
          <cell r="E1534">
            <v>424280</v>
          </cell>
          <cell r="F1534">
            <v>1253999</v>
          </cell>
          <cell r="G1534">
            <v>1678279</v>
          </cell>
          <cell r="H1534">
            <v>310100</v>
          </cell>
        </row>
        <row r="1535">
          <cell r="A1535" t="str">
            <v>3555</v>
          </cell>
          <cell r="B1535" t="str">
            <v>山崎　かおる　　</v>
          </cell>
          <cell r="C1535">
            <v>95000</v>
          </cell>
          <cell r="D1535">
            <v>329280</v>
          </cell>
          <cell r="E1535">
            <v>424280</v>
          </cell>
          <cell r="F1535">
            <v>1255614</v>
          </cell>
          <cell r="G1535">
            <v>1679894</v>
          </cell>
          <cell r="H1535">
            <v>315120</v>
          </cell>
        </row>
        <row r="1536">
          <cell r="A1536" t="str">
            <v>3544</v>
          </cell>
          <cell r="B1536" t="str">
            <v>國竹　美江　　　</v>
          </cell>
          <cell r="C1536">
            <v>95000</v>
          </cell>
          <cell r="D1536">
            <v>329280</v>
          </cell>
          <cell r="E1536">
            <v>424280</v>
          </cell>
          <cell r="F1536">
            <v>1262963</v>
          </cell>
          <cell r="G1536">
            <v>1687243</v>
          </cell>
          <cell r="H1536">
            <v>315120</v>
          </cell>
        </row>
        <row r="1537">
          <cell r="A1537" t="str">
            <v>3546</v>
          </cell>
          <cell r="B1537" t="str">
            <v>関　瑞穂　　　　</v>
          </cell>
          <cell r="C1537">
            <v>95000</v>
          </cell>
          <cell r="D1537">
            <v>329280</v>
          </cell>
          <cell r="E1537">
            <v>424280</v>
          </cell>
          <cell r="F1537">
            <v>1271100</v>
          </cell>
          <cell r="G1537">
            <v>1695380</v>
          </cell>
          <cell r="H1537">
            <v>310100</v>
          </cell>
        </row>
        <row r="1538">
          <cell r="A1538" t="str">
            <v>3547</v>
          </cell>
          <cell r="B1538" t="str">
            <v>徳永　麻紀　　　</v>
          </cell>
          <cell r="C1538">
            <v>95000</v>
          </cell>
          <cell r="D1538">
            <v>329280</v>
          </cell>
          <cell r="E1538">
            <v>424280</v>
          </cell>
          <cell r="F1538">
            <v>1285795</v>
          </cell>
          <cell r="G1538">
            <v>1710075</v>
          </cell>
          <cell r="H1538">
            <v>310100</v>
          </cell>
        </row>
        <row r="1539">
          <cell r="A1539" t="str">
            <v>3543</v>
          </cell>
          <cell r="B1539" t="str">
            <v>川名　麻由美　　</v>
          </cell>
          <cell r="C1539">
            <v>95000</v>
          </cell>
          <cell r="D1539">
            <v>329280</v>
          </cell>
          <cell r="E1539">
            <v>424280</v>
          </cell>
          <cell r="F1539">
            <v>1318134</v>
          </cell>
          <cell r="G1539">
            <v>1742414</v>
          </cell>
          <cell r="H1539">
            <v>315120</v>
          </cell>
        </row>
        <row r="1540">
          <cell r="A1540" t="str">
            <v>3554</v>
          </cell>
          <cell r="B1540" t="str">
            <v>山内　理恵　　　</v>
          </cell>
          <cell r="C1540">
            <v>95000</v>
          </cell>
          <cell r="D1540">
            <v>329280</v>
          </cell>
          <cell r="E1540">
            <v>424280</v>
          </cell>
          <cell r="F1540">
            <v>1277618</v>
          </cell>
          <cell r="G1540">
            <v>1701898</v>
          </cell>
          <cell r="H1540">
            <v>315120</v>
          </cell>
        </row>
        <row r="1541">
          <cell r="A1541" t="str">
            <v>3545</v>
          </cell>
          <cell r="B1541" t="str">
            <v>諸喜田　初江　　</v>
          </cell>
          <cell r="C1541">
            <v>95000</v>
          </cell>
          <cell r="D1541">
            <v>329280</v>
          </cell>
          <cell r="E1541">
            <v>424280</v>
          </cell>
          <cell r="F1541">
            <v>1261462</v>
          </cell>
          <cell r="G1541">
            <v>1685742</v>
          </cell>
          <cell r="H1541">
            <v>315120</v>
          </cell>
        </row>
        <row r="1542">
          <cell r="A1542" t="str">
            <v>3550</v>
          </cell>
          <cell r="B1542" t="str">
            <v>野間　彩　　　　</v>
          </cell>
          <cell r="C1542">
            <v>95000</v>
          </cell>
          <cell r="D1542">
            <v>328870</v>
          </cell>
          <cell r="E1542">
            <v>423870</v>
          </cell>
          <cell r="F1542">
            <v>1249444</v>
          </cell>
          <cell r="G1542">
            <v>1673314</v>
          </cell>
          <cell r="H1542">
            <v>314500</v>
          </cell>
        </row>
        <row r="1543">
          <cell r="A1543" t="str">
            <v>3556</v>
          </cell>
          <cell r="B1543" t="str">
            <v>横江　章子　　　</v>
          </cell>
          <cell r="C1543">
            <v>95000</v>
          </cell>
          <cell r="D1543">
            <v>328660</v>
          </cell>
          <cell r="E1543">
            <v>423660</v>
          </cell>
          <cell r="F1543">
            <v>1248692</v>
          </cell>
          <cell r="G1543">
            <v>1672352</v>
          </cell>
          <cell r="H1543">
            <v>315120</v>
          </cell>
        </row>
        <row r="1544">
          <cell r="A1544" t="str">
            <v>3549</v>
          </cell>
          <cell r="B1544" t="str">
            <v>西村　むつみ　　</v>
          </cell>
          <cell r="C1544">
            <v>95000</v>
          </cell>
          <cell r="D1544">
            <v>328440</v>
          </cell>
          <cell r="E1544">
            <v>423440</v>
          </cell>
          <cell r="F1544">
            <v>1273189</v>
          </cell>
          <cell r="G1544">
            <v>1696629</v>
          </cell>
          <cell r="H1544">
            <v>309320</v>
          </cell>
        </row>
        <row r="1545">
          <cell r="A1545" t="str">
            <v>1799</v>
          </cell>
          <cell r="B1545" t="str">
            <v>宮島　和子　　　</v>
          </cell>
          <cell r="C1545">
            <v>293990</v>
          </cell>
          <cell r="D1545">
            <v>308950</v>
          </cell>
          <cell r="E1545">
            <v>602940</v>
          </cell>
          <cell r="F1545">
            <v>4557</v>
          </cell>
          <cell r="G1545">
            <v>607497</v>
          </cell>
          <cell r="H1545">
            <v>278490</v>
          </cell>
        </row>
        <row r="1546">
          <cell r="A1546" t="str">
            <v>3561</v>
          </cell>
          <cell r="B1546" t="str">
            <v>水谷　芳重　　　</v>
          </cell>
          <cell r="C1546">
            <v>0</v>
          </cell>
          <cell r="D1546">
            <v>196000</v>
          </cell>
          <cell r="E1546">
            <v>196000</v>
          </cell>
          <cell r="F1546">
            <v>1224320</v>
          </cell>
          <cell r="G1546">
            <v>1420320</v>
          </cell>
          <cell r="H1546">
            <v>426030</v>
          </cell>
        </row>
        <row r="1547">
          <cell r="A1547" t="str">
            <v>3563</v>
          </cell>
          <cell r="B1547" t="str">
            <v>濱野　芳文　　　</v>
          </cell>
          <cell r="C1547">
            <v>0</v>
          </cell>
          <cell r="D1547">
            <v>91000</v>
          </cell>
          <cell r="E1547">
            <v>91000</v>
          </cell>
          <cell r="F1547">
            <v>707514</v>
          </cell>
          <cell r="G1547">
            <v>798514</v>
          </cell>
          <cell r="H1547">
            <v>467840</v>
          </cell>
        </row>
        <row r="1548">
          <cell r="A1548" t="str">
            <v>0468</v>
          </cell>
          <cell r="B1548" t="str">
            <v>竹内　良太郎　　</v>
          </cell>
          <cell r="C1548">
            <v>625340</v>
          </cell>
          <cell r="D1548">
            <v>0</v>
          </cell>
          <cell r="E1548">
            <v>0</v>
          </cell>
          <cell r="F1548">
            <v>4771592</v>
          </cell>
          <cell r="G1548">
            <v>4771592</v>
          </cell>
          <cell r="H1548">
            <v>497960</v>
          </cell>
        </row>
        <row r="1549">
          <cell r="A1549" t="str">
            <v>3590</v>
          </cell>
          <cell r="B1549" t="str">
            <v>野口　明男　　　</v>
          </cell>
          <cell r="C1549">
            <v>0</v>
          </cell>
          <cell r="D1549">
            <v>0</v>
          </cell>
          <cell r="E1549">
            <v>0</v>
          </cell>
          <cell r="F1549">
            <v>0</v>
          </cell>
          <cell r="G1549">
            <v>0</v>
          </cell>
          <cell r="H1549">
            <v>150000</v>
          </cell>
        </row>
        <row r="1550">
          <cell r="A1550" t="str">
            <v>3605</v>
          </cell>
          <cell r="B1550" t="str">
            <v>桑鶴　知子　　　</v>
          </cell>
          <cell r="C1550">
            <v>0</v>
          </cell>
          <cell r="D1550">
            <v>0</v>
          </cell>
          <cell r="E1550">
            <v>0</v>
          </cell>
          <cell r="F1550">
            <v>0</v>
          </cell>
          <cell r="G1550">
            <v>0</v>
          </cell>
          <cell r="H1550">
            <v>105000</v>
          </cell>
        </row>
        <row r="1551">
          <cell r="A1551" t="str">
            <v>3591</v>
          </cell>
          <cell r="B1551" t="str">
            <v>野口　秀樹　　　</v>
          </cell>
          <cell r="C1551">
            <v>0</v>
          </cell>
          <cell r="D1551">
            <v>0</v>
          </cell>
          <cell r="E1551">
            <v>0</v>
          </cell>
          <cell r="F1551">
            <v>0</v>
          </cell>
          <cell r="G1551">
            <v>0</v>
          </cell>
          <cell r="H1551">
            <v>150000</v>
          </cell>
        </row>
        <row r="1552">
          <cell r="A1552" t="str">
            <v>3565</v>
          </cell>
          <cell r="B1552" t="str">
            <v>安藤　俊哉　　　</v>
          </cell>
          <cell r="C1552">
            <v>0</v>
          </cell>
          <cell r="D1552">
            <v>0</v>
          </cell>
          <cell r="E1552">
            <v>0</v>
          </cell>
          <cell r="F1552">
            <v>0</v>
          </cell>
          <cell r="G1552">
            <v>0</v>
          </cell>
          <cell r="H1552">
            <v>160000</v>
          </cell>
        </row>
        <row r="1553">
          <cell r="A1553" t="str">
            <v>3566</v>
          </cell>
          <cell r="B1553" t="str">
            <v>安東　正光　　　</v>
          </cell>
          <cell r="C1553">
            <v>0</v>
          </cell>
          <cell r="D1553">
            <v>0</v>
          </cell>
          <cell r="E1553">
            <v>0</v>
          </cell>
          <cell r="F1553">
            <v>0</v>
          </cell>
          <cell r="G1553">
            <v>0</v>
          </cell>
          <cell r="H1553">
            <v>160000</v>
          </cell>
        </row>
        <row r="1554">
          <cell r="A1554" t="str">
            <v>3593</v>
          </cell>
          <cell r="B1554" t="str">
            <v>日高　美範　　　</v>
          </cell>
          <cell r="C1554">
            <v>0</v>
          </cell>
          <cell r="D1554">
            <v>0</v>
          </cell>
          <cell r="E1554">
            <v>0</v>
          </cell>
          <cell r="F1554">
            <v>0</v>
          </cell>
          <cell r="G1554">
            <v>0</v>
          </cell>
          <cell r="H1554">
            <v>150000</v>
          </cell>
        </row>
        <row r="1555">
          <cell r="A1555" t="str">
            <v>3567</v>
          </cell>
          <cell r="B1555" t="str">
            <v>梶　秀彰　　　　</v>
          </cell>
          <cell r="C1555">
            <v>0</v>
          </cell>
          <cell r="D1555">
            <v>0</v>
          </cell>
          <cell r="E1555">
            <v>0</v>
          </cell>
          <cell r="F1555">
            <v>0</v>
          </cell>
          <cell r="G1555">
            <v>0</v>
          </cell>
          <cell r="H1555">
            <v>160000</v>
          </cell>
        </row>
        <row r="1556">
          <cell r="A1556" t="str">
            <v>3616</v>
          </cell>
          <cell r="B1556" t="str">
            <v>吉岡　悦子　　　</v>
          </cell>
          <cell r="C1556">
            <v>0</v>
          </cell>
          <cell r="D1556">
            <v>0</v>
          </cell>
          <cell r="E1556">
            <v>0</v>
          </cell>
          <cell r="F1556">
            <v>0</v>
          </cell>
          <cell r="G1556">
            <v>0</v>
          </cell>
          <cell r="H1556">
            <v>95000</v>
          </cell>
        </row>
        <row r="1557">
          <cell r="A1557" t="str">
            <v>3613</v>
          </cell>
          <cell r="B1557" t="str">
            <v>佐川　弓子　　　</v>
          </cell>
          <cell r="C1557">
            <v>0</v>
          </cell>
          <cell r="D1557">
            <v>0</v>
          </cell>
          <cell r="E1557">
            <v>0</v>
          </cell>
          <cell r="F1557">
            <v>0</v>
          </cell>
          <cell r="G1557">
            <v>0</v>
          </cell>
          <cell r="H1557">
            <v>95000</v>
          </cell>
        </row>
        <row r="1558">
          <cell r="A1558" t="str">
            <v>3595</v>
          </cell>
          <cell r="B1558" t="str">
            <v>松本　潔和　　　</v>
          </cell>
          <cell r="C1558">
            <v>0</v>
          </cell>
          <cell r="D1558">
            <v>0</v>
          </cell>
          <cell r="E1558">
            <v>0</v>
          </cell>
          <cell r="F1558">
            <v>0</v>
          </cell>
          <cell r="G1558">
            <v>0</v>
          </cell>
          <cell r="H1558">
            <v>150000</v>
          </cell>
        </row>
        <row r="1559">
          <cell r="A1559" t="str">
            <v>3571</v>
          </cell>
          <cell r="B1559" t="str">
            <v>上野　透　　　　</v>
          </cell>
          <cell r="C1559">
            <v>0</v>
          </cell>
          <cell r="D1559">
            <v>0</v>
          </cell>
          <cell r="E1559">
            <v>0</v>
          </cell>
          <cell r="F1559">
            <v>0</v>
          </cell>
          <cell r="G1559">
            <v>0</v>
          </cell>
          <cell r="H1559">
            <v>150000</v>
          </cell>
        </row>
        <row r="1560">
          <cell r="A1560" t="str">
            <v>3573</v>
          </cell>
          <cell r="B1560" t="str">
            <v>沖原　太郎　　　</v>
          </cell>
          <cell r="C1560">
            <v>0</v>
          </cell>
          <cell r="D1560">
            <v>0</v>
          </cell>
          <cell r="E1560">
            <v>0</v>
          </cell>
          <cell r="F1560">
            <v>0</v>
          </cell>
          <cell r="G1560">
            <v>0</v>
          </cell>
          <cell r="H1560">
            <v>150000</v>
          </cell>
        </row>
        <row r="1561">
          <cell r="A1561" t="str">
            <v>3574</v>
          </cell>
          <cell r="B1561" t="str">
            <v>奥崎　広　　　　</v>
          </cell>
          <cell r="C1561">
            <v>0</v>
          </cell>
          <cell r="D1561">
            <v>0</v>
          </cell>
          <cell r="E1561">
            <v>0</v>
          </cell>
          <cell r="F1561">
            <v>0</v>
          </cell>
          <cell r="G1561">
            <v>0</v>
          </cell>
          <cell r="H1561">
            <v>150000</v>
          </cell>
        </row>
        <row r="1562">
          <cell r="A1562" t="str">
            <v>3597</v>
          </cell>
          <cell r="B1562" t="str">
            <v>森中　宏至　　　</v>
          </cell>
          <cell r="C1562">
            <v>0</v>
          </cell>
          <cell r="D1562">
            <v>0</v>
          </cell>
          <cell r="E1562">
            <v>0</v>
          </cell>
          <cell r="F1562">
            <v>0</v>
          </cell>
          <cell r="G1562">
            <v>0</v>
          </cell>
          <cell r="H1562">
            <v>150000</v>
          </cell>
        </row>
        <row r="1563">
          <cell r="A1563" t="str">
            <v>3575</v>
          </cell>
          <cell r="B1563" t="str">
            <v>長田　正也　　　</v>
          </cell>
          <cell r="C1563">
            <v>0</v>
          </cell>
          <cell r="D1563">
            <v>0</v>
          </cell>
          <cell r="E1563">
            <v>0</v>
          </cell>
          <cell r="F1563">
            <v>0</v>
          </cell>
          <cell r="G1563">
            <v>0</v>
          </cell>
          <cell r="H1563">
            <v>150000</v>
          </cell>
        </row>
        <row r="1564">
          <cell r="A1564" t="str">
            <v>3578</v>
          </cell>
          <cell r="B1564" t="str">
            <v>木下　太郎　　　</v>
          </cell>
          <cell r="C1564">
            <v>0</v>
          </cell>
          <cell r="D1564">
            <v>0</v>
          </cell>
          <cell r="E1564">
            <v>0</v>
          </cell>
          <cell r="F1564">
            <v>0</v>
          </cell>
          <cell r="G1564">
            <v>0</v>
          </cell>
          <cell r="H1564">
            <v>150000</v>
          </cell>
        </row>
        <row r="1565">
          <cell r="A1565" t="str">
            <v>3614</v>
          </cell>
          <cell r="B1565" t="str">
            <v>佐藤　江利奈　　</v>
          </cell>
          <cell r="C1565">
            <v>0</v>
          </cell>
          <cell r="D1565">
            <v>0</v>
          </cell>
          <cell r="E1565">
            <v>0</v>
          </cell>
          <cell r="F1565">
            <v>0</v>
          </cell>
          <cell r="G1565">
            <v>0</v>
          </cell>
          <cell r="H1565">
            <v>95000</v>
          </cell>
        </row>
        <row r="1566">
          <cell r="A1566" t="str">
            <v>3599</v>
          </cell>
          <cell r="B1566" t="str">
            <v>安田　有志　　　</v>
          </cell>
          <cell r="C1566">
            <v>0</v>
          </cell>
          <cell r="D1566">
            <v>0</v>
          </cell>
          <cell r="E1566">
            <v>0</v>
          </cell>
          <cell r="F1566">
            <v>0</v>
          </cell>
          <cell r="G1566">
            <v>0</v>
          </cell>
          <cell r="H1566">
            <v>150000</v>
          </cell>
        </row>
        <row r="1567">
          <cell r="A1567" t="str">
            <v>3579</v>
          </cell>
          <cell r="B1567" t="str">
            <v>日下部　昇　　　</v>
          </cell>
          <cell r="C1567">
            <v>0</v>
          </cell>
          <cell r="D1567">
            <v>0</v>
          </cell>
          <cell r="E1567">
            <v>0</v>
          </cell>
          <cell r="F1567">
            <v>0</v>
          </cell>
          <cell r="G1567">
            <v>0</v>
          </cell>
          <cell r="H1567">
            <v>150000</v>
          </cell>
        </row>
        <row r="1568">
          <cell r="A1568" t="str">
            <v>3581</v>
          </cell>
          <cell r="B1568" t="str">
            <v>真田　智之　　　</v>
          </cell>
          <cell r="C1568">
            <v>0</v>
          </cell>
          <cell r="D1568">
            <v>0</v>
          </cell>
          <cell r="E1568">
            <v>0</v>
          </cell>
          <cell r="F1568">
            <v>0</v>
          </cell>
          <cell r="G1568">
            <v>0</v>
          </cell>
          <cell r="H1568">
            <v>150000</v>
          </cell>
        </row>
        <row r="1569">
          <cell r="A1569" t="str">
            <v>3582</v>
          </cell>
          <cell r="B1569" t="str">
            <v>杉山　智也　　　</v>
          </cell>
          <cell r="C1569">
            <v>0</v>
          </cell>
          <cell r="D1569">
            <v>0</v>
          </cell>
          <cell r="E1569">
            <v>0</v>
          </cell>
          <cell r="F1569">
            <v>0</v>
          </cell>
          <cell r="G1569">
            <v>0</v>
          </cell>
          <cell r="H1569">
            <v>150000</v>
          </cell>
        </row>
        <row r="1570">
          <cell r="A1570" t="str">
            <v>3601</v>
          </cell>
          <cell r="B1570" t="str">
            <v>西部　麗子　　　</v>
          </cell>
          <cell r="C1570">
            <v>0</v>
          </cell>
          <cell r="D1570">
            <v>0</v>
          </cell>
          <cell r="E1570">
            <v>0</v>
          </cell>
          <cell r="F1570">
            <v>0</v>
          </cell>
          <cell r="G1570">
            <v>0</v>
          </cell>
          <cell r="H1570">
            <v>150000</v>
          </cell>
        </row>
        <row r="1571">
          <cell r="A1571" t="str">
            <v>3583</v>
          </cell>
          <cell r="B1571" t="str">
            <v>寺田　聖　　　　</v>
          </cell>
          <cell r="C1571">
            <v>0</v>
          </cell>
          <cell r="D1571">
            <v>0</v>
          </cell>
          <cell r="E1571">
            <v>0</v>
          </cell>
          <cell r="F1571">
            <v>0</v>
          </cell>
          <cell r="G1571">
            <v>0</v>
          </cell>
          <cell r="H1571">
            <v>150000</v>
          </cell>
        </row>
        <row r="1572">
          <cell r="A1572" t="str">
            <v>3570</v>
          </cell>
          <cell r="B1572" t="str">
            <v>穴井　豊春　　　</v>
          </cell>
          <cell r="C1572">
            <v>0</v>
          </cell>
          <cell r="D1572">
            <v>0</v>
          </cell>
          <cell r="E1572">
            <v>0</v>
          </cell>
          <cell r="F1572">
            <v>0</v>
          </cell>
          <cell r="G1572">
            <v>0</v>
          </cell>
          <cell r="H1572">
            <v>150000</v>
          </cell>
        </row>
        <row r="1573">
          <cell r="A1573" t="str">
            <v>3615</v>
          </cell>
          <cell r="B1573" t="str">
            <v>本田　裕喜子　　</v>
          </cell>
          <cell r="C1573">
            <v>0</v>
          </cell>
          <cell r="D1573">
            <v>0</v>
          </cell>
          <cell r="E1573">
            <v>0</v>
          </cell>
          <cell r="F1573">
            <v>0</v>
          </cell>
          <cell r="G1573">
            <v>0</v>
          </cell>
          <cell r="H1573">
            <v>95000</v>
          </cell>
        </row>
        <row r="1574">
          <cell r="A1574" t="str">
            <v>3603</v>
          </cell>
          <cell r="B1574" t="str">
            <v>本田　規子　　　</v>
          </cell>
          <cell r="C1574">
            <v>0</v>
          </cell>
          <cell r="D1574">
            <v>0</v>
          </cell>
          <cell r="E1574">
            <v>0</v>
          </cell>
          <cell r="F1574">
            <v>0</v>
          </cell>
          <cell r="G1574">
            <v>0</v>
          </cell>
          <cell r="H1574">
            <v>150000</v>
          </cell>
        </row>
        <row r="1575">
          <cell r="A1575" t="str">
            <v>3587</v>
          </cell>
          <cell r="B1575" t="str">
            <v>並川　基裕　　　</v>
          </cell>
          <cell r="C1575">
            <v>0</v>
          </cell>
          <cell r="D1575">
            <v>0</v>
          </cell>
          <cell r="E1575">
            <v>0</v>
          </cell>
          <cell r="F1575">
            <v>0</v>
          </cell>
          <cell r="G1575">
            <v>0</v>
          </cell>
          <cell r="H1575">
            <v>150000</v>
          </cell>
        </row>
        <row r="1576">
          <cell r="A1576" t="str">
            <v>3589</v>
          </cell>
          <cell r="B1576" t="str">
            <v>西野　一幸　　　</v>
          </cell>
          <cell r="C1576">
            <v>0</v>
          </cell>
          <cell r="D1576">
            <v>0</v>
          </cell>
          <cell r="E1576">
            <v>0</v>
          </cell>
          <cell r="F1576">
            <v>0</v>
          </cell>
          <cell r="G1576">
            <v>0</v>
          </cell>
          <cell r="H1576">
            <v>150000</v>
          </cell>
        </row>
        <row r="1577">
          <cell r="A1577" t="str">
            <v>3612</v>
          </cell>
          <cell r="B1577" t="str">
            <v>菊地　淳子　　　</v>
          </cell>
          <cell r="C1577">
            <v>0</v>
          </cell>
          <cell r="D1577">
            <v>0</v>
          </cell>
          <cell r="E1577">
            <v>0</v>
          </cell>
          <cell r="F1577">
            <v>0</v>
          </cell>
          <cell r="G1577">
            <v>0</v>
          </cell>
          <cell r="H1577">
            <v>95000</v>
          </cell>
        </row>
        <row r="1578">
          <cell r="A1578" t="str">
            <v>3592</v>
          </cell>
          <cell r="B1578" t="str">
            <v>野田　幸彦　　　</v>
          </cell>
          <cell r="C1578">
            <v>0</v>
          </cell>
          <cell r="D1578">
            <v>0</v>
          </cell>
          <cell r="E1578">
            <v>0</v>
          </cell>
          <cell r="F1578">
            <v>0</v>
          </cell>
          <cell r="G1578">
            <v>0</v>
          </cell>
          <cell r="H1578">
            <v>150000</v>
          </cell>
        </row>
        <row r="1579">
          <cell r="A1579" t="str">
            <v>3606</v>
          </cell>
          <cell r="B1579" t="str">
            <v>谷村　和子　　　</v>
          </cell>
          <cell r="C1579">
            <v>0</v>
          </cell>
          <cell r="D1579">
            <v>0</v>
          </cell>
          <cell r="E1579">
            <v>0</v>
          </cell>
          <cell r="F1579">
            <v>0</v>
          </cell>
          <cell r="G1579">
            <v>0</v>
          </cell>
          <cell r="H1579">
            <v>105000</v>
          </cell>
        </row>
        <row r="1580">
          <cell r="A1580" t="str">
            <v>3586</v>
          </cell>
          <cell r="B1580" t="str">
            <v>永友　茂美　　　</v>
          </cell>
          <cell r="C1580">
            <v>0</v>
          </cell>
          <cell r="D1580">
            <v>0</v>
          </cell>
          <cell r="E1580">
            <v>0</v>
          </cell>
          <cell r="F1580">
            <v>0</v>
          </cell>
          <cell r="G1580">
            <v>0</v>
          </cell>
          <cell r="H1580">
            <v>150000</v>
          </cell>
        </row>
        <row r="1581">
          <cell r="A1581" t="str">
            <v>3607</v>
          </cell>
          <cell r="B1581" t="str">
            <v>乗富　聡子　　　</v>
          </cell>
          <cell r="C1581">
            <v>0</v>
          </cell>
          <cell r="D1581">
            <v>0</v>
          </cell>
          <cell r="E1581">
            <v>0</v>
          </cell>
          <cell r="F1581">
            <v>0</v>
          </cell>
          <cell r="G1581">
            <v>0</v>
          </cell>
          <cell r="H1581">
            <v>105000</v>
          </cell>
        </row>
        <row r="1582">
          <cell r="A1582" t="str">
            <v>3596</v>
          </cell>
          <cell r="B1582" t="str">
            <v>森田　晃行　　　</v>
          </cell>
          <cell r="C1582">
            <v>0</v>
          </cell>
          <cell r="D1582">
            <v>0</v>
          </cell>
          <cell r="E1582">
            <v>0</v>
          </cell>
          <cell r="F1582">
            <v>0</v>
          </cell>
          <cell r="G1582">
            <v>0</v>
          </cell>
          <cell r="H1582">
            <v>150000</v>
          </cell>
        </row>
        <row r="1583">
          <cell r="A1583" t="str">
            <v>3608</v>
          </cell>
          <cell r="B1583" t="str">
            <v>花田　恭子　　　</v>
          </cell>
          <cell r="C1583">
            <v>0</v>
          </cell>
          <cell r="D1583">
            <v>0</v>
          </cell>
          <cell r="E1583">
            <v>0</v>
          </cell>
          <cell r="F1583">
            <v>0</v>
          </cell>
          <cell r="G1583">
            <v>0</v>
          </cell>
          <cell r="H1583">
            <v>105000</v>
          </cell>
        </row>
        <row r="1584">
          <cell r="A1584" t="str">
            <v>3577</v>
          </cell>
          <cell r="B1584" t="str">
            <v>木暮　啓二　　　</v>
          </cell>
          <cell r="C1584">
            <v>0</v>
          </cell>
          <cell r="D1584">
            <v>0</v>
          </cell>
          <cell r="E1584">
            <v>0</v>
          </cell>
          <cell r="F1584">
            <v>0</v>
          </cell>
          <cell r="G1584">
            <v>0</v>
          </cell>
          <cell r="H1584">
            <v>150000</v>
          </cell>
        </row>
        <row r="1585">
          <cell r="A1585" t="str">
            <v>3609</v>
          </cell>
          <cell r="B1585" t="str">
            <v>諸永　慧莉　　　</v>
          </cell>
          <cell r="C1585">
            <v>0</v>
          </cell>
          <cell r="D1585">
            <v>0</v>
          </cell>
          <cell r="E1585">
            <v>0</v>
          </cell>
          <cell r="F1585">
            <v>0</v>
          </cell>
          <cell r="G1585">
            <v>0</v>
          </cell>
          <cell r="H1585">
            <v>105000</v>
          </cell>
        </row>
        <row r="1586">
          <cell r="A1586" t="str">
            <v>3600</v>
          </cell>
          <cell r="B1586" t="str">
            <v>黒田　真壽美　　</v>
          </cell>
          <cell r="C1586">
            <v>0</v>
          </cell>
          <cell r="D1586">
            <v>0</v>
          </cell>
          <cell r="E1586">
            <v>0</v>
          </cell>
          <cell r="F1586">
            <v>0</v>
          </cell>
          <cell r="G1586">
            <v>0</v>
          </cell>
          <cell r="H1586">
            <v>150000</v>
          </cell>
        </row>
        <row r="1587">
          <cell r="A1587" t="str">
            <v>3610</v>
          </cell>
          <cell r="B1587" t="str">
            <v>上松　晶子　　　</v>
          </cell>
          <cell r="C1587">
            <v>0</v>
          </cell>
          <cell r="D1587">
            <v>0</v>
          </cell>
          <cell r="E1587">
            <v>0</v>
          </cell>
          <cell r="F1587">
            <v>0</v>
          </cell>
          <cell r="G1587">
            <v>0</v>
          </cell>
          <cell r="H1587">
            <v>95000</v>
          </cell>
        </row>
        <row r="1588">
          <cell r="A1588" t="str">
            <v>3569</v>
          </cell>
          <cell r="B1588" t="str">
            <v>長尾　淳二　　　</v>
          </cell>
          <cell r="C1588">
            <v>0</v>
          </cell>
          <cell r="D1588">
            <v>0</v>
          </cell>
          <cell r="E1588">
            <v>0</v>
          </cell>
          <cell r="F1588">
            <v>0</v>
          </cell>
          <cell r="G1588">
            <v>0</v>
          </cell>
          <cell r="H1588">
            <v>160000</v>
          </cell>
        </row>
        <row r="1589">
          <cell r="A1589" t="str">
            <v>3611</v>
          </cell>
          <cell r="B1589" t="str">
            <v>加山　志帆　　　</v>
          </cell>
          <cell r="C1589">
            <v>0</v>
          </cell>
          <cell r="D1589">
            <v>0</v>
          </cell>
          <cell r="E1589">
            <v>0</v>
          </cell>
          <cell r="F1589">
            <v>0</v>
          </cell>
          <cell r="G1589">
            <v>0</v>
          </cell>
          <cell r="H1589">
            <v>95000</v>
          </cell>
        </row>
        <row r="1590">
          <cell r="A1590" t="str">
            <v>3604</v>
          </cell>
          <cell r="B1590" t="str">
            <v>山崎　由賀　　　</v>
          </cell>
          <cell r="C1590">
            <v>0</v>
          </cell>
          <cell r="D1590">
            <v>0</v>
          </cell>
          <cell r="E1590">
            <v>0</v>
          </cell>
          <cell r="F1590">
            <v>0</v>
          </cell>
          <cell r="G1590">
            <v>0</v>
          </cell>
          <cell r="H1590">
            <v>150000</v>
          </cell>
        </row>
        <row r="1591">
          <cell r="A1591" t="str">
            <v>3576</v>
          </cell>
          <cell r="B1591" t="str">
            <v>加藤　雅也　　　</v>
          </cell>
          <cell r="C1591">
            <v>0</v>
          </cell>
          <cell r="D1591">
            <v>0</v>
          </cell>
          <cell r="E1591">
            <v>0</v>
          </cell>
          <cell r="F1591">
            <v>0</v>
          </cell>
          <cell r="G1591">
            <v>0</v>
          </cell>
          <cell r="H1591">
            <v>150000</v>
          </cell>
        </row>
        <row r="1592">
          <cell r="A1592" t="str">
            <v>3585</v>
          </cell>
          <cell r="B1592" t="str">
            <v>土肥　祐樹　　　</v>
          </cell>
          <cell r="C1592">
            <v>0</v>
          </cell>
          <cell r="D1592">
            <v>0</v>
          </cell>
          <cell r="E1592">
            <v>0</v>
          </cell>
          <cell r="F1592">
            <v>0</v>
          </cell>
          <cell r="G1592">
            <v>0</v>
          </cell>
          <cell r="H1592">
            <v>150000</v>
          </cell>
        </row>
        <row r="1593">
          <cell r="A1593" t="str">
            <v>3572</v>
          </cell>
          <cell r="B1593" t="str">
            <v>岡本　圭史　　　</v>
          </cell>
          <cell r="C1593">
            <v>0</v>
          </cell>
          <cell r="D1593">
            <v>0</v>
          </cell>
          <cell r="E1593">
            <v>0</v>
          </cell>
          <cell r="F1593">
            <v>0</v>
          </cell>
          <cell r="G1593">
            <v>0</v>
          </cell>
          <cell r="H1593">
            <v>150000</v>
          </cell>
        </row>
        <row r="1594">
          <cell r="A1594" t="str">
            <v>3598</v>
          </cell>
          <cell r="B1594" t="str">
            <v>八木　一光　　　</v>
          </cell>
          <cell r="C1594">
            <v>0</v>
          </cell>
          <cell r="D1594">
            <v>0</v>
          </cell>
          <cell r="E1594">
            <v>0</v>
          </cell>
          <cell r="F1594">
            <v>0</v>
          </cell>
          <cell r="G1594">
            <v>0</v>
          </cell>
          <cell r="H1594">
            <v>150000</v>
          </cell>
        </row>
        <row r="1595">
          <cell r="A1595" t="str">
            <v>3580</v>
          </cell>
          <cell r="B1595" t="str">
            <v>坂口　陽一郎　　</v>
          </cell>
          <cell r="C1595">
            <v>0</v>
          </cell>
          <cell r="D1595">
            <v>0</v>
          </cell>
          <cell r="E1595">
            <v>0</v>
          </cell>
          <cell r="F1595">
            <v>0</v>
          </cell>
          <cell r="G1595">
            <v>0</v>
          </cell>
          <cell r="H1595">
            <v>150000</v>
          </cell>
        </row>
        <row r="1596">
          <cell r="A1596" t="str">
            <v>3594</v>
          </cell>
          <cell r="B1596" t="str">
            <v>松村　康志　　　</v>
          </cell>
          <cell r="C1596">
            <v>0</v>
          </cell>
          <cell r="D1596">
            <v>0</v>
          </cell>
          <cell r="E1596">
            <v>0</v>
          </cell>
          <cell r="F1596">
            <v>0</v>
          </cell>
          <cell r="G1596">
            <v>0</v>
          </cell>
          <cell r="H1596">
            <v>150000</v>
          </cell>
        </row>
        <row r="1597">
          <cell r="A1597" t="str">
            <v>3588</v>
          </cell>
          <cell r="B1597" t="str">
            <v>成川　重敏　　　</v>
          </cell>
          <cell r="C1597">
            <v>0</v>
          </cell>
          <cell r="D1597">
            <v>0</v>
          </cell>
          <cell r="E1597">
            <v>0</v>
          </cell>
          <cell r="F1597">
            <v>0</v>
          </cell>
          <cell r="G1597">
            <v>0</v>
          </cell>
          <cell r="H1597">
            <v>150000</v>
          </cell>
        </row>
        <row r="1598">
          <cell r="A1598" t="str">
            <v>3602</v>
          </cell>
          <cell r="B1598" t="str">
            <v>林　美喜子　　　</v>
          </cell>
          <cell r="C1598">
            <v>0</v>
          </cell>
          <cell r="D1598">
            <v>0</v>
          </cell>
          <cell r="E1598">
            <v>0</v>
          </cell>
          <cell r="F1598">
            <v>0</v>
          </cell>
          <cell r="G1598">
            <v>0</v>
          </cell>
          <cell r="H1598">
            <v>150000</v>
          </cell>
        </row>
        <row r="1599">
          <cell r="A1599" t="str">
            <v>0096</v>
          </cell>
          <cell r="B1599" t="str">
            <v>小西　貞男　　　</v>
          </cell>
          <cell r="C1599">
            <v>608700</v>
          </cell>
          <cell r="D1599">
            <v>0</v>
          </cell>
          <cell r="E1599">
            <v>0</v>
          </cell>
          <cell r="F1599">
            <v>5235648</v>
          </cell>
          <cell r="G1599">
            <v>5235648</v>
          </cell>
          <cell r="H1599">
            <v>481800</v>
          </cell>
        </row>
        <row r="1600">
          <cell r="A1600" t="str">
            <v>3568</v>
          </cell>
          <cell r="B1600" t="str">
            <v>丹野　寿典　　　</v>
          </cell>
          <cell r="C1600">
            <v>0</v>
          </cell>
          <cell r="D1600">
            <v>0</v>
          </cell>
          <cell r="E1600">
            <v>0</v>
          </cell>
          <cell r="F1600">
            <v>0</v>
          </cell>
          <cell r="G1600">
            <v>0</v>
          </cell>
          <cell r="H1600">
            <v>160000</v>
          </cell>
        </row>
        <row r="1601">
          <cell r="A1601" t="str">
            <v>3584</v>
          </cell>
          <cell r="B1601" t="str">
            <v>刀根　文次郎　　</v>
          </cell>
          <cell r="C1601">
            <v>0</v>
          </cell>
          <cell r="D1601">
            <v>0</v>
          </cell>
          <cell r="E1601">
            <v>0</v>
          </cell>
          <cell r="F1601">
            <v>0</v>
          </cell>
          <cell r="G1601">
            <v>0</v>
          </cell>
          <cell r="H1601">
            <v>150000</v>
          </cell>
        </row>
        <row r="1602">
          <cell r="A1602" t="str">
            <v>3617</v>
          </cell>
          <cell r="B1602" t="str">
            <v>須田　陽子　　　</v>
          </cell>
          <cell r="C1602">
            <v>0</v>
          </cell>
          <cell r="D1602">
            <v>0</v>
          </cell>
          <cell r="E1602">
            <v>0</v>
          </cell>
          <cell r="F1602">
            <v>0</v>
          </cell>
          <cell r="G1602">
            <v>0</v>
          </cell>
          <cell r="H1602">
            <v>79000</v>
          </cell>
        </row>
        <row r="1603">
          <cell r="A1603" t="str">
            <v>3619</v>
          </cell>
          <cell r="B1603" t="str">
            <v>吉原　光代　　　</v>
          </cell>
          <cell r="C1603">
            <v>0</v>
          </cell>
          <cell r="D1603">
            <v>0</v>
          </cell>
          <cell r="E1603">
            <v>0</v>
          </cell>
          <cell r="F1603">
            <v>0</v>
          </cell>
          <cell r="G1603">
            <v>0</v>
          </cell>
          <cell r="H1603">
            <v>60000</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3年広告計画"/>
      <sheetName val="新5ｶ年計画"/>
      <sheetName val="投資と借入"/>
      <sheetName val="年销售促销比较(公司)"/>
      <sheetName val="Income Statement"/>
      <sheetName val="Balance Sheet"/>
      <sheetName val="cf"/>
      <sheetName val="新組織"/>
    </sheetNames>
    <sheetDataSet>
      <sheetData sheetId="0"/>
      <sheetData sheetId="1"/>
      <sheetData sheetId="2"/>
      <sheetData sheetId="3"/>
      <sheetData sheetId="4" refreshError="1">
        <row r="7">
          <cell r="B7" t="str">
            <v xml:space="preserve">Current Month </v>
          </cell>
          <cell r="C7">
            <v>37652</v>
          </cell>
        </row>
        <row r="9">
          <cell r="B9" t="str">
            <v>Account</v>
          </cell>
          <cell r="C9" t="str">
            <v>Pri.Yr.</v>
          </cell>
        </row>
        <row r="11">
          <cell r="B11" t="str">
            <v>Gross Sales</v>
          </cell>
          <cell r="C11">
            <v>1379680.53</v>
          </cell>
        </row>
        <row r="12">
          <cell r="B12" t="str">
            <v>Export Sales</v>
          </cell>
        </row>
        <row r="13">
          <cell r="B13" t="str">
            <v>Sales Returns</v>
          </cell>
        </row>
        <row r="14">
          <cell r="B14" t="str">
            <v>Sales Discounts</v>
          </cell>
          <cell r="C14">
            <v>147132.71</v>
          </cell>
        </row>
        <row r="15">
          <cell r="B15" t="str">
            <v>Net Sales</v>
          </cell>
          <cell r="C15">
            <v>1232547.82</v>
          </cell>
        </row>
        <row r="17">
          <cell r="B17" t="str">
            <v>Beginning Balance of Inventory</v>
          </cell>
          <cell r="C17">
            <v>1255374.8400000001</v>
          </cell>
        </row>
        <row r="19">
          <cell r="B19" t="str">
            <v>Manufacturing Cost</v>
          </cell>
          <cell r="C19">
            <v>700169.73</v>
          </cell>
        </row>
        <row r="20">
          <cell r="B20" t="str">
            <v>Transfer to Other Accounts</v>
          </cell>
          <cell r="C20">
            <v>176138.12</v>
          </cell>
        </row>
        <row r="21">
          <cell r="B21" t="str">
            <v>Ending Balance of Inventory</v>
          </cell>
          <cell r="C21">
            <v>1131996.69</v>
          </cell>
        </row>
        <row r="22">
          <cell r="B22" t="str">
            <v>Cost of Goods Sold</v>
          </cell>
          <cell r="C22">
            <v>647409.76000000024</v>
          </cell>
        </row>
        <row r="24">
          <cell r="B24" t="str">
            <v>Gross Profit</v>
          </cell>
          <cell r="C24">
            <v>585138.05999999982</v>
          </cell>
        </row>
        <row r="26">
          <cell r="B26" t="str">
            <v>Sales,General,Administrative and Financial Costs</v>
          </cell>
          <cell r="C26">
            <v>2680366.9500000002</v>
          </cell>
        </row>
        <row r="28">
          <cell r="B28" t="str">
            <v>Operating Income</v>
          </cell>
          <cell r="C28">
            <v>-2095228.8900000004</v>
          </cell>
        </row>
        <row r="30">
          <cell r="B30" t="str">
            <v>Other Income</v>
          </cell>
        </row>
        <row r="31">
          <cell r="B31" t="str">
            <v>Other Expenses</v>
          </cell>
        </row>
        <row r="34">
          <cell r="B34" t="str">
            <v>Income Before Tax</v>
          </cell>
          <cell r="C34">
            <v>-2095228.8900000004</v>
          </cell>
        </row>
        <row r="36">
          <cell r="B36" t="str">
            <v>Taxes</v>
          </cell>
        </row>
        <row r="38">
          <cell r="B38" t="str">
            <v>Net Income</v>
          </cell>
          <cell r="C38">
            <v>-2095228.8900000004</v>
          </cell>
        </row>
      </sheetData>
      <sheetData sheetId="5" refreshError="1">
        <row r="7">
          <cell r="B7" t="str">
            <v>Assets</v>
          </cell>
          <cell r="C7">
            <v>37652</v>
          </cell>
        </row>
        <row r="9">
          <cell r="B9" t="str">
            <v>Account</v>
          </cell>
          <cell r="C9" t="str">
            <v>Actual</v>
          </cell>
          <cell r="D9" t="str">
            <v>Budget</v>
          </cell>
          <cell r="E9" t="str">
            <v>Pri.Yr.</v>
          </cell>
        </row>
        <row r="11">
          <cell r="B11" t="str">
            <v>Cash on hand</v>
          </cell>
          <cell r="C11">
            <v>3628.55</v>
          </cell>
          <cell r="E11">
            <v>38359.589999999997</v>
          </cell>
        </row>
        <row r="12">
          <cell r="B12" t="str">
            <v>Cash in banks</v>
          </cell>
          <cell r="C12">
            <v>6153643.6799999997</v>
          </cell>
          <cell r="D12">
            <v>6729422</v>
          </cell>
          <cell r="E12">
            <v>8370506.3099999996</v>
          </cell>
        </row>
        <row r="13">
          <cell r="B13" t="str">
            <v>Accounts Receivable</v>
          </cell>
          <cell r="C13">
            <v>4792706.87</v>
          </cell>
          <cell r="D13">
            <v>4845943</v>
          </cell>
          <cell r="E13">
            <v>4586868.95</v>
          </cell>
        </row>
        <row r="14">
          <cell r="B14" t="str">
            <v>Others</v>
          </cell>
          <cell r="C14">
            <v>382142.98</v>
          </cell>
          <cell r="E14">
            <v>198408.06</v>
          </cell>
        </row>
        <row r="15">
          <cell r="B15" t="str">
            <v>Sub Total</v>
          </cell>
          <cell r="C15">
            <v>11332122.08</v>
          </cell>
          <cell r="D15">
            <v>11575365</v>
          </cell>
          <cell r="E15">
            <v>13194142.910000002</v>
          </cell>
        </row>
        <row r="17">
          <cell r="B17" t="str">
            <v>Raw Materials</v>
          </cell>
          <cell r="C17">
            <v>864486.38</v>
          </cell>
          <cell r="D17">
            <v>625000</v>
          </cell>
          <cell r="E17">
            <v>520993.65</v>
          </cell>
        </row>
        <row r="18">
          <cell r="B18" t="str">
            <v>Package</v>
          </cell>
          <cell r="C18">
            <v>725279.88</v>
          </cell>
          <cell r="D18">
            <v>462000</v>
          </cell>
          <cell r="E18">
            <v>301503.68</v>
          </cell>
        </row>
        <row r="19">
          <cell r="B19" t="str">
            <v>Finished Goods</v>
          </cell>
          <cell r="C19">
            <v>1465395.71</v>
          </cell>
          <cell r="D19">
            <v>1458000</v>
          </cell>
          <cell r="E19">
            <v>1131996.69</v>
          </cell>
        </row>
        <row r="20">
          <cell r="B20" t="str">
            <v>Consigned goods</v>
          </cell>
          <cell r="C20">
            <v>0</v>
          </cell>
          <cell r="E20">
            <v>0</v>
          </cell>
        </row>
        <row r="21">
          <cell r="B21" t="str">
            <v>Total Inventory</v>
          </cell>
          <cell r="C21">
            <v>3055161.9699999997</v>
          </cell>
          <cell r="D21">
            <v>2545000</v>
          </cell>
          <cell r="E21">
            <v>1954494.02</v>
          </cell>
        </row>
        <row r="23">
          <cell r="B23" t="str">
            <v>Prepaid Expense</v>
          </cell>
          <cell r="C23">
            <v>756245.7</v>
          </cell>
          <cell r="D23">
            <v>603376</v>
          </cell>
          <cell r="E23">
            <v>837632.59</v>
          </cell>
        </row>
        <row r="24">
          <cell r="B24" t="str">
            <v>Suspense Payment</v>
          </cell>
        </row>
        <row r="25">
          <cell r="B25" t="str">
            <v>Prepaid Sales Tax</v>
          </cell>
        </row>
        <row r="26">
          <cell r="B26" t="str">
            <v>Others</v>
          </cell>
          <cell r="D26">
            <v>395000</v>
          </cell>
          <cell r="E26">
            <v>20480</v>
          </cell>
        </row>
        <row r="27">
          <cell r="B27" t="str">
            <v>Sub Total</v>
          </cell>
          <cell r="C27">
            <v>756245.7</v>
          </cell>
          <cell r="D27">
            <v>998376</v>
          </cell>
          <cell r="E27">
            <v>858112.59</v>
          </cell>
        </row>
        <row r="29">
          <cell r="B29" t="str">
            <v>Allowance for Bad Debts</v>
          </cell>
        </row>
        <row r="30">
          <cell r="B30" t="str">
            <v>Allowance for Disposed Goods</v>
          </cell>
          <cell r="C30">
            <v>2238.58</v>
          </cell>
        </row>
        <row r="32">
          <cell r="B32" t="str">
            <v>Total Current Assets</v>
          </cell>
          <cell r="C32">
            <v>15141291.17</v>
          </cell>
          <cell r="D32">
            <v>15118741</v>
          </cell>
          <cell r="E32">
            <v>16006749.520000001</v>
          </cell>
        </row>
        <row r="34">
          <cell r="B34" t="str">
            <v>Fixed Assets</v>
          </cell>
          <cell r="C34">
            <v>8355499.5</v>
          </cell>
          <cell r="D34">
            <v>8365000</v>
          </cell>
          <cell r="E34">
            <v>7566262.8799999999</v>
          </cell>
        </row>
        <row r="35">
          <cell r="B35" t="str">
            <v>Allowance for Depreciation(-)</v>
          </cell>
          <cell r="C35">
            <v>2154068.34</v>
          </cell>
          <cell r="D35">
            <v>2155000</v>
          </cell>
          <cell r="E35">
            <v>1455824.86</v>
          </cell>
        </row>
        <row r="36">
          <cell r="B36" t="str">
            <v>Total Tangible Assets</v>
          </cell>
          <cell r="C36">
            <v>6201431.1600000001</v>
          </cell>
          <cell r="D36">
            <v>6210000</v>
          </cell>
          <cell r="E36">
            <v>6110438.0199999996</v>
          </cell>
        </row>
        <row r="38">
          <cell r="B38" t="str">
            <v>Goodwill</v>
          </cell>
        </row>
        <row r="39">
          <cell r="B39" t="str">
            <v>Start-up Costs</v>
          </cell>
        </row>
        <row r="40">
          <cell r="B40" t="str">
            <v>Others</v>
          </cell>
          <cell r="C40">
            <v>1705</v>
          </cell>
          <cell r="D40">
            <v>18000</v>
          </cell>
          <cell r="E40">
            <v>3565</v>
          </cell>
        </row>
        <row r="41">
          <cell r="B41" t="str">
            <v>Total Intangible Assets</v>
          </cell>
          <cell r="C41">
            <v>1705</v>
          </cell>
          <cell r="D41">
            <v>18000</v>
          </cell>
          <cell r="E41">
            <v>3565</v>
          </cell>
        </row>
        <row r="43">
          <cell r="B43" t="str">
            <v>Invested Securities</v>
          </cell>
        </row>
        <row r="44">
          <cell r="B44" t="str">
            <v>Deposit</v>
          </cell>
        </row>
        <row r="45">
          <cell r="B45" t="str">
            <v>Long-term Prepaid Expense</v>
          </cell>
          <cell r="C45">
            <v>3901365.46</v>
          </cell>
          <cell r="D45">
            <v>3620136</v>
          </cell>
        </row>
        <row r="46">
          <cell r="B46" t="str">
            <v>Others</v>
          </cell>
        </row>
        <row r="47">
          <cell r="B47" t="str">
            <v>Total Investments</v>
          </cell>
          <cell r="C47">
            <v>3901365.46</v>
          </cell>
          <cell r="D47">
            <v>3620136</v>
          </cell>
          <cell r="E47">
            <v>0</v>
          </cell>
        </row>
        <row r="49">
          <cell r="B49" t="str">
            <v>Total Fixed Assets</v>
          </cell>
          <cell r="C49">
            <v>10104501.620000001</v>
          </cell>
          <cell r="D49">
            <v>9848136</v>
          </cell>
          <cell r="E49">
            <v>6114003.0199999996</v>
          </cell>
        </row>
        <row r="51">
          <cell r="B51" t="str">
            <v>Deffered Assets</v>
          </cell>
          <cell r="C51">
            <v>230863.46</v>
          </cell>
          <cell r="D51">
            <v>230864</v>
          </cell>
          <cell r="E51">
            <v>405273.14</v>
          </cell>
        </row>
        <row r="53">
          <cell r="B53" t="str">
            <v>Elimination</v>
          </cell>
        </row>
        <row r="55">
          <cell r="B55" t="str">
            <v>Total Assets</v>
          </cell>
          <cell r="C55">
            <v>25476656.25</v>
          </cell>
          <cell r="D55">
            <v>25197741</v>
          </cell>
          <cell r="E55">
            <v>22526025.68</v>
          </cell>
        </row>
        <row r="57">
          <cell r="B57" t="str">
            <v>Liabilities</v>
          </cell>
        </row>
        <row r="59">
          <cell r="B59" t="str">
            <v>Account</v>
          </cell>
          <cell r="C59" t="str">
            <v>Actual</v>
          </cell>
          <cell r="D59" t="str">
            <v>Budget</v>
          </cell>
          <cell r="E59" t="str">
            <v>Actual</v>
          </cell>
        </row>
        <row r="61">
          <cell r="B61" t="str">
            <v>Notes Payable</v>
          </cell>
        </row>
        <row r="62">
          <cell r="B62" t="str">
            <v>Accounts Payable</v>
          </cell>
          <cell r="C62">
            <v>8081239.5499999998</v>
          </cell>
          <cell r="D62">
            <v>6859999</v>
          </cell>
          <cell r="E62">
            <v>13005410.75</v>
          </cell>
        </row>
        <row r="63">
          <cell r="B63" t="str">
            <v>Others</v>
          </cell>
          <cell r="C63">
            <v>123486.08</v>
          </cell>
          <cell r="E63">
            <v>35275.199999999997</v>
          </cell>
        </row>
        <row r="64">
          <cell r="B64" t="str">
            <v>Sub Total</v>
          </cell>
          <cell r="C64">
            <v>8204725.6299999999</v>
          </cell>
          <cell r="D64">
            <v>6859999</v>
          </cell>
          <cell r="E64">
            <v>13040685.949999999</v>
          </cell>
        </row>
        <row r="66">
          <cell r="B66" t="str">
            <v>Short-term Loan</v>
          </cell>
          <cell r="C66">
            <v>7620000</v>
          </cell>
          <cell r="D66">
            <v>7620000</v>
          </cell>
          <cell r="E66">
            <v>4820000</v>
          </cell>
        </row>
        <row r="67">
          <cell r="B67" t="str">
            <v>Accrued salaries and wages</v>
          </cell>
          <cell r="C67">
            <v>260535.64</v>
          </cell>
          <cell r="D67">
            <v>243000</v>
          </cell>
          <cell r="E67">
            <v>251885.39</v>
          </cell>
        </row>
        <row r="68">
          <cell r="B68" t="str">
            <v>income taxes payable</v>
          </cell>
          <cell r="C68">
            <v>392931.26</v>
          </cell>
          <cell r="D68">
            <v>446800</v>
          </cell>
          <cell r="E68">
            <v>455738.57</v>
          </cell>
        </row>
        <row r="69">
          <cell r="B69" t="str">
            <v>Other accounts payable</v>
          </cell>
          <cell r="C69">
            <v>164206.43</v>
          </cell>
          <cell r="D69">
            <v>198957</v>
          </cell>
          <cell r="E69">
            <v>375134.62</v>
          </cell>
        </row>
        <row r="70">
          <cell r="B70" t="str">
            <v>Accured Expense</v>
          </cell>
          <cell r="C70">
            <v>698496.72</v>
          </cell>
          <cell r="D70">
            <v>1319868</v>
          </cell>
          <cell r="E70">
            <v>27025.42</v>
          </cell>
        </row>
        <row r="71">
          <cell r="B71" t="str">
            <v>Others</v>
          </cell>
          <cell r="C71">
            <v>556.73</v>
          </cell>
        </row>
        <row r="72">
          <cell r="B72" t="str">
            <v>Sub Total</v>
          </cell>
          <cell r="C72">
            <v>9136726.7800000012</v>
          </cell>
          <cell r="D72">
            <v>9828625</v>
          </cell>
          <cell r="E72">
            <v>5929784</v>
          </cell>
        </row>
        <row r="74">
          <cell r="B74" t="str">
            <v>Reserve for Loss on Goods Unsold</v>
          </cell>
        </row>
        <row r="75">
          <cell r="B75" t="str">
            <v>Reserve for Bonus</v>
          </cell>
        </row>
        <row r="76">
          <cell r="B76" t="str">
            <v>Others</v>
          </cell>
        </row>
        <row r="77">
          <cell r="B77" t="str">
            <v>Total Reserve</v>
          </cell>
          <cell r="C77">
            <v>0</v>
          </cell>
          <cell r="D77">
            <v>0</v>
          </cell>
          <cell r="E77">
            <v>0</v>
          </cell>
        </row>
        <row r="79">
          <cell r="B79" t="str">
            <v>Total Current Liabilities</v>
          </cell>
          <cell r="C79">
            <v>17341452.41</v>
          </cell>
          <cell r="D79">
            <v>16688624</v>
          </cell>
          <cell r="E79">
            <v>18970469.949999999</v>
          </cell>
        </row>
        <row r="81">
          <cell r="B81" t="str">
            <v>Long-term Loan</v>
          </cell>
        </row>
        <row r="82">
          <cell r="B82" t="str">
            <v>Deposit Received</v>
          </cell>
        </row>
        <row r="83">
          <cell r="B83" t="str">
            <v>Reserve for Retirement Allowance</v>
          </cell>
        </row>
        <row r="84">
          <cell r="B84" t="str">
            <v>Others</v>
          </cell>
        </row>
        <row r="85">
          <cell r="B85" t="str">
            <v>Total Fixed Liabilities</v>
          </cell>
          <cell r="C85">
            <v>0</v>
          </cell>
          <cell r="D85">
            <v>0</v>
          </cell>
          <cell r="E85">
            <v>0</v>
          </cell>
        </row>
        <row r="87">
          <cell r="B87" t="str">
            <v>Total Liabilities</v>
          </cell>
          <cell r="C87">
            <v>17341452.41</v>
          </cell>
          <cell r="D87">
            <v>16688624</v>
          </cell>
          <cell r="E87">
            <v>18970469.949999999</v>
          </cell>
        </row>
        <row r="89">
          <cell r="B89" t="str">
            <v>Capital</v>
          </cell>
          <cell r="C89">
            <v>39837291.240000002</v>
          </cell>
          <cell r="D89">
            <v>39837291</v>
          </cell>
          <cell r="E89">
            <v>21959403.239999998</v>
          </cell>
        </row>
        <row r="90">
          <cell r="B90" t="str">
            <v>Statutory reserve</v>
          </cell>
        </row>
        <row r="91">
          <cell r="B91" t="str">
            <v>Retained Earnings</v>
          </cell>
        </row>
        <row r="92">
          <cell r="B92" t="str">
            <v>Unappopriated retained earnings at end of period</v>
          </cell>
          <cell r="C92">
            <v>-31702087.400000002</v>
          </cell>
          <cell r="D92">
            <v>-31328174</v>
          </cell>
          <cell r="E92">
            <v>-18403847.510000002</v>
          </cell>
        </row>
        <row r="93">
          <cell r="B93" t="str">
            <v>Current Net Income</v>
          </cell>
          <cell r="C93">
            <v>-1562982.51</v>
          </cell>
          <cell r="D93">
            <v>-1161321</v>
          </cell>
          <cell r="E93">
            <v>-2095228.89</v>
          </cell>
        </row>
        <row r="94">
          <cell r="B94" t="str">
            <v>Total Equity</v>
          </cell>
          <cell r="C94">
            <v>8135203.8399999999</v>
          </cell>
          <cell r="D94">
            <v>8509117</v>
          </cell>
          <cell r="E94">
            <v>3555555.7299999967</v>
          </cell>
        </row>
        <row r="96">
          <cell r="B96" t="str">
            <v>Total Liablities &amp; Equity</v>
          </cell>
          <cell r="C96">
            <v>25476656.25</v>
          </cell>
          <cell r="D96">
            <v>25197741</v>
          </cell>
          <cell r="E96">
            <v>22526025.679999996</v>
          </cell>
        </row>
      </sheetData>
      <sheetData sheetId="6"/>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999予測"/>
      <sheetName val="99年度月別PL予測"/>
      <sheetName val="2000年度月別PL"/>
      <sheetName val="３カ年予算"/>
      <sheetName val="99年度ＢＳ予測"/>
      <sheetName val="2000年度ＢＳ予測"/>
      <sheetName val="3カ年ＢＳ"/>
      <sheetName val="生産予定数量"/>
      <sheetName val="Sheet2"/>
      <sheetName val="Sheet3"/>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_C"/>
      <sheetName val="Table_M"/>
      <sheetName val="Table_T"/>
      <sheetName val="Table_Sch"/>
      <sheetName val="Table_Other"/>
      <sheetName val="履歴3.34"/>
      <sheetName val="履歴3.33"/>
      <sheetName val="M1"/>
      <sheetName val="MG"/>
      <sheetName val="M2"/>
      <sheetName val="T1"/>
      <sheetName val="T2"/>
      <sheetName val="TG"/>
      <sheetName val="WG"/>
      <sheetName val="C1"/>
      <sheetName val="C2"/>
      <sheetName val="W"/>
      <sheetName val="K"/>
      <sheetName val="KM"/>
      <sheetName val="KT"/>
      <sheetName val="KV"/>
      <sheetName val="V1"/>
      <sheetName val="V2"/>
      <sheetName val="M3"/>
      <sheetName val="T3"/>
      <sheetName val="C3"/>
      <sheetName val="V3"/>
      <sheetName val="C4H"/>
      <sheetName val="M4H"/>
      <sheetName val="T4H"/>
      <sheetName val="T5"/>
      <sheetName val="M5"/>
      <sheetName val="C5"/>
      <sheetName val="定数"/>
      <sheetName val="定数2"/>
      <sheetName val="View1"/>
      <sheetName val="Func"/>
      <sheetName val="View2"/>
      <sheetName val="Proc"/>
      <sheetName val="Zaiko"/>
      <sheetName val="Genka"/>
      <sheetName val="Batch"/>
      <sheetName val="ascaa"/>
      <sheetName val="macro"/>
      <sheetName val="Trigger"/>
      <sheetName val="ZaikoBroker"/>
      <sheetName val="Tanaoroshi"/>
      <sheetName val="kaikei"/>
      <sheetName val="99年度月別PL予測"/>
      <sheetName val="Calender"/>
      <sheetName val="ｷﾞﾌﾄ"/>
      <sheetName val="履歴3_341"/>
      <sheetName val="履歴3_331"/>
      <sheetName val="履歴3_34"/>
      <sheetName val="履歴3_33"/>
      <sheetName val="履歴3_342"/>
      <sheetName val="履歴3_332"/>
      <sheetName val="10.20-11.12"/>
      <sheetName val="Balance Sheet"/>
      <sheetName val="Income Statement"/>
      <sheetName val="実数表示"/>
      <sheetName val="ﾃﾞｰﾀ"/>
      <sheetName val="メニュー"/>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sheetData sheetId="45"/>
      <sheetData sheetId="46"/>
      <sheetData sheetId="47"/>
      <sheetData sheetId="48" refreshError="1"/>
      <sheetData sheetId="49" refreshError="1"/>
      <sheetData sheetId="50" refreshError="1"/>
      <sheetData sheetId="51"/>
      <sheetData sheetId="52"/>
      <sheetData sheetId="53"/>
      <sheetData sheetId="54"/>
      <sheetData sheetId="55"/>
      <sheetData sheetId="56"/>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進捗管理表"/>
      <sheetName val="機能分類別日程計画（改訂３）"/>
      <sheetName val="Calender"/>
      <sheetName val="C2"/>
      <sheetName val="M2"/>
      <sheetName val="99年度月別PL予測"/>
      <sheetName val="10.20-11.12"/>
      <sheetName val="Cost of Goods Manu"/>
    </sheetNames>
    <sheetDataSet>
      <sheetData sheetId="0" refreshError="1"/>
      <sheetData sheetId="1" refreshError="1"/>
      <sheetData sheetId="2" refreshError="1">
        <row r="1">
          <cell r="A1" t="str">
            <v>年月日</v>
          </cell>
          <cell r="B1" t="str">
            <v>曜日</v>
          </cell>
        </row>
        <row r="2">
          <cell r="A2">
            <v>37288</v>
          </cell>
          <cell r="B2" t="str">
            <v>金</v>
          </cell>
        </row>
        <row r="3">
          <cell r="A3">
            <v>37289</v>
          </cell>
          <cell r="B3" t="str">
            <v>土</v>
          </cell>
        </row>
        <row r="4">
          <cell r="A4">
            <v>37290</v>
          </cell>
          <cell r="B4" t="str">
            <v>日</v>
          </cell>
        </row>
        <row r="5">
          <cell r="A5">
            <v>37291</v>
          </cell>
          <cell r="B5" t="str">
            <v>月</v>
          </cell>
        </row>
        <row r="6">
          <cell r="A6">
            <v>37292</v>
          </cell>
          <cell r="B6" t="str">
            <v>火</v>
          </cell>
        </row>
        <row r="7">
          <cell r="A7">
            <v>37293</v>
          </cell>
          <cell r="B7" t="str">
            <v>水</v>
          </cell>
        </row>
        <row r="8">
          <cell r="A8">
            <v>37294</v>
          </cell>
          <cell r="B8" t="str">
            <v>木</v>
          </cell>
        </row>
        <row r="9">
          <cell r="A9">
            <v>37295</v>
          </cell>
          <cell r="B9" t="str">
            <v>金</v>
          </cell>
        </row>
        <row r="10">
          <cell r="A10">
            <v>37296</v>
          </cell>
          <cell r="B10" t="str">
            <v>土</v>
          </cell>
        </row>
        <row r="11">
          <cell r="A11">
            <v>37297</v>
          </cell>
          <cell r="B11" t="str">
            <v>日</v>
          </cell>
        </row>
        <row r="12">
          <cell r="A12">
            <v>37298</v>
          </cell>
          <cell r="B12" t="str">
            <v>月</v>
          </cell>
        </row>
        <row r="13">
          <cell r="A13">
            <v>37299</v>
          </cell>
          <cell r="B13" t="str">
            <v>炋</v>
          </cell>
        </row>
        <row r="14">
          <cell r="A14">
            <v>37300</v>
          </cell>
          <cell r="B14" t="str">
            <v>水</v>
          </cell>
        </row>
        <row r="15">
          <cell r="A15">
            <v>37301</v>
          </cell>
          <cell r="B15" t="str">
            <v>木</v>
          </cell>
        </row>
        <row r="16">
          <cell r="A16">
            <v>37302</v>
          </cell>
          <cell r="B16" t="str">
            <v>金</v>
          </cell>
        </row>
        <row r="17">
          <cell r="A17">
            <v>37303</v>
          </cell>
          <cell r="B17" t="str">
            <v>土</v>
          </cell>
        </row>
        <row r="18">
          <cell r="A18">
            <v>37304</v>
          </cell>
          <cell r="B18" t="str">
            <v>日</v>
          </cell>
        </row>
        <row r="19">
          <cell r="A19">
            <v>37305</v>
          </cell>
          <cell r="B19" t="str">
            <v>月</v>
          </cell>
        </row>
        <row r="20">
          <cell r="A20">
            <v>37306</v>
          </cell>
          <cell r="B20" t="str">
            <v>火</v>
          </cell>
        </row>
        <row r="21">
          <cell r="A21">
            <v>37307</v>
          </cell>
          <cell r="B21" t="str">
            <v>水</v>
          </cell>
        </row>
        <row r="22">
          <cell r="A22">
            <v>37308</v>
          </cell>
          <cell r="B22" t="str">
            <v>木</v>
          </cell>
        </row>
        <row r="23">
          <cell r="A23">
            <v>37309</v>
          </cell>
          <cell r="B23" t="str">
            <v>金</v>
          </cell>
        </row>
        <row r="24">
          <cell r="A24">
            <v>37310</v>
          </cell>
          <cell r="B24" t="str">
            <v>土</v>
          </cell>
        </row>
        <row r="25">
          <cell r="A25">
            <v>37311</v>
          </cell>
          <cell r="B25" t="str">
            <v>日</v>
          </cell>
        </row>
        <row r="26">
          <cell r="A26">
            <v>37312</v>
          </cell>
          <cell r="B26" t="str">
            <v>月</v>
          </cell>
        </row>
        <row r="27">
          <cell r="A27">
            <v>37313</v>
          </cell>
          <cell r="B27" t="str">
            <v>火</v>
          </cell>
        </row>
        <row r="28">
          <cell r="A28">
            <v>37314</v>
          </cell>
          <cell r="B28" t="str">
            <v>水</v>
          </cell>
        </row>
        <row r="29">
          <cell r="A29">
            <v>37315</v>
          </cell>
          <cell r="B29" t="str">
            <v>木</v>
          </cell>
        </row>
        <row r="30">
          <cell r="A30" t="str">
            <v>***</v>
          </cell>
          <cell r="B30" t="e">
            <v>#N/A</v>
          </cell>
        </row>
        <row r="31">
          <cell r="A31">
            <v>37316</v>
          </cell>
          <cell r="B31" t="str">
            <v>金</v>
          </cell>
        </row>
        <row r="32">
          <cell r="A32">
            <v>37317</v>
          </cell>
          <cell r="B32" t="str">
            <v>土</v>
          </cell>
        </row>
        <row r="33">
          <cell r="A33">
            <v>37318</v>
          </cell>
          <cell r="B33" t="str">
            <v>日</v>
          </cell>
        </row>
        <row r="34">
          <cell r="A34">
            <v>37319</v>
          </cell>
          <cell r="B34" t="str">
            <v>月</v>
          </cell>
        </row>
        <row r="35">
          <cell r="A35">
            <v>37320</v>
          </cell>
          <cell r="B35" t="str">
            <v>火</v>
          </cell>
        </row>
        <row r="36">
          <cell r="A36">
            <v>37321</v>
          </cell>
          <cell r="B36" t="str">
            <v>水</v>
          </cell>
        </row>
        <row r="37">
          <cell r="A37">
            <v>37322</v>
          </cell>
          <cell r="B37" t="str">
            <v>木</v>
          </cell>
        </row>
        <row r="38">
          <cell r="A38">
            <v>37323</v>
          </cell>
          <cell r="B38" t="str">
            <v>金</v>
          </cell>
        </row>
        <row r="39">
          <cell r="A39">
            <v>37324</v>
          </cell>
          <cell r="B39" t="str">
            <v>土</v>
          </cell>
        </row>
        <row r="40">
          <cell r="A40">
            <v>37325</v>
          </cell>
          <cell r="B40" t="str">
            <v>日</v>
          </cell>
        </row>
        <row r="41">
          <cell r="A41">
            <v>37326</v>
          </cell>
          <cell r="B41" t="str">
            <v>月</v>
          </cell>
        </row>
        <row r="42">
          <cell r="A42">
            <v>37327</v>
          </cell>
          <cell r="B42" t="str">
            <v>火</v>
          </cell>
        </row>
        <row r="43">
          <cell r="A43">
            <v>37328</v>
          </cell>
          <cell r="B43" t="str">
            <v>水</v>
          </cell>
        </row>
        <row r="44">
          <cell r="A44">
            <v>37329</v>
          </cell>
          <cell r="B44" t="str">
            <v>木</v>
          </cell>
        </row>
        <row r="45">
          <cell r="A45">
            <v>37330</v>
          </cell>
          <cell r="B45" t="str">
            <v>金</v>
          </cell>
        </row>
        <row r="46">
          <cell r="A46">
            <v>37331</v>
          </cell>
          <cell r="B46" t="str">
            <v>土</v>
          </cell>
        </row>
        <row r="47">
          <cell r="A47">
            <v>37332</v>
          </cell>
          <cell r="B47" t="str">
            <v>日</v>
          </cell>
        </row>
        <row r="48">
          <cell r="A48">
            <v>37333</v>
          </cell>
          <cell r="B48" t="str">
            <v>月</v>
          </cell>
        </row>
        <row r="49">
          <cell r="A49">
            <v>37334</v>
          </cell>
          <cell r="B49" t="str">
            <v>火</v>
          </cell>
        </row>
        <row r="50">
          <cell r="A50">
            <v>37335</v>
          </cell>
          <cell r="B50" t="str">
            <v>水</v>
          </cell>
        </row>
        <row r="51">
          <cell r="A51">
            <v>37336</v>
          </cell>
          <cell r="B51" t="str">
            <v>木</v>
          </cell>
        </row>
        <row r="52">
          <cell r="A52">
            <v>37337</v>
          </cell>
          <cell r="B52" t="str">
            <v>金</v>
          </cell>
        </row>
        <row r="53">
          <cell r="A53">
            <v>37338</v>
          </cell>
          <cell r="B53" t="str">
            <v>土</v>
          </cell>
        </row>
        <row r="54">
          <cell r="A54">
            <v>37339</v>
          </cell>
          <cell r="B54" t="str">
            <v>日</v>
          </cell>
        </row>
        <row r="55">
          <cell r="A55">
            <v>37340</v>
          </cell>
          <cell r="B55" t="str">
            <v>月</v>
          </cell>
        </row>
        <row r="56">
          <cell r="A56">
            <v>37341</v>
          </cell>
          <cell r="B56" t="str">
            <v>火</v>
          </cell>
        </row>
        <row r="57">
          <cell r="A57">
            <v>37342</v>
          </cell>
          <cell r="B57" t="str">
            <v>水</v>
          </cell>
        </row>
        <row r="58">
          <cell r="A58">
            <v>37343</v>
          </cell>
          <cell r="B58" t="str">
            <v>木</v>
          </cell>
        </row>
        <row r="59">
          <cell r="A59">
            <v>37344</v>
          </cell>
          <cell r="B59" t="str">
            <v>金</v>
          </cell>
        </row>
        <row r="60">
          <cell r="A60">
            <v>37345</v>
          </cell>
          <cell r="B60" t="str">
            <v>土</v>
          </cell>
        </row>
        <row r="61">
          <cell r="A61">
            <v>37346</v>
          </cell>
          <cell r="B61" t="str">
            <v>日</v>
          </cell>
        </row>
        <row r="62">
          <cell r="A62" t="str">
            <v>***</v>
          </cell>
          <cell r="B62" t="e">
            <v>#N/A</v>
          </cell>
        </row>
        <row r="63">
          <cell r="A63">
            <v>37347</v>
          </cell>
          <cell r="B63" t="str">
            <v>月</v>
          </cell>
        </row>
        <row r="64">
          <cell r="A64">
            <v>37348</v>
          </cell>
          <cell r="B64" t="str">
            <v>火</v>
          </cell>
        </row>
        <row r="65">
          <cell r="A65">
            <v>37349</v>
          </cell>
          <cell r="B65" t="str">
            <v>水</v>
          </cell>
        </row>
        <row r="66">
          <cell r="A66">
            <v>37350</v>
          </cell>
          <cell r="B66" t="str">
            <v>木</v>
          </cell>
        </row>
        <row r="67">
          <cell r="A67">
            <v>37351</v>
          </cell>
          <cell r="B67" t="str">
            <v>金</v>
          </cell>
        </row>
        <row r="68">
          <cell r="A68">
            <v>37352</v>
          </cell>
          <cell r="B68" t="str">
            <v>土</v>
          </cell>
        </row>
        <row r="69">
          <cell r="A69">
            <v>37353</v>
          </cell>
          <cell r="B69" t="str">
            <v>日</v>
          </cell>
        </row>
        <row r="70">
          <cell r="A70">
            <v>37354</v>
          </cell>
          <cell r="B70" t="str">
            <v>月</v>
          </cell>
        </row>
        <row r="71">
          <cell r="A71">
            <v>37355</v>
          </cell>
          <cell r="B71" t="str">
            <v>火</v>
          </cell>
        </row>
        <row r="72">
          <cell r="A72">
            <v>37356</v>
          </cell>
          <cell r="B72" t="str">
            <v>水</v>
          </cell>
        </row>
        <row r="73">
          <cell r="A73">
            <v>37357</v>
          </cell>
          <cell r="B73" t="str">
            <v>木</v>
          </cell>
        </row>
        <row r="74">
          <cell r="A74">
            <v>37358</v>
          </cell>
          <cell r="B74" t="str">
            <v>金</v>
          </cell>
        </row>
        <row r="75">
          <cell r="A75">
            <v>37359</v>
          </cell>
          <cell r="B75" t="str">
            <v>土</v>
          </cell>
        </row>
        <row r="76">
          <cell r="A76">
            <v>37360</v>
          </cell>
          <cell r="B76" t="str">
            <v>日</v>
          </cell>
        </row>
        <row r="77">
          <cell r="A77">
            <v>37361</v>
          </cell>
          <cell r="B77" t="str">
            <v>月</v>
          </cell>
        </row>
        <row r="78">
          <cell r="A78">
            <v>37362</v>
          </cell>
          <cell r="B78" t="str">
            <v>火</v>
          </cell>
        </row>
        <row r="79">
          <cell r="A79">
            <v>37363</v>
          </cell>
          <cell r="B79" t="str">
            <v>水</v>
          </cell>
        </row>
        <row r="80">
          <cell r="A80">
            <v>37364</v>
          </cell>
          <cell r="B80" t="str">
            <v>木</v>
          </cell>
        </row>
        <row r="81">
          <cell r="A81">
            <v>37365</v>
          </cell>
          <cell r="B81" t="str">
            <v>金</v>
          </cell>
        </row>
        <row r="82">
          <cell r="A82">
            <v>37366</v>
          </cell>
          <cell r="B82" t="str">
            <v>土</v>
          </cell>
        </row>
        <row r="83">
          <cell r="A83">
            <v>37367</v>
          </cell>
          <cell r="B83" t="str">
            <v>日</v>
          </cell>
        </row>
        <row r="84">
          <cell r="A84">
            <v>37368</v>
          </cell>
          <cell r="B84" t="str">
            <v>月</v>
          </cell>
        </row>
        <row r="85">
          <cell r="A85">
            <v>37369</v>
          </cell>
          <cell r="B85" t="str">
            <v>火</v>
          </cell>
        </row>
        <row r="86">
          <cell r="A86">
            <v>37370</v>
          </cell>
          <cell r="B86" t="str">
            <v>水</v>
          </cell>
        </row>
        <row r="87">
          <cell r="A87">
            <v>37371</v>
          </cell>
          <cell r="B87" t="str">
            <v>木</v>
          </cell>
        </row>
        <row r="88">
          <cell r="A88">
            <v>37372</v>
          </cell>
          <cell r="B88" t="str">
            <v>金</v>
          </cell>
        </row>
        <row r="89">
          <cell r="A89">
            <v>37373</v>
          </cell>
          <cell r="B89" t="str">
            <v>土</v>
          </cell>
        </row>
        <row r="90">
          <cell r="A90">
            <v>37374</v>
          </cell>
          <cell r="B90" t="str">
            <v>日</v>
          </cell>
        </row>
        <row r="91">
          <cell r="A91">
            <v>37375</v>
          </cell>
          <cell r="B91" t="str">
            <v>月</v>
          </cell>
        </row>
        <row r="92">
          <cell r="A92">
            <v>37376</v>
          </cell>
          <cell r="B92" t="str">
            <v>火</v>
          </cell>
        </row>
        <row r="93">
          <cell r="A93" t="str">
            <v>***</v>
          </cell>
          <cell r="B93" t="e">
            <v>#N/A</v>
          </cell>
        </row>
        <row r="94">
          <cell r="A94">
            <v>37377</v>
          </cell>
          <cell r="B94" t="str">
            <v>水</v>
          </cell>
        </row>
        <row r="95">
          <cell r="A95">
            <v>37378</v>
          </cell>
          <cell r="B95" t="str">
            <v>木</v>
          </cell>
        </row>
        <row r="96">
          <cell r="A96">
            <v>37379</v>
          </cell>
          <cell r="B96" t="str">
            <v>金</v>
          </cell>
        </row>
        <row r="97">
          <cell r="A97">
            <v>37380</v>
          </cell>
          <cell r="B97" t="str">
            <v>土</v>
          </cell>
        </row>
        <row r="98">
          <cell r="A98">
            <v>37381</v>
          </cell>
          <cell r="B98" t="str">
            <v>日</v>
          </cell>
        </row>
        <row r="99">
          <cell r="A99">
            <v>37382</v>
          </cell>
          <cell r="B99" t="str">
            <v>月</v>
          </cell>
        </row>
        <row r="100">
          <cell r="A100">
            <v>37383</v>
          </cell>
          <cell r="B100" t="str">
            <v>火</v>
          </cell>
        </row>
        <row r="101">
          <cell r="A101">
            <v>37384</v>
          </cell>
          <cell r="B101" t="str">
            <v>水</v>
          </cell>
        </row>
        <row r="102">
          <cell r="A102">
            <v>37385</v>
          </cell>
          <cell r="B102" t="str">
            <v>木</v>
          </cell>
        </row>
        <row r="103">
          <cell r="A103">
            <v>37386</v>
          </cell>
          <cell r="B103" t="str">
            <v>金</v>
          </cell>
        </row>
        <row r="104">
          <cell r="A104">
            <v>37387</v>
          </cell>
          <cell r="B104" t="str">
            <v>土</v>
          </cell>
        </row>
        <row r="105">
          <cell r="A105">
            <v>37388</v>
          </cell>
          <cell r="B105" t="str">
            <v>日</v>
          </cell>
        </row>
        <row r="106">
          <cell r="A106">
            <v>37389</v>
          </cell>
          <cell r="B106" t="str">
            <v>月</v>
          </cell>
        </row>
        <row r="107">
          <cell r="A107">
            <v>37390</v>
          </cell>
          <cell r="B107" t="str">
            <v>火</v>
          </cell>
        </row>
        <row r="108">
          <cell r="A108">
            <v>37391</v>
          </cell>
          <cell r="B108" t="str">
            <v>水</v>
          </cell>
        </row>
        <row r="109">
          <cell r="A109">
            <v>37392</v>
          </cell>
          <cell r="B109" t="str">
            <v>木</v>
          </cell>
        </row>
      </sheetData>
      <sheetData sheetId="3" refreshError="1"/>
      <sheetData sheetId="4" refreshError="1"/>
      <sheetData sheetId="5" refreshError="1"/>
      <sheetData sheetId="6" refreshError="1"/>
      <sheetData sheetId="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lance Sheet"/>
      <sheetName val="Income Statement"/>
      <sheetName val="Cost of Goods Manu"/>
      <sheetName val="SGA&amp;F"/>
      <sheetName val="Stocks"/>
      <sheetName val="P.Cash&amp;Banks"/>
      <sheetName val="Fixed Assets"/>
      <sheetName val="Creditors"/>
      <sheetName val="Debtors"/>
      <sheetName val="Interco"/>
      <sheetName val="超预算分析"/>
      <sheetName val="毛利"/>
      <sheetName val="Calender"/>
      <sheetName val="Shanghai2004"/>
      <sheetName val="Balance_Sheet1"/>
      <sheetName val="Income_Statement1"/>
      <sheetName val="Cost_of_Goods_Manu1"/>
      <sheetName val="P_Cash&amp;Banks1"/>
      <sheetName val="Fixed_Assets1"/>
      <sheetName val="Balance_Sheet"/>
      <sheetName val="Income_Statement"/>
      <sheetName val="Cost_of_Goods_Manu"/>
      <sheetName val="P_Cash&amp;Banks"/>
      <sheetName val="Fixed_Assets"/>
      <sheetName val="99年度月別PL予測"/>
      <sheetName val="Balance_Sheet2"/>
      <sheetName val="Income_Statement2"/>
      <sheetName val="Cost_of_Goods_Manu2"/>
      <sheetName val="P_Cash&amp;Banks2"/>
      <sheetName val="Fixed_Assets2"/>
      <sheetName val="C2"/>
      <sheetName val="M2"/>
      <sheetName val="10.20-11.12"/>
      <sheetName val="#REF!"/>
    </sheetNames>
    <sheetDataSet>
      <sheetData sheetId="0"/>
      <sheetData sheetId="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refreshError="1"/>
      <sheetData sheetId="25"/>
      <sheetData sheetId="26"/>
      <sheetData sheetId="27"/>
      <sheetData sheetId="28"/>
      <sheetData sheetId="29"/>
      <sheetData sheetId="30" refreshError="1"/>
      <sheetData sheetId="31" refreshError="1"/>
      <sheetData sheetId="32" refreshError="1"/>
      <sheetData sheetId="3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中国L520A.L520B"/>
      <sheetName val="中国暖宝宝K520A"/>
      <sheetName val="美国051119AAA,051119AEA"/>
      <sheetName val="美国经时9月"/>
      <sheetName val="美国051113AAA,AEA."/>
      <sheetName val="美国经时11月"/>
      <sheetName val="美国051112AAA,AEA"/>
      <sheetName val="中国K511A"/>
      <sheetName val="空白"/>
      <sheetName val="Sheet2"/>
      <sheetName val="Sheet3"/>
      <sheetName val="内袋ｼｰﾙ強度"/>
    </sheetNames>
    <sheetDataSet>
      <sheetData sheetId="0"/>
      <sheetData sheetId="1"/>
      <sheetData sheetId="2"/>
      <sheetData sheetId="3"/>
      <sheetData sheetId="4"/>
      <sheetData sheetId="5"/>
      <sheetData sheetId="6"/>
      <sheetData sheetId="7"/>
      <sheetData sheetId="8"/>
      <sheetData sheetId="9">
        <row r="1">
          <cell r="A1" t="str">
            <v>合格</v>
          </cell>
        </row>
        <row r="2">
          <cell r="A2" t="str">
            <v>不合格</v>
          </cell>
        </row>
      </sheetData>
      <sheetData sheetId="10"/>
      <sheetData sheetId="1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ｿｰﾄﾏｯﾁ"/>
      <sheetName val="#REF"/>
    </sheetNames>
    <definedNames>
      <definedName name="CLEAR_SUB"/>
    </definedNames>
    <sheetDataSet>
      <sheetData sheetId="0" refreshError="1"/>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88期"/>
      <sheetName val="人員計画"/>
      <sheetName val="投資計画"/>
      <sheetName val="コストダウン"/>
      <sheetName val="国際中国売上(数量）"/>
      <sheetName val="国際輸出売上・原価"/>
      <sheetName val="生産計画"/>
      <sheetName val="原料　資材　労務費"/>
      <sheetName val="Sheet3"/>
      <sheetName val="Sheet2"/>
      <sheetName val="Sheet1"/>
      <sheetName val="Sheet7"/>
      <sheetName val="200412単月資料２限界利益"/>
      <sheetName val="運賃（工場　港"/>
      <sheetName val="間接経費"/>
      <sheetName val="Cost of Goods Manu"/>
      <sheetName val="担当"/>
      <sheetName val="実績管理表"/>
      <sheetName val="実績管理表(商品別)"/>
      <sheetName val="商品群別販売計画(前期)"/>
      <sheetName val="実績管理表(店別)"/>
      <sheetName val="商品群別販売計画(後期)"/>
      <sheetName val="New1129 上海小林2005年予算スケジュール88(東さん"/>
      <sheetName val="Cost_of_Goods_Manu1"/>
      <sheetName val="New1129_上海小林2005年予算スケジュール88(東さ1"/>
      <sheetName val="Cost_of_Goods_Manu"/>
      <sheetName val="New1129_上海小林2005年予算スケジュール88(東さん"/>
      <sheetName val="資材ＣＤ"/>
      <sheetName val="Cost_of_Goods_Manu2"/>
      <sheetName val="New1129_上海小林2005年予算スケジュール88(東さ2"/>
      <sheetName val="SGA&amp;F"/>
      <sheetName val="Calender"/>
      <sheetName val="C2"/>
      <sheetName val="M2"/>
      <sheetName val="99年度月別PL予測"/>
      <sheetName val="10.20-11.12"/>
      <sheetName val="Balance Sheet"/>
      <sheetName val="Income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refreshError="1"/>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ｿｰﾄﾏｯﾁT"/>
    </sheetNames>
    <definedNames>
      <definedName name="D1_HANI_SET"/>
      <definedName name="D1_KEY1_SET"/>
      <definedName name="D1_KEY2_SET"/>
      <definedName name="D1_KEY3_SET"/>
      <definedName name="HELP_HELP"/>
    </definedNames>
    <sheetDataSet>
      <sheetData sheetId="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選択M"/>
      <sheetName val="料金表"/>
      <sheetName val="データ辞書"/>
    </sheetNames>
    <definedNames>
      <definedName name="DIR_TENKAI"/>
      <definedName name="FILE_SELECT"/>
      <definedName name="拡張_EDIT"/>
      <definedName name="拡張_INPUT"/>
      <definedName name="拡張_SELECT"/>
    </definedNames>
    <sheetDataSet>
      <sheetData sheetId="0" refreshError="1"/>
      <sheetData sheetId="1" refreshError="1"/>
      <sheetData sheetId="2"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3年広告計画"/>
      <sheetName val="新5ｶ年計画"/>
      <sheetName val="投資と借入"/>
      <sheetName val="年销售促销比较(公司)"/>
      <sheetName val="Income Statement"/>
      <sheetName val="Balance Sheet"/>
      <sheetName val="cf"/>
      <sheetName val="新組織"/>
      <sheetName val="8以上社員"/>
      <sheetName val="Sheet12"/>
      <sheetName val="Income_Statement"/>
      <sheetName val="Balance_Sheet"/>
      <sheetName val="Effort by Menu Item"/>
      <sheetName val="Income_Statement1"/>
      <sheetName val="Balance_Sheet1"/>
      <sheetName val="Effort_by_Menu_Item1"/>
      <sheetName val="Effort_by_Menu_Item"/>
      <sheetName val="For Hier template"/>
      <sheetName val="ビジネスレビュー資料"/>
      <sheetName val="Income_Statement2"/>
      <sheetName val="Balance_Sheet2"/>
      <sheetName val="Effort_by_Menu_Item2"/>
      <sheetName val="For_Hier_template"/>
      <sheetName val="03月入力用"/>
      <sheetName val="汎用修正"/>
      <sheetName val="データ辞書"/>
      <sheetName val="DataSheet"/>
      <sheetName val="マスター"/>
      <sheetName val="H7昇格者"/>
      <sheetName val="商品ﾏｽﾀｰ(1月25日)"/>
      <sheetName val="配荷"/>
      <sheetName val="excel_tmp"/>
    </sheetNames>
    <sheetDataSet>
      <sheetData sheetId="0"/>
      <sheetData sheetId="1"/>
      <sheetData sheetId="2"/>
      <sheetData sheetId="3"/>
      <sheetData sheetId="4" refreshError="1">
        <row r="7">
          <cell r="B7" t="str">
            <v xml:space="preserve">Current Month </v>
          </cell>
          <cell r="C7">
            <v>37652</v>
          </cell>
        </row>
        <row r="9">
          <cell r="B9" t="str">
            <v>Account</v>
          </cell>
          <cell r="C9" t="str">
            <v>Pri.Yr.</v>
          </cell>
        </row>
        <row r="11">
          <cell r="B11" t="str">
            <v>Gross Sales</v>
          </cell>
          <cell r="C11">
            <v>1379680.53</v>
          </cell>
        </row>
        <row r="12">
          <cell r="B12" t="str">
            <v>Export Sales</v>
          </cell>
        </row>
        <row r="13">
          <cell r="B13" t="str">
            <v>Sales Returns</v>
          </cell>
        </row>
        <row r="14">
          <cell r="B14" t="str">
            <v>Sales Discounts</v>
          </cell>
          <cell r="C14">
            <v>147132.71</v>
          </cell>
        </row>
        <row r="15">
          <cell r="B15" t="str">
            <v>Net Sales</v>
          </cell>
          <cell r="C15">
            <v>1232547.82</v>
          </cell>
        </row>
        <row r="17">
          <cell r="B17" t="str">
            <v>Beginning Balance of Inventory</v>
          </cell>
          <cell r="C17">
            <v>1255374.8400000001</v>
          </cell>
        </row>
        <row r="19">
          <cell r="B19" t="str">
            <v>Manufacturing Cost</v>
          </cell>
          <cell r="C19">
            <v>700169.73</v>
          </cell>
        </row>
        <row r="20">
          <cell r="B20" t="str">
            <v>Transfer to Other Accounts</v>
          </cell>
          <cell r="C20">
            <v>176138.12</v>
          </cell>
        </row>
        <row r="21">
          <cell r="B21" t="str">
            <v>Ending Balance of Inventory</v>
          </cell>
          <cell r="C21">
            <v>1131996.69</v>
          </cell>
        </row>
        <row r="22">
          <cell r="B22" t="str">
            <v>Cost of Goods Sold</v>
          </cell>
          <cell r="C22">
            <v>647409.76000000024</v>
          </cell>
        </row>
        <row r="24">
          <cell r="B24" t="str">
            <v>Gross Profit</v>
          </cell>
          <cell r="C24">
            <v>585138.05999999982</v>
          </cell>
        </row>
        <row r="26">
          <cell r="B26" t="str">
            <v>Sales,General,Administrative and Financial Costs</v>
          </cell>
          <cell r="C26">
            <v>2680366.9500000002</v>
          </cell>
        </row>
        <row r="28">
          <cell r="B28" t="str">
            <v>Operating Income</v>
          </cell>
          <cell r="C28">
            <v>-2095228.8900000004</v>
          </cell>
        </row>
        <row r="30">
          <cell r="B30" t="str">
            <v>Other Income</v>
          </cell>
        </row>
        <row r="31">
          <cell r="B31" t="str">
            <v>Other Expenses</v>
          </cell>
        </row>
        <row r="34">
          <cell r="B34" t="str">
            <v>Income Before Tax</v>
          </cell>
          <cell r="C34">
            <v>-2095228.8900000004</v>
          </cell>
        </row>
        <row r="36">
          <cell r="B36" t="str">
            <v>Taxes</v>
          </cell>
        </row>
        <row r="38">
          <cell r="B38" t="str">
            <v>Net Income</v>
          </cell>
          <cell r="C38">
            <v>-2095228.8900000004</v>
          </cell>
        </row>
      </sheetData>
      <sheetData sheetId="5" refreshError="1">
        <row r="57">
          <cell r="B57" t="str">
            <v>Liabilities</v>
          </cell>
        </row>
        <row r="59">
          <cell r="B59" t="str">
            <v>Account</v>
          </cell>
          <cell r="C59" t="str">
            <v>Actual</v>
          </cell>
          <cell r="D59" t="str">
            <v>Budget</v>
          </cell>
          <cell r="E59" t="str">
            <v>Actual</v>
          </cell>
        </row>
        <row r="61">
          <cell r="B61" t="str">
            <v>Notes Payable</v>
          </cell>
        </row>
        <row r="62">
          <cell r="B62" t="str">
            <v>Accounts Payable</v>
          </cell>
          <cell r="C62">
            <v>8081239.5499999998</v>
          </cell>
          <cell r="D62">
            <v>6859999</v>
          </cell>
          <cell r="E62">
            <v>13005410.75</v>
          </cell>
        </row>
        <row r="63">
          <cell r="B63" t="str">
            <v>Others</v>
          </cell>
          <cell r="C63">
            <v>123486.08</v>
          </cell>
          <cell r="E63">
            <v>35275.199999999997</v>
          </cell>
        </row>
        <row r="64">
          <cell r="B64" t="str">
            <v>Sub Total</v>
          </cell>
          <cell r="C64">
            <v>8204725.6299999999</v>
          </cell>
          <cell r="D64">
            <v>6859999</v>
          </cell>
          <cell r="E64">
            <v>13040685.949999999</v>
          </cell>
        </row>
        <row r="66">
          <cell r="B66" t="str">
            <v>Short-term Loan</v>
          </cell>
          <cell r="C66">
            <v>7620000</v>
          </cell>
          <cell r="D66">
            <v>7620000</v>
          </cell>
          <cell r="E66">
            <v>4820000</v>
          </cell>
        </row>
        <row r="67">
          <cell r="B67" t="str">
            <v>Accrued salaries and wages</v>
          </cell>
          <cell r="C67">
            <v>260535.64</v>
          </cell>
          <cell r="D67">
            <v>243000</v>
          </cell>
          <cell r="E67">
            <v>251885.39</v>
          </cell>
        </row>
        <row r="68">
          <cell r="B68" t="str">
            <v>income taxes payable</v>
          </cell>
          <cell r="C68">
            <v>392931.26</v>
          </cell>
          <cell r="D68">
            <v>446800</v>
          </cell>
          <cell r="E68">
            <v>455738.57</v>
          </cell>
        </row>
        <row r="69">
          <cell r="B69" t="str">
            <v>Other accounts payable</v>
          </cell>
          <cell r="C69">
            <v>164206.43</v>
          </cell>
          <cell r="D69">
            <v>198957</v>
          </cell>
          <cell r="E69">
            <v>375134.62</v>
          </cell>
        </row>
        <row r="70">
          <cell r="B70" t="str">
            <v>Accured Expense</v>
          </cell>
          <cell r="C70">
            <v>698496.72</v>
          </cell>
          <cell r="D70">
            <v>1319868</v>
          </cell>
          <cell r="E70">
            <v>27025.42</v>
          </cell>
        </row>
        <row r="71">
          <cell r="B71" t="str">
            <v>Others</v>
          </cell>
          <cell r="C71">
            <v>556.73</v>
          </cell>
        </row>
        <row r="72">
          <cell r="B72" t="str">
            <v>Sub Total</v>
          </cell>
          <cell r="C72">
            <v>9136726.7800000012</v>
          </cell>
          <cell r="D72">
            <v>9828625</v>
          </cell>
          <cell r="E72">
            <v>5929784</v>
          </cell>
        </row>
        <row r="74">
          <cell r="B74" t="str">
            <v>Reserve for Loss on Goods Unsold</v>
          </cell>
        </row>
        <row r="75">
          <cell r="B75" t="str">
            <v>Reserve for Bonus</v>
          </cell>
        </row>
        <row r="76">
          <cell r="B76" t="str">
            <v>Others</v>
          </cell>
        </row>
        <row r="77">
          <cell r="B77" t="str">
            <v>Total Reserve</v>
          </cell>
          <cell r="C77">
            <v>0</v>
          </cell>
          <cell r="D77">
            <v>0</v>
          </cell>
          <cell r="E77">
            <v>0</v>
          </cell>
        </row>
        <row r="79">
          <cell r="B79" t="str">
            <v>Total Current Liabilities</v>
          </cell>
          <cell r="C79">
            <v>17341452.41</v>
          </cell>
          <cell r="D79">
            <v>16688624</v>
          </cell>
          <cell r="E79">
            <v>18970469.949999999</v>
          </cell>
        </row>
        <row r="81">
          <cell r="B81" t="str">
            <v>Long-term Loan</v>
          </cell>
        </row>
        <row r="82">
          <cell r="B82" t="str">
            <v>Deposit Received</v>
          </cell>
        </row>
        <row r="83">
          <cell r="B83" t="str">
            <v>Reserve for Retirement Allowance</v>
          </cell>
        </row>
        <row r="84">
          <cell r="B84" t="str">
            <v>Others</v>
          </cell>
        </row>
        <row r="85">
          <cell r="B85" t="str">
            <v>Total Fixed Liabilities</v>
          </cell>
          <cell r="C85">
            <v>0</v>
          </cell>
          <cell r="D85">
            <v>0</v>
          </cell>
          <cell r="E85">
            <v>0</v>
          </cell>
        </row>
        <row r="87">
          <cell r="B87" t="str">
            <v>Total Liabilities</v>
          </cell>
          <cell r="C87">
            <v>17341452.41</v>
          </cell>
          <cell r="D87">
            <v>16688624</v>
          </cell>
          <cell r="E87">
            <v>18970469.949999999</v>
          </cell>
        </row>
        <row r="89">
          <cell r="B89" t="str">
            <v>Capital</v>
          </cell>
          <cell r="C89">
            <v>39837291.240000002</v>
          </cell>
          <cell r="D89">
            <v>39837291</v>
          </cell>
          <cell r="E89">
            <v>21959403.239999998</v>
          </cell>
        </row>
        <row r="90">
          <cell r="B90" t="str">
            <v>Statutory reserve</v>
          </cell>
        </row>
        <row r="91">
          <cell r="B91" t="str">
            <v>Retained Earnings</v>
          </cell>
        </row>
        <row r="92">
          <cell r="B92" t="str">
            <v>Unappopriated retained earnings at end of period</v>
          </cell>
          <cell r="C92">
            <v>-31702087.400000002</v>
          </cell>
          <cell r="D92">
            <v>-31328174</v>
          </cell>
          <cell r="E92">
            <v>-18403847.510000002</v>
          </cell>
        </row>
        <row r="93">
          <cell r="B93" t="str">
            <v>Current Net Income</v>
          </cell>
          <cell r="C93">
            <v>-1562982.51</v>
          </cell>
          <cell r="D93">
            <v>-1161321</v>
          </cell>
          <cell r="E93">
            <v>-2095228.89</v>
          </cell>
        </row>
        <row r="94">
          <cell r="B94" t="str">
            <v>Total Equity</v>
          </cell>
          <cell r="C94">
            <v>8135203.8399999999</v>
          </cell>
          <cell r="D94">
            <v>8509117</v>
          </cell>
          <cell r="E94">
            <v>3555555.7299999967</v>
          </cell>
        </row>
        <row r="96">
          <cell r="B96" t="str">
            <v>Total Liablities &amp; Equity</v>
          </cell>
          <cell r="C96">
            <v>25476656.25</v>
          </cell>
          <cell r="D96">
            <v>25197741</v>
          </cell>
          <cell r="E96">
            <v>22526025.679999996</v>
          </cell>
        </row>
      </sheetData>
      <sheetData sheetId="6"/>
      <sheetData sheetId="7"/>
      <sheetData sheetId="8" refreshError="1"/>
      <sheetData sheetId="9" refreshError="1"/>
      <sheetData sheetId="10">
        <row r="7">
          <cell r="B7" t="str">
            <v xml:space="preserve">Current Month </v>
          </cell>
        </row>
      </sheetData>
      <sheetData sheetId="11">
        <row r="57">
          <cell r="B57" t="str">
            <v>Liabilities</v>
          </cell>
        </row>
      </sheetData>
      <sheetData sheetId="12" refreshError="1"/>
      <sheetData sheetId="13"/>
      <sheetData sheetId="14"/>
      <sheetData sheetId="15"/>
      <sheetData sheetId="16"/>
      <sheetData sheetId="17" refreshError="1"/>
      <sheetData sheetId="18" refreshError="1"/>
      <sheetData sheetId="19">
        <row r="7">
          <cell r="B7" t="str">
            <v xml:space="preserve">Current Month </v>
          </cell>
        </row>
      </sheetData>
      <sheetData sheetId="20">
        <row r="7">
          <cell r="B7" t="str">
            <v xml:space="preserve">Current Month </v>
          </cell>
        </row>
      </sheetData>
      <sheetData sheetId="21">
        <row r="57">
          <cell r="B57" t="str">
            <v>Liabilities</v>
          </cell>
        </row>
      </sheetData>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YE1"/>
      <sheetName val="ＦＭ"/>
      <sheetName val="Income Statement"/>
      <sheetName val="Balance Sheet"/>
      <sheetName val="商品リスト"/>
      <sheetName val="function"/>
      <sheetName val="JOBINFOD"/>
      <sheetName val="JOBINFOR"/>
      <sheetName val="SD_FUNCTION"/>
      <sheetName val="SD_TABLE"/>
      <sheetName val="Sheet12"/>
      <sheetName val="祝日"/>
      <sheetName val="スタート"/>
      <sheetName val="コクミン"/>
      <sheetName val="経予管98上"/>
      <sheetName val="8以上社員"/>
      <sheetName val="商品ﾏｽﾀｰ"/>
      <sheetName val="個数単価推移２００１"/>
      <sheetName val="Income_Statement1"/>
      <sheetName val="Balance_Sheet1"/>
      <sheetName val="Income_Statement"/>
      <sheetName val="Balance_Sheet"/>
      <sheetName val="はみ出し（静止）"/>
      <sheetName val="Income_Statement2"/>
      <sheetName val="Balance_Sheet2"/>
      <sheetName val="精算書ｓｉｍ"/>
      <sheetName val="03月入力用"/>
      <sheetName val="SGA&amp;F"/>
      <sheetName val="汎用修正"/>
      <sheetName val="データ辞書"/>
      <sheetName val="DataSheet"/>
      <sheetName val="マスター"/>
      <sheetName val="分類"/>
    </sheetNames>
    <definedNames>
      <definedName name="営業部別配荷"/>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refreshError="1"/>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3年広告計画"/>
      <sheetName val="新5ｶ年計画"/>
      <sheetName val="投資と借入"/>
      <sheetName val="年销售促销比较(公司)"/>
      <sheetName val="Income Statement"/>
      <sheetName val="Balance Sheet"/>
      <sheetName val="cf"/>
      <sheetName val="新組織"/>
      <sheetName val="Income_Statement"/>
      <sheetName val="Balance_Sheet"/>
      <sheetName val="#REF"/>
      <sheetName val="#REF!"/>
      <sheetName val="MARCH"/>
      <sheetName val="ビジネスレビュー資料"/>
      <sheetName val="Income_Statement2"/>
      <sheetName val="Balance_Sheet2"/>
      <sheetName val="Income_Statement1"/>
      <sheetName val="Balance_Sheet1"/>
      <sheetName val="8以上社員"/>
      <sheetName val="Income_Statement3"/>
      <sheetName val="Balance_Sheet3"/>
      <sheetName val="９１期Ｐ－５"/>
      <sheetName val="ﾃﾚｺTｼｬﾂ"/>
      <sheetName val="精算書ｓｉｍ"/>
      <sheetName val="03月入力用"/>
      <sheetName val="汎用修正"/>
    </sheetNames>
    <sheetDataSet>
      <sheetData sheetId="0"/>
      <sheetData sheetId="1"/>
      <sheetData sheetId="2"/>
      <sheetData sheetId="3"/>
      <sheetData sheetId="4" refreshError="1">
        <row r="7">
          <cell r="B7" t="str">
            <v xml:space="preserve">Current Month </v>
          </cell>
          <cell r="C7">
            <v>37652</v>
          </cell>
        </row>
        <row r="9">
          <cell r="B9" t="str">
            <v>Account</v>
          </cell>
          <cell r="C9" t="str">
            <v>Pri.Yr.</v>
          </cell>
        </row>
        <row r="11">
          <cell r="B11" t="str">
            <v>Gross Sales</v>
          </cell>
          <cell r="C11">
            <v>1379680.53</v>
          </cell>
        </row>
        <row r="12">
          <cell r="B12" t="str">
            <v>Export Sales</v>
          </cell>
        </row>
        <row r="13">
          <cell r="B13" t="str">
            <v>Sales Returns</v>
          </cell>
        </row>
        <row r="14">
          <cell r="B14" t="str">
            <v>Sales Discounts</v>
          </cell>
          <cell r="C14">
            <v>147132.71</v>
          </cell>
        </row>
        <row r="15">
          <cell r="B15" t="str">
            <v>Net Sales</v>
          </cell>
          <cell r="C15">
            <v>1232547.82</v>
          </cell>
        </row>
        <row r="17">
          <cell r="B17" t="str">
            <v>Beginning Balance of Inventory</v>
          </cell>
          <cell r="C17">
            <v>1255374.8400000001</v>
          </cell>
        </row>
        <row r="19">
          <cell r="B19" t="str">
            <v>Manufacturing Cost</v>
          </cell>
          <cell r="C19">
            <v>700169.73</v>
          </cell>
        </row>
        <row r="20">
          <cell r="B20" t="str">
            <v>Transfer to Other Accounts</v>
          </cell>
          <cell r="C20">
            <v>176138.12</v>
          </cell>
        </row>
        <row r="21">
          <cell r="B21" t="str">
            <v>Ending Balance of Inventory</v>
          </cell>
          <cell r="C21">
            <v>1131996.69</v>
          </cell>
        </row>
        <row r="22">
          <cell r="B22" t="str">
            <v>Cost of Goods Sold</v>
          </cell>
          <cell r="C22">
            <v>647409.76000000024</v>
          </cell>
        </row>
        <row r="24">
          <cell r="B24" t="str">
            <v>Gross Profit</v>
          </cell>
          <cell r="C24">
            <v>585138.05999999982</v>
          </cell>
        </row>
        <row r="26">
          <cell r="B26" t="str">
            <v>Sales,General,Administrative and Financial Costs</v>
          </cell>
          <cell r="C26">
            <v>2680366.9500000002</v>
          </cell>
        </row>
        <row r="28">
          <cell r="B28" t="str">
            <v>Operating Income</v>
          </cell>
          <cell r="C28">
            <v>-2095228.8900000004</v>
          </cell>
        </row>
        <row r="30">
          <cell r="B30" t="str">
            <v>Other Income</v>
          </cell>
        </row>
        <row r="31">
          <cell r="B31" t="str">
            <v>Other Expenses</v>
          </cell>
        </row>
        <row r="34">
          <cell r="B34" t="str">
            <v>Income Before Tax</v>
          </cell>
          <cell r="C34">
            <v>-2095228.8900000004</v>
          </cell>
        </row>
        <row r="36">
          <cell r="B36" t="str">
            <v>Taxes</v>
          </cell>
        </row>
        <row r="38">
          <cell r="B38" t="str">
            <v>Net Income</v>
          </cell>
          <cell r="C38">
            <v>-2095228.8900000004</v>
          </cell>
        </row>
      </sheetData>
      <sheetData sheetId="5" refreshError="1">
        <row r="7">
          <cell r="B7" t="str">
            <v>Assets</v>
          </cell>
          <cell r="C7">
            <v>37652</v>
          </cell>
        </row>
        <row r="9">
          <cell r="B9" t="str">
            <v>Account</v>
          </cell>
          <cell r="C9" t="str">
            <v>Actual</v>
          </cell>
          <cell r="D9" t="str">
            <v>Budget</v>
          </cell>
          <cell r="E9" t="str">
            <v>Pri.Yr.</v>
          </cell>
        </row>
        <row r="11">
          <cell r="B11" t="str">
            <v>Cash on hand</v>
          </cell>
          <cell r="C11">
            <v>3628.55</v>
          </cell>
          <cell r="E11">
            <v>38359.589999999997</v>
          </cell>
        </row>
        <row r="12">
          <cell r="B12" t="str">
            <v>Cash in banks</v>
          </cell>
          <cell r="C12">
            <v>6153643.6799999997</v>
          </cell>
          <cell r="D12">
            <v>6729422</v>
          </cell>
          <cell r="E12">
            <v>8370506.3099999996</v>
          </cell>
        </row>
        <row r="13">
          <cell r="B13" t="str">
            <v>Accounts Receivable</v>
          </cell>
          <cell r="C13">
            <v>4792706.87</v>
          </cell>
          <cell r="D13">
            <v>4845943</v>
          </cell>
          <cell r="E13">
            <v>4586868.95</v>
          </cell>
        </row>
        <row r="14">
          <cell r="B14" t="str">
            <v>Others</v>
          </cell>
          <cell r="C14">
            <v>382142.98</v>
          </cell>
          <cell r="E14">
            <v>198408.06</v>
          </cell>
        </row>
        <row r="15">
          <cell r="B15" t="str">
            <v>Sub Total</v>
          </cell>
          <cell r="C15">
            <v>11332122.08</v>
          </cell>
          <cell r="D15">
            <v>11575365</v>
          </cell>
          <cell r="E15">
            <v>13194142.910000002</v>
          </cell>
        </row>
        <row r="17">
          <cell r="B17" t="str">
            <v>Raw Materials</v>
          </cell>
          <cell r="C17">
            <v>864486.38</v>
          </cell>
          <cell r="D17">
            <v>625000</v>
          </cell>
          <cell r="E17">
            <v>520993.65</v>
          </cell>
        </row>
        <row r="18">
          <cell r="B18" t="str">
            <v>Package</v>
          </cell>
          <cell r="C18">
            <v>725279.88</v>
          </cell>
          <cell r="D18">
            <v>462000</v>
          </cell>
          <cell r="E18">
            <v>301503.68</v>
          </cell>
        </row>
        <row r="19">
          <cell r="B19" t="str">
            <v>Finished Goods</v>
          </cell>
          <cell r="C19">
            <v>1465395.71</v>
          </cell>
          <cell r="D19">
            <v>1458000</v>
          </cell>
          <cell r="E19">
            <v>1131996.69</v>
          </cell>
        </row>
        <row r="20">
          <cell r="B20" t="str">
            <v>Consigned goods</v>
          </cell>
          <cell r="C20">
            <v>0</v>
          </cell>
          <cell r="E20">
            <v>0</v>
          </cell>
        </row>
        <row r="21">
          <cell r="B21" t="str">
            <v>Total Inventory</v>
          </cell>
          <cell r="C21">
            <v>3055161.9699999997</v>
          </cell>
          <cell r="D21">
            <v>2545000</v>
          </cell>
          <cell r="E21">
            <v>1954494.02</v>
          </cell>
        </row>
        <row r="23">
          <cell r="B23" t="str">
            <v>Prepaid Expense</v>
          </cell>
          <cell r="C23">
            <v>756245.7</v>
          </cell>
          <cell r="D23">
            <v>603376</v>
          </cell>
          <cell r="E23">
            <v>837632.59</v>
          </cell>
        </row>
        <row r="24">
          <cell r="B24" t="str">
            <v>Suspense Payment</v>
          </cell>
        </row>
        <row r="25">
          <cell r="B25" t="str">
            <v>Prepaid Sales Tax</v>
          </cell>
        </row>
        <row r="26">
          <cell r="B26" t="str">
            <v>Others</v>
          </cell>
          <cell r="D26">
            <v>395000</v>
          </cell>
          <cell r="E26">
            <v>20480</v>
          </cell>
        </row>
        <row r="27">
          <cell r="B27" t="str">
            <v>Sub Total</v>
          </cell>
          <cell r="C27">
            <v>756245.7</v>
          </cell>
          <cell r="D27">
            <v>998376</v>
          </cell>
          <cell r="E27">
            <v>858112.59</v>
          </cell>
        </row>
        <row r="29">
          <cell r="B29" t="str">
            <v>Allowance for Bad Debts</v>
          </cell>
        </row>
        <row r="30">
          <cell r="B30" t="str">
            <v>Allowance for Disposed Goods</v>
          </cell>
          <cell r="C30">
            <v>2238.58</v>
          </cell>
        </row>
        <row r="32">
          <cell r="B32" t="str">
            <v>Total Current Assets</v>
          </cell>
          <cell r="C32">
            <v>15141291.17</v>
          </cell>
          <cell r="D32">
            <v>15118741</v>
          </cell>
          <cell r="E32">
            <v>16006749.520000001</v>
          </cell>
        </row>
        <row r="34">
          <cell r="B34" t="str">
            <v>Fixed Assets</v>
          </cell>
          <cell r="C34">
            <v>8355499.5</v>
          </cell>
          <cell r="D34">
            <v>8365000</v>
          </cell>
          <cell r="E34">
            <v>7566262.8799999999</v>
          </cell>
        </row>
        <row r="35">
          <cell r="B35" t="str">
            <v>Allowance for Depreciation(-)</v>
          </cell>
          <cell r="C35">
            <v>2154068.34</v>
          </cell>
          <cell r="D35">
            <v>2155000</v>
          </cell>
          <cell r="E35">
            <v>1455824.86</v>
          </cell>
        </row>
        <row r="36">
          <cell r="B36" t="str">
            <v>Total Tangible Assets</v>
          </cell>
          <cell r="C36">
            <v>6201431.1600000001</v>
          </cell>
          <cell r="D36">
            <v>6210000</v>
          </cell>
          <cell r="E36">
            <v>6110438.0199999996</v>
          </cell>
        </row>
        <row r="38">
          <cell r="B38" t="str">
            <v>Goodwill</v>
          </cell>
        </row>
        <row r="39">
          <cell r="B39" t="str">
            <v>Start-up Costs</v>
          </cell>
        </row>
        <row r="40">
          <cell r="B40" t="str">
            <v>Others</v>
          </cell>
          <cell r="C40">
            <v>1705</v>
          </cell>
          <cell r="D40">
            <v>18000</v>
          </cell>
          <cell r="E40">
            <v>3565</v>
          </cell>
        </row>
        <row r="41">
          <cell r="B41" t="str">
            <v>Total Intangible Assets</v>
          </cell>
          <cell r="C41">
            <v>1705</v>
          </cell>
          <cell r="D41">
            <v>18000</v>
          </cell>
          <cell r="E41">
            <v>3565</v>
          </cell>
        </row>
        <row r="43">
          <cell r="B43" t="str">
            <v>Invested Securities</v>
          </cell>
        </row>
        <row r="44">
          <cell r="B44" t="str">
            <v>Deposit</v>
          </cell>
        </row>
        <row r="45">
          <cell r="B45" t="str">
            <v>Long-term Prepaid Expense</v>
          </cell>
          <cell r="C45">
            <v>3901365.46</v>
          </cell>
          <cell r="D45">
            <v>3620136</v>
          </cell>
        </row>
        <row r="46">
          <cell r="B46" t="str">
            <v>Others</v>
          </cell>
        </row>
        <row r="47">
          <cell r="B47" t="str">
            <v>Total Investments</v>
          </cell>
          <cell r="C47">
            <v>3901365.46</v>
          </cell>
          <cell r="D47">
            <v>3620136</v>
          </cell>
          <cell r="E47">
            <v>0</v>
          </cell>
        </row>
        <row r="49">
          <cell r="B49" t="str">
            <v>Total Fixed Assets</v>
          </cell>
          <cell r="C49">
            <v>10104501.620000001</v>
          </cell>
          <cell r="D49">
            <v>9848136</v>
          </cell>
          <cell r="E49">
            <v>6114003.0199999996</v>
          </cell>
        </row>
        <row r="51">
          <cell r="B51" t="str">
            <v>Deffered Assets</v>
          </cell>
          <cell r="C51">
            <v>230863.46</v>
          </cell>
          <cell r="D51">
            <v>230864</v>
          </cell>
          <cell r="E51">
            <v>405273.14</v>
          </cell>
        </row>
        <row r="53">
          <cell r="B53" t="str">
            <v>Elimination</v>
          </cell>
        </row>
        <row r="55">
          <cell r="B55" t="str">
            <v>Total Assets</v>
          </cell>
          <cell r="C55">
            <v>25476656.25</v>
          </cell>
          <cell r="D55">
            <v>25197741</v>
          </cell>
          <cell r="E55">
            <v>22526025.68</v>
          </cell>
        </row>
      </sheetData>
      <sheetData sheetId="6"/>
      <sheetData sheetId="7"/>
      <sheetData sheetId="8"/>
      <sheetData sheetId="9"/>
      <sheetData sheetId="10" refreshError="1"/>
      <sheetData sheetId="11"/>
      <sheetData sheetId="12" refreshError="1"/>
      <sheetData sheetId="13" refreshError="1"/>
      <sheetData sheetId="14"/>
      <sheetData sheetId="15"/>
      <sheetData sheetId="16">
        <row r="7">
          <cell r="B7" t="str">
            <v xml:space="preserve">Current Month </v>
          </cell>
        </row>
      </sheetData>
      <sheetData sheetId="17">
        <row r="7">
          <cell r="B7" t="str">
            <v>Assets</v>
          </cell>
        </row>
      </sheetData>
      <sheetData sheetId="18" refreshError="1"/>
      <sheetData sheetId="19">
        <row r="7">
          <cell r="B7" t="str">
            <v xml:space="preserve">Current Month </v>
          </cell>
        </row>
      </sheetData>
      <sheetData sheetId="20">
        <row r="7">
          <cell r="B7" t="str">
            <v>Assets</v>
          </cell>
        </row>
      </sheetData>
      <sheetData sheetId="21" refreshError="1"/>
      <sheetData sheetId="22" refreshError="1"/>
      <sheetData sheetId="23" refreshError="1"/>
      <sheetData sheetId="24" refreshError="1"/>
      <sheetData sheetId="2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vs3p 070429"/>
      <sheetName val="cvs3p 070428"/>
      <sheetName val="cvs3p 070427"/>
      <sheetName val="cvs3p 070426"/>
      <sheetName val="W3P 070425"/>
      <sheetName val="W3P 070424"/>
      <sheetName val="W3P 070423"/>
      <sheetName val="CVS3P 070422"/>
      <sheetName val="RA3P070421"/>
      <sheetName val="RA3P070420"/>
      <sheetName val="RA3P070419"/>
      <sheetName val="RA3P070418"/>
      <sheetName val="CVS,RA3P 070417"/>
      <sheetName val="CVS070416"/>
      <sheetName val="C异型070415"/>
      <sheetName val="C异型070414"/>
      <sheetName val="C异型070413"/>
      <sheetName val="C异型070412"/>
      <sheetName val="周工金504"/>
      <sheetName val="周工金503"/>
      <sheetName val="周工小林"/>
      <sheetName val="C异型070411"/>
      <sheetName val="C异型070410"/>
      <sheetName val="C异型070409"/>
      <sheetName val="C异形070407"/>
      <sheetName val="C异形070406"/>
      <sheetName val="异形内袋膜微漏对比实验"/>
      <sheetName val="C异形070405"/>
      <sheetName val="W070404"/>
      <sheetName val="W070403"/>
      <sheetName val="W07040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ow r="1">
          <cell r="L1" t="str">
            <v>品种</v>
          </cell>
        </row>
        <row r="2">
          <cell r="L2" t="str">
            <v>英国IBS</v>
          </cell>
        </row>
        <row r="3">
          <cell r="L3" t="str">
            <v>英国版</v>
          </cell>
        </row>
        <row r="4">
          <cell r="L4" t="str">
            <v>中国版</v>
          </cell>
        </row>
        <row r="5">
          <cell r="L5" t="str">
            <v>美国版</v>
          </cell>
        </row>
        <row r="6">
          <cell r="L6" t="str">
            <v>日本版</v>
          </cell>
        </row>
        <row r="7">
          <cell r="L7" t="str">
            <v>暖手</v>
          </cell>
        </row>
        <row r="8">
          <cell r="L8" t="str">
            <v>暖脚</v>
          </cell>
        </row>
        <row r="9">
          <cell r="L9" t="str">
            <v>异型</v>
          </cell>
        </row>
      </sheetData>
      <sheetData sheetId="30"/>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賞与･年収"/>
    </sheetNames>
    <sheetDataSet>
      <sheetData sheetId="0" refreshError="1">
        <row r="2">
          <cell r="A2" t="str">
            <v>0324</v>
          </cell>
          <cell r="B2" t="str">
            <v>森田　宏　　　　</v>
          </cell>
          <cell r="C2">
            <v>2201010</v>
          </cell>
          <cell r="D2">
            <v>2468190</v>
          </cell>
          <cell r="E2">
            <v>4669200</v>
          </cell>
          <cell r="F2">
            <v>8418410</v>
          </cell>
          <cell r="G2">
            <v>13087610</v>
          </cell>
          <cell r="H2">
            <v>2213730</v>
          </cell>
        </row>
        <row r="3">
          <cell r="A3" t="str">
            <v>0243</v>
          </cell>
          <cell r="B3" t="str">
            <v>赤水　岩男　　　</v>
          </cell>
          <cell r="C3">
            <v>1969070</v>
          </cell>
          <cell r="D3">
            <v>2329460</v>
          </cell>
          <cell r="E3">
            <v>4298530</v>
          </cell>
          <cell r="F3">
            <v>8362668</v>
          </cell>
          <cell r="G3">
            <v>12661198</v>
          </cell>
          <cell r="H3">
            <v>1969460</v>
          </cell>
        </row>
        <row r="4">
          <cell r="A4" t="str">
            <v>0182</v>
          </cell>
          <cell r="B4" t="str">
            <v>岡　稔　　　　　</v>
          </cell>
          <cell r="C4">
            <v>2048730</v>
          </cell>
          <cell r="D4">
            <v>2306870</v>
          </cell>
          <cell r="E4">
            <v>4355600</v>
          </cell>
          <cell r="F4">
            <v>8383347</v>
          </cell>
          <cell r="G4">
            <v>12738947</v>
          </cell>
          <cell r="H4">
            <v>1750780</v>
          </cell>
        </row>
        <row r="5">
          <cell r="A5" t="str">
            <v>0173</v>
          </cell>
          <cell r="B5" t="str">
            <v>白石　勝巳　　　</v>
          </cell>
          <cell r="C5">
            <v>1873860</v>
          </cell>
          <cell r="D5">
            <v>2289060</v>
          </cell>
          <cell r="E5">
            <v>4162920</v>
          </cell>
          <cell r="F5">
            <v>7702897</v>
          </cell>
          <cell r="G5">
            <v>11865817</v>
          </cell>
          <cell r="H5">
            <v>1936180</v>
          </cell>
        </row>
        <row r="6">
          <cell r="A6" t="str">
            <v>0272</v>
          </cell>
          <cell r="B6" t="str">
            <v>吹田　昭　　　　</v>
          </cell>
          <cell r="C6">
            <v>1947900</v>
          </cell>
          <cell r="D6">
            <v>2181150</v>
          </cell>
          <cell r="E6">
            <v>4129050</v>
          </cell>
          <cell r="F6">
            <v>8920853</v>
          </cell>
          <cell r="G6">
            <v>13049903</v>
          </cell>
          <cell r="H6">
            <v>1863470</v>
          </cell>
        </row>
        <row r="7">
          <cell r="A7" t="str">
            <v>0176</v>
          </cell>
          <cell r="B7" t="str">
            <v>根本　克男　　　</v>
          </cell>
          <cell r="C7">
            <v>1949790</v>
          </cell>
          <cell r="D7">
            <v>2173050</v>
          </cell>
          <cell r="E7">
            <v>4122840</v>
          </cell>
          <cell r="F7">
            <v>9087644</v>
          </cell>
          <cell r="G7">
            <v>13210484</v>
          </cell>
          <cell r="H7">
            <v>2022000</v>
          </cell>
        </row>
        <row r="8">
          <cell r="A8" t="str">
            <v>0298</v>
          </cell>
          <cell r="B8" t="str">
            <v>永原　知晴　　　</v>
          </cell>
          <cell r="C8">
            <v>1935210</v>
          </cell>
          <cell r="D8">
            <v>2157990</v>
          </cell>
          <cell r="E8">
            <v>4093200</v>
          </cell>
          <cell r="F8">
            <v>8615389</v>
          </cell>
          <cell r="G8">
            <v>12708589</v>
          </cell>
          <cell r="H8">
            <v>1935490</v>
          </cell>
        </row>
        <row r="9">
          <cell r="A9" t="str">
            <v>0215</v>
          </cell>
          <cell r="B9" t="str">
            <v>中対　昭一　　　</v>
          </cell>
          <cell r="C9">
            <v>1929220</v>
          </cell>
          <cell r="D9">
            <v>2155470</v>
          </cell>
          <cell r="E9">
            <v>4084690</v>
          </cell>
          <cell r="F9">
            <v>7749713</v>
          </cell>
          <cell r="G9">
            <v>11834403</v>
          </cell>
          <cell r="H9">
            <v>1841540</v>
          </cell>
        </row>
        <row r="10">
          <cell r="A10" t="str">
            <v>0295</v>
          </cell>
          <cell r="B10" t="str">
            <v>橋本　健一　　　</v>
          </cell>
          <cell r="C10">
            <v>1931040</v>
          </cell>
          <cell r="D10">
            <v>2147580</v>
          </cell>
          <cell r="E10">
            <v>4078620</v>
          </cell>
          <cell r="F10">
            <v>8718577</v>
          </cell>
          <cell r="G10">
            <v>12797197</v>
          </cell>
          <cell r="H10">
            <v>1953760</v>
          </cell>
        </row>
        <row r="11">
          <cell r="A11" t="str">
            <v>0287</v>
          </cell>
          <cell r="B11" t="str">
            <v>石川　潔志　　　</v>
          </cell>
          <cell r="C11">
            <v>1813600</v>
          </cell>
          <cell r="D11">
            <v>2141280</v>
          </cell>
          <cell r="E11">
            <v>3954880</v>
          </cell>
          <cell r="F11">
            <v>8598065</v>
          </cell>
          <cell r="G11">
            <v>12552945</v>
          </cell>
          <cell r="H11">
            <v>1829430</v>
          </cell>
        </row>
        <row r="12">
          <cell r="A12" t="str">
            <v>0206</v>
          </cell>
          <cell r="B12" t="str">
            <v>高橋　勝　　　　</v>
          </cell>
          <cell r="C12">
            <v>1844470</v>
          </cell>
          <cell r="D12">
            <v>2126140</v>
          </cell>
          <cell r="E12">
            <v>3970610</v>
          </cell>
          <cell r="F12">
            <v>7816813</v>
          </cell>
          <cell r="G12">
            <v>11787423</v>
          </cell>
          <cell r="H12">
            <v>1746010</v>
          </cell>
        </row>
        <row r="13">
          <cell r="A13" t="str">
            <v>0437</v>
          </cell>
          <cell r="B13" t="str">
            <v>森井　敏之　　　</v>
          </cell>
          <cell r="C13">
            <v>1833800</v>
          </cell>
          <cell r="D13">
            <v>2086940</v>
          </cell>
          <cell r="E13">
            <v>3920740</v>
          </cell>
          <cell r="F13">
            <v>7151874</v>
          </cell>
          <cell r="G13">
            <v>11072614</v>
          </cell>
          <cell r="H13">
            <v>1871770</v>
          </cell>
        </row>
        <row r="14">
          <cell r="A14" t="str">
            <v>0218</v>
          </cell>
          <cell r="B14" t="str">
            <v>瀬野　嘉津吉　　</v>
          </cell>
          <cell r="C14">
            <v>1799730</v>
          </cell>
          <cell r="D14">
            <v>2081550</v>
          </cell>
          <cell r="E14">
            <v>3881280</v>
          </cell>
          <cell r="F14">
            <v>7499650</v>
          </cell>
          <cell r="G14">
            <v>11380930</v>
          </cell>
          <cell r="H14">
            <v>1843970</v>
          </cell>
        </row>
        <row r="15">
          <cell r="A15" t="str">
            <v>0238</v>
          </cell>
          <cell r="B15" t="str">
            <v>梅木　栄　　　　</v>
          </cell>
          <cell r="C15">
            <v>1646480</v>
          </cell>
          <cell r="D15">
            <v>2074610</v>
          </cell>
          <cell r="E15">
            <v>3721090</v>
          </cell>
          <cell r="F15">
            <v>7103216</v>
          </cell>
          <cell r="G15">
            <v>10824306</v>
          </cell>
          <cell r="H15">
            <v>1860730</v>
          </cell>
        </row>
        <row r="16">
          <cell r="A16" t="str">
            <v>0230</v>
          </cell>
          <cell r="B16" t="str">
            <v>鳴尾　浩　　　　</v>
          </cell>
          <cell r="C16">
            <v>1843920</v>
          </cell>
          <cell r="D16">
            <v>2070340</v>
          </cell>
          <cell r="E16">
            <v>3914260</v>
          </cell>
          <cell r="F16">
            <v>7435995</v>
          </cell>
          <cell r="G16">
            <v>11350255</v>
          </cell>
          <cell r="H16">
            <v>1976260</v>
          </cell>
        </row>
        <row r="17">
          <cell r="A17" t="str">
            <v>0191</v>
          </cell>
          <cell r="B17" t="str">
            <v>松田　市三　　　</v>
          </cell>
          <cell r="C17">
            <v>1848830</v>
          </cell>
          <cell r="D17">
            <v>2062710</v>
          </cell>
          <cell r="E17">
            <v>3911540</v>
          </cell>
          <cell r="F17">
            <v>7268060</v>
          </cell>
          <cell r="G17">
            <v>11179600</v>
          </cell>
          <cell r="H17">
            <v>1949120</v>
          </cell>
        </row>
        <row r="18">
          <cell r="A18" t="str">
            <v>3562</v>
          </cell>
          <cell r="B18" t="str">
            <v>守田　博康　　　</v>
          </cell>
          <cell r="C18">
            <v>0</v>
          </cell>
          <cell r="D18">
            <v>2060000</v>
          </cell>
          <cell r="E18">
            <v>2060000</v>
          </cell>
          <cell r="F18">
            <v>7656527</v>
          </cell>
          <cell r="G18">
            <v>9716527</v>
          </cell>
          <cell r="H18">
            <v>1691760</v>
          </cell>
        </row>
        <row r="19">
          <cell r="A19" t="str">
            <v>0231</v>
          </cell>
          <cell r="B19" t="str">
            <v>高橋　正信　　　</v>
          </cell>
          <cell r="C19">
            <v>1926490</v>
          </cell>
          <cell r="D19">
            <v>2048090</v>
          </cell>
          <cell r="E19">
            <v>3974580</v>
          </cell>
          <cell r="F19">
            <v>7338903</v>
          </cell>
          <cell r="G19">
            <v>11313483</v>
          </cell>
          <cell r="H19">
            <v>1865940</v>
          </cell>
        </row>
        <row r="20">
          <cell r="A20" t="str">
            <v>0288</v>
          </cell>
          <cell r="B20" t="str">
            <v>立浪　東吾　　　</v>
          </cell>
          <cell r="C20">
            <v>1834820</v>
          </cell>
          <cell r="D20">
            <v>2040920</v>
          </cell>
          <cell r="E20">
            <v>3875740</v>
          </cell>
          <cell r="F20">
            <v>7962674</v>
          </cell>
          <cell r="G20">
            <v>11838414</v>
          </cell>
          <cell r="H20">
            <v>1747760</v>
          </cell>
        </row>
        <row r="21">
          <cell r="A21" t="str">
            <v>0188</v>
          </cell>
          <cell r="B21" t="str">
            <v>渡辺　武久　　　</v>
          </cell>
          <cell r="C21">
            <v>1738980</v>
          </cell>
          <cell r="D21">
            <v>2037460</v>
          </cell>
          <cell r="E21">
            <v>3776440</v>
          </cell>
          <cell r="F21">
            <v>7624030</v>
          </cell>
          <cell r="G21">
            <v>11400470</v>
          </cell>
          <cell r="H21">
            <v>1739980</v>
          </cell>
        </row>
        <row r="22">
          <cell r="A22" t="str">
            <v>0229</v>
          </cell>
          <cell r="B22" t="str">
            <v>岩田　襄　　　　</v>
          </cell>
          <cell r="C22">
            <v>1712000</v>
          </cell>
          <cell r="D22">
            <v>2032460</v>
          </cell>
          <cell r="E22">
            <v>3744460</v>
          </cell>
          <cell r="F22">
            <v>7346592</v>
          </cell>
          <cell r="G22">
            <v>11091052</v>
          </cell>
          <cell r="H22">
            <v>1736460</v>
          </cell>
        </row>
        <row r="23">
          <cell r="A23" t="str">
            <v>2164</v>
          </cell>
          <cell r="B23" t="str">
            <v>芳松　恒男　　　</v>
          </cell>
          <cell r="C23">
            <v>1784380</v>
          </cell>
          <cell r="D23">
            <v>2024190</v>
          </cell>
          <cell r="E23">
            <v>3808570</v>
          </cell>
          <cell r="F23">
            <v>7068912</v>
          </cell>
          <cell r="G23">
            <v>10877482</v>
          </cell>
          <cell r="H23">
            <v>1815490</v>
          </cell>
        </row>
        <row r="24">
          <cell r="A24" t="str">
            <v>0143</v>
          </cell>
          <cell r="B24" t="str">
            <v>河野　哲也　　　</v>
          </cell>
          <cell r="C24">
            <v>1972010</v>
          </cell>
          <cell r="D24">
            <v>2023050</v>
          </cell>
          <cell r="E24">
            <v>3995060</v>
          </cell>
          <cell r="F24">
            <v>7684709</v>
          </cell>
          <cell r="G24">
            <v>11679769</v>
          </cell>
          <cell r="H24">
            <v>1773730</v>
          </cell>
        </row>
        <row r="25">
          <cell r="A25" t="str">
            <v>0271</v>
          </cell>
          <cell r="B25" t="str">
            <v>芦田　喜朗　　　</v>
          </cell>
          <cell r="C25">
            <v>1727960</v>
          </cell>
          <cell r="D25">
            <v>2022560</v>
          </cell>
          <cell r="E25">
            <v>3750520</v>
          </cell>
          <cell r="F25">
            <v>7089549</v>
          </cell>
          <cell r="G25">
            <v>10840069</v>
          </cell>
          <cell r="H25">
            <v>1727990</v>
          </cell>
        </row>
        <row r="26">
          <cell r="A26" t="str">
            <v>0369</v>
          </cell>
          <cell r="B26" t="str">
            <v>三木　譲治　　　</v>
          </cell>
          <cell r="C26">
            <v>1599270</v>
          </cell>
          <cell r="D26">
            <v>2006630</v>
          </cell>
          <cell r="E26">
            <v>3605900</v>
          </cell>
          <cell r="F26">
            <v>8137047</v>
          </cell>
          <cell r="G26">
            <v>11742947</v>
          </cell>
          <cell r="H26">
            <v>1714360</v>
          </cell>
        </row>
        <row r="27">
          <cell r="A27" t="str">
            <v>0257</v>
          </cell>
          <cell r="B27" t="str">
            <v>溝口　実　　　　</v>
          </cell>
          <cell r="C27">
            <v>1688640</v>
          </cell>
          <cell r="D27">
            <v>1997550</v>
          </cell>
          <cell r="E27">
            <v>3686190</v>
          </cell>
          <cell r="F27">
            <v>7017586</v>
          </cell>
          <cell r="G27">
            <v>10703776</v>
          </cell>
          <cell r="H27">
            <v>1710150</v>
          </cell>
        </row>
        <row r="28">
          <cell r="A28" t="str">
            <v>0276</v>
          </cell>
          <cell r="B28" t="str">
            <v>楢崎　治彦　　　</v>
          </cell>
          <cell r="C28">
            <v>1662340</v>
          </cell>
          <cell r="D28">
            <v>1985510</v>
          </cell>
          <cell r="E28">
            <v>3647850</v>
          </cell>
          <cell r="F28">
            <v>7115290</v>
          </cell>
          <cell r="G28">
            <v>10763140</v>
          </cell>
          <cell r="H28">
            <v>1777010</v>
          </cell>
        </row>
        <row r="29">
          <cell r="A29" t="str">
            <v>0219</v>
          </cell>
          <cell r="B29" t="str">
            <v>三宅　敏文　　　</v>
          </cell>
          <cell r="C29">
            <v>1789360</v>
          </cell>
          <cell r="D29">
            <v>1970020</v>
          </cell>
          <cell r="E29">
            <v>3759380</v>
          </cell>
          <cell r="F29">
            <v>7618649</v>
          </cell>
          <cell r="G29">
            <v>11378029</v>
          </cell>
          <cell r="H29">
            <v>1323050</v>
          </cell>
        </row>
        <row r="30">
          <cell r="A30" t="str">
            <v>0436</v>
          </cell>
          <cell r="B30" t="str">
            <v>白石　俊介　　　</v>
          </cell>
          <cell r="C30">
            <v>1679030</v>
          </cell>
          <cell r="D30">
            <v>1968700</v>
          </cell>
          <cell r="E30">
            <v>3647730</v>
          </cell>
          <cell r="F30">
            <v>8356068</v>
          </cell>
          <cell r="G30">
            <v>12003798</v>
          </cell>
          <cell r="H30">
            <v>1681980</v>
          </cell>
        </row>
        <row r="31">
          <cell r="A31" t="str">
            <v>0513</v>
          </cell>
          <cell r="B31" t="str">
            <v>田中　正昭　　　</v>
          </cell>
          <cell r="C31">
            <v>1711130</v>
          </cell>
          <cell r="D31">
            <v>1962000</v>
          </cell>
          <cell r="E31">
            <v>3673130</v>
          </cell>
          <cell r="F31">
            <v>6776811</v>
          </cell>
          <cell r="G31">
            <v>10449941</v>
          </cell>
          <cell r="H31">
            <v>1752010</v>
          </cell>
        </row>
        <row r="32">
          <cell r="A32" t="str">
            <v>0141</v>
          </cell>
          <cell r="B32" t="str">
            <v>石飛　喜一　　　</v>
          </cell>
          <cell r="C32">
            <v>1674650</v>
          </cell>
          <cell r="D32">
            <v>1959700</v>
          </cell>
          <cell r="E32">
            <v>3634350</v>
          </cell>
          <cell r="F32">
            <v>7079474</v>
          </cell>
          <cell r="G32">
            <v>10713824</v>
          </cell>
          <cell r="H32">
            <v>1695550</v>
          </cell>
        </row>
        <row r="33">
          <cell r="A33" t="str">
            <v>1932</v>
          </cell>
          <cell r="B33" t="str">
            <v>川崎　隆　　　　</v>
          </cell>
          <cell r="C33">
            <v>1726410</v>
          </cell>
          <cell r="D33">
            <v>1957280</v>
          </cell>
          <cell r="E33">
            <v>3683690</v>
          </cell>
          <cell r="F33">
            <v>6863271</v>
          </cell>
          <cell r="G33">
            <v>10546961</v>
          </cell>
          <cell r="H33">
            <v>1755460</v>
          </cell>
        </row>
        <row r="34">
          <cell r="A34" t="str">
            <v>0509</v>
          </cell>
          <cell r="B34" t="str">
            <v>辻野　隆志　　　</v>
          </cell>
          <cell r="C34">
            <v>1705470</v>
          </cell>
          <cell r="D34">
            <v>1955570</v>
          </cell>
          <cell r="E34">
            <v>3661040</v>
          </cell>
          <cell r="F34">
            <v>6715729</v>
          </cell>
          <cell r="G34">
            <v>10376769</v>
          </cell>
          <cell r="H34">
            <v>1770870</v>
          </cell>
        </row>
        <row r="35">
          <cell r="A35" t="str">
            <v>0209</v>
          </cell>
          <cell r="B35" t="str">
            <v>谷元　茂　　　　</v>
          </cell>
          <cell r="C35">
            <v>1582950</v>
          </cell>
          <cell r="D35">
            <v>1953740</v>
          </cell>
          <cell r="E35">
            <v>3536690</v>
          </cell>
          <cell r="F35">
            <v>7219360</v>
          </cell>
          <cell r="G35">
            <v>10756050</v>
          </cell>
          <cell r="H35">
            <v>1771120</v>
          </cell>
        </row>
        <row r="36">
          <cell r="A36" t="str">
            <v>0359</v>
          </cell>
          <cell r="B36" t="str">
            <v>小幡　宏政　　　</v>
          </cell>
          <cell r="C36">
            <v>1707670</v>
          </cell>
          <cell r="D36">
            <v>1948470</v>
          </cell>
          <cell r="E36">
            <v>3656140</v>
          </cell>
          <cell r="F36">
            <v>7073544</v>
          </cell>
          <cell r="G36">
            <v>10729684</v>
          </cell>
          <cell r="H36">
            <v>1764510</v>
          </cell>
        </row>
        <row r="37">
          <cell r="A37" t="str">
            <v>0168</v>
          </cell>
          <cell r="B37" t="str">
            <v>棟保　恵介　　　</v>
          </cell>
          <cell r="C37">
            <v>1808950</v>
          </cell>
          <cell r="D37">
            <v>1932750</v>
          </cell>
          <cell r="E37">
            <v>3741700</v>
          </cell>
          <cell r="F37">
            <v>7563009</v>
          </cell>
          <cell r="G37">
            <v>11304709</v>
          </cell>
          <cell r="H37">
            <v>1685010</v>
          </cell>
        </row>
        <row r="38">
          <cell r="A38" t="str">
            <v>0312</v>
          </cell>
          <cell r="B38" t="str">
            <v>寺坂　武雄　　　</v>
          </cell>
          <cell r="C38">
            <v>1439650</v>
          </cell>
          <cell r="D38">
            <v>1897910</v>
          </cell>
          <cell r="E38">
            <v>3337560</v>
          </cell>
          <cell r="F38">
            <v>6725238</v>
          </cell>
          <cell r="G38">
            <v>10062798</v>
          </cell>
          <cell r="H38">
            <v>1371210</v>
          </cell>
        </row>
        <row r="39">
          <cell r="A39" t="str">
            <v>0228</v>
          </cell>
          <cell r="B39" t="str">
            <v>潮先　邦宏　　　</v>
          </cell>
          <cell r="C39">
            <v>1677230</v>
          </cell>
          <cell r="D39">
            <v>1874060</v>
          </cell>
          <cell r="E39">
            <v>3551290</v>
          </cell>
          <cell r="F39">
            <v>8252607</v>
          </cell>
          <cell r="G39">
            <v>11803897</v>
          </cell>
          <cell r="H39">
            <v>1686160</v>
          </cell>
        </row>
        <row r="40">
          <cell r="A40" t="str">
            <v>0226</v>
          </cell>
          <cell r="B40" t="str">
            <v>西原　昌則　　　</v>
          </cell>
          <cell r="C40">
            <v>1625140</v>
          </cell>
          <cell r="D40">
            <v>1844420</v>
          </cell>
          <cell r="E40">
            <v>3469560</v>
          </cell>
          <cell r="F40">
            <v>6702443</v>
          </cell>
          <cell r="G40">
            <v>10172003</v>
          </cell>
          <cell r="H40">
            <v>1559210</v>
          </cell>
        </row>
        <row r="41">
          <cell r="A41" t="str">
            <v>0136</v>
          </cell>
          <cell r="B41" t="str">
            <v>山本　達雄　　　</v>
          </cell>
          <cell r="C41">
            <v>1590770</v>
          </cell>
          <cell r="D41">
            <v>1844330</v>
          </cell>
          <cell r="E41">
            <v>3435100</v>
          </cell>
          <cell r="F41">
            <v>6402875</v>
          </cell>
          <cell r="G41">
            <v>9837975</v>
          </cell>
          <cell r="H41">
            <v>1575730</v>
          </cell>
        </row>
        <row r="42">
          <cell r="A42" t="str">
            <v>0250</v>
          </cell>
          <cell r="B42" t="str">
            <v>永原　孝美　　　</v>
          </cell>
          <cell r="C42">
            <v>1433100</v>
          </cell>
          <cell r="D42">
            <v>1832910</v>
          </cell>
          <cell r="E42">
            <v>3266010</v>
          </cell>
          <cell r="F42">
            <v>7005183</v>
          </cell>
          <cell r="G42">
            <v>10271193</v>
          </cell>
          <cell r="H42">
            <v>1722360</v>
          </cell>
        </row>
        <row r="43">
          <cell r="A43" t="str">
            <v>0440</v>
          </cell>
          <cell r="B43" t="str">
            <v>森川　伸矢　　　</v>
          </cell>
          <cell r="C43">
            <v>1595250</v>
          </cell>
          <cell r="D43">
            <v>1824360</v>
          </cell>
          <cell r="E43">
            <v>3419610</v>
          </cell>
          <cell r="F43">
            <v>6396747</v>
          </cell>
          <cell r="G43">
            <v>9816357</v>
          </cell>
          <cell r="H43">
            <v>1652290</v>
          </cell>
        </row>
        <row r="44">
          <cell r="A44" t="str">
            <v>0213</v>
          </cell>
          <cell r="B44" t="str">
            <v>曽我　英雄　　　</v>
          </cell>
          <cell r="C44">
            <v>1645530</v>
          </cell>
          <cell r="D44">
            <v>1806090</v>
          </cell>
          <cell r="E44">
            <v>3451620</v>
          </cell>
          <cell r="F44">
            <v>7148584</v>
          </cell>
          <cell r="G44">
            <v>10600204</v>
          </cell>
          <cell r="H44">
            <v>1625000</v>
          </cell>
        </row>
        <row r="45">
          <cell r="A45" t="str">
            <v>0327</v>
          </cell>
          <cell r="B45" t="str">
            <v>竹重　範之　　　</v>
          </cell>
          <cell r="C45">
            <v>1585150</v>
          </cell>
          <cell r="D45">
            <v>1802390</v>
          </cell>
          <cell r="E45">
            <v>3387540</v>
          </cell>
          <cell r="F45">
            <v>7926705</v>
          </cell>
          <cell r="G45">
            <v>11314245</v>
          </cell>
          <cell r="H45">
            <v>1638830</v>
          </cell>
        </row>
        <row r="46">
          <cell r="A46" t="str">
            <v>0892</v>
          </cell>
          <cell r="B46" t="str">
            <v>小坂　晴良　　　</v>
          </cell>
          <cell r="C46">
            <v>1563040</v>
          </cell>
          <cell r="D46">
            <v>1798240</v>
          </cell>
          <cell r="E46">
            <v>3361280</v>
          </cell>
          <cell r="F46">
            <v>6277760</v>
          </cell>
          <cell r="G46">
            <v>9639040</v>
          </cell>
          <cell r="H46">
            <v>1630010</v>
          </cell>
        </row>
        <row r="47">
          <cell r="A47" t="str">
            <v>0647</v>
          </cell>
          <cell r="B47" t="str">
            <v>仲田　哲雄　　　</v>
          </cell>
          <cell r="C47">
            <v>1583930</v>
          </cell>
          <cell r="D47">
            <v>1797370</v>
          </cell>
          <cell r="E47">
            <v>3381300</v>
          </cell>
          <cell r="F47">
            <v>6883907</v>
          </cell>
          <cell r="G47">
            <v>10265207</v>
          </cell>
          <cell r="H47">
            <v>1691730</v>
          </cell>
        </row>
        <row r="48">
          <cell r="A48" t="str">
            <v>0236</v>
          </cell>
          <cell r="B48" t="str">
            <v>馬場　孝　　　　</v>
          </cell>
          <cell r="C48">
            <v>1553010</v>
          </cell>
          <cell r="D48">
            <v>1794950</v>
          </cell>
          <cell r="E48">
            <v>3347960</v>
          </cell>
          <cell r="F48">
            <v>6404860</v>
          </cell>
          <cell r="G48">
            <v>9752820</v>
          </cell>
          <cell r="H48">
            <v>1534000</v>
          </cell>
        </row>
        <row r="49">
          <cell r="A49" t="str">
            <v>0225</v>
          </cell>
          <cell r="B49" t="str">
            <v>堀江　正裕　　　</v>
          </cell>
          <cell r="C49">
            <v>1356330</v>
          </cell>
          <cell r="D49">
            <v>1790290</v>
          </cell>
          <cell r="E49">
            <v>3146620</v>
          </cell>
          <cell r="F49">
            <v>6576718</v>
          </cell>
          <cell r="G49">
            <v>9723338</v>
          </cell>
          <cell r="H49">
            <v>1775430</v>
          </cell>
        </row>
        <row r="50">
          <cell r="A50" t="str">
            <v>0239</v>
          </cell>
          <cell r="B50" t="str">
            <v>細川　武彦　　　</v>
          </cell>
          <cell r="C50">
            <v>1436600</v>
          </cell>
          <cell r="D50">
            <v>1781670</v>
          </cell>
          <cell r="E50">
            <v>3218270</v>
          </cell>
          <cell r="F50">
            <v>5821964</v>
          </cell>
          <cell r="G50">
            <v>9040234</v>
          </cell>
          <cell r="H50">
            <v>1477730</v>
          </cell>
        </row>
        <row r="51">
          <cell r="A51" t="str">
            <v>0337</v>
          </cell>
          <cell r="B51" t="str">
            <v>竹沢　章好　　　</v>
          </cell>
          <cell r="C51">
            <v>1651690</v>
          </cell>
          <cell r="D51">
            <v>1781000</v>
          </cell>
          <cell r="E51">
            <v>3432690</v>
          </cell>
          <cell r="F51">
            <v>6699031</v>
          </cell>
          <cell r="G51">
            <v>10131721</v>
          </cell>
          <cell r="H51">
            <v>1576570</v>
          </cell>
        </row>
        <row r="52">
          <cell r="A52" t="str">
            <v>0326</v>
          </cell>
          <cell r="B52" t="str">
            <v>宇田　義貴　　　</v>
          </cell>
          <cell r="C52">
            <v>1452370</v>
          </cell>
          <cell r="D52">
            <v>1771190</v>
          </cell>
          <cell r="E52">
            <v>3223560</v>
          </cell>
          <cell r="F52">
            <v>6504262</v>
          </cell>
          <cell r="G52">
            <v>9727822</v>
          </cell>
          <cell r="H52">
            <v>1493440</v>
          </cell>
        </row>
        <row r="53">
          <cell r="A53" t="str">
            <v>0300</v>
          </cell>
          <cell r="B53" t="str">
            <v>湯沢　修　　　　</v>
          </cell>
          <cell r="C53">
            <v>1339290</v>
          </cell>
          <cell r="D53">
            <v>1761180</v>
          </cell>
          <cell r="E53">
            <v>3100470</v>
          </cell>
          <cell r="F53">
            <v>6375129</v>
          </cell>
          <cell r="G53">
            <v>9475599</v>
          </cell>
          <cell r="H53">
            <v>1457530</v>
          </cell>
        </row>
        <row r="54">
          <cell r="A54" t="str">
            <v>0753</v>
          </cell>
          <cell r="B54" t="str">
            <v>榎本　茂雄　　　</v>
          </cell>
          <cell r="C54">
            <v>1616950</v>
          </cell>
          <cell r="D54">
            <v>1753950</v>
          </cell>
          <cell r="E54">
            <v>3370900</v>
          </cell>
          <cell r="F54">
            <v>6492247</v>
          </cell>
          <cell r="G54">
            <v>9863147</v>
          </cell>
          <cell r="H54">
            <v>1569790</v>
          </cell>
        </row>
        <row r="55">
          <cell r="A55" t="str">
            <v>0192</v>
          </cell>
          <cell r="B55" t="str">
            <v>尾花　研次　　　</v>
          </cell>
          <cell r="C55">
            <v>1475130</v>
          </cell>
          <cell r="D55">
            <v>1747360</v>
          </cell>
          <cell r="E55">
            <v>3222490</v>
          </cell>
          <cell r="F55">
            <v>6850896</v>
          </cell>
          <cell r="G55">
            <v>10073386</v>
          </cell>
          <cell r="H55">
            <v>1724170</v>
          </cell>
        </row>
        <row r="56">
          <cell r="A56" t="str">
            <v>0138</v>
          </cell>
          <cell r="B56" t="str">
            <v>原　敬一　　　　</v>
          </cell>
          <cell r="C56">
            <v>1755730</v>
          </cell>
          <cell r="D56">
            <v>1745250</v>
          </cell>
          <cell r="E56">
            <v>3500980</v>
          </cell>
          <cell r="F56">
            <v>6563050</v>
          </cell>
          <cell r="G56">
            <v>10064030</v>
          </cell>
          <cell r="H56">
            <v>1548190</v>
          </cell>
        </row>
        <row r="57">
          <cell r="A57" t="str">
            <v>0255</v>
          </cell>
          <cell r="B57" t="str">
            <v>佐々木　重忠　　</v>
          </cell>
          <cell r="C57">
            <v>1530620</v>
          </cell>
          <cell r="D57">
            <v>1742720</v>
          </cell>
          <cell r="E57">
            <v>3273340</v>
          </cell>
          <cell r="F57">
            <v>6427559</v>
          </cell>
          <cell r="G57">
            <v>9700899</v>
          </cell>
          <cell r="H57">
            <v>1537510</v>
          </cell>
        </row>
        <row r="58">
          <cell r="A58" t="str">
            <v>0259</v>
          </cell>
          <cell r="B58" t="str">
            <v>高石　正三　　　</v>
          </cell>
          <cell r="C58">
            <v>1454150</v>
          </cell>
          <cell r="D58">
            <v>1738450</v>
          </cell>
          <cell r="E58">
            <v>3192600</v>
          </cell>
          <cell r="F58">
            <v>6254917</v>
          </cell>
          <cell r="G58">
            <v>9447517</v>
          </cell>
          <cell r="H58">
            <v>1485700</v>
          </cell>
        </row>
        <row r="59">
          <cell r="A59" t="str">
            <v>0282</v>
          </cell>
          <cell r="B59" t="str">
            <v>高橋　勇次　　　</v>
          </cell>
          <cell r="C59">
            <v>1565240</v>
          </cell>
          <cell r="D59">
            <v>1737650</v>
          </cell>
          <cell r="E59">
            <v>3302890</v>
          </cell>
          <cell r="F59">
            <v>6479888</v>
          </cell>
          <cell r="G59">
            <v>9782778</v>
          </cell>
          <cell r="H59">
            <v>1588420</v>
          </cell>
        </row>
        <row r="60">
          <cell r="A60" t="str">
            <v>0105</v>
          </cell>
          <cell r="B60" t="str">
            <v>井原　進　　　　</v>
          </cell>
          <cell r="C60">
            <v>1396970</v>
          </cell>
          <cell r="D60">
            <v>1733350</v>
          </cell>
          <cell r="E60">
            <v>3130320</v>
          </cell>
          <cell r="F60">
            <v>6479924</v>
          </cell>
          <cell r="G60">
            <v>9610244</v>
          </cell>
          <cell r="H60">
            <v>1631470</v>
          </cell>
        </row>
        <row r="61">
          <cell r="A61" t="str">
            <v>0211</v>
          </cell>
          <cell r="B61" t="str">
            <v>辻　昭成　　　　</v>
          </cell>
          <cell r="C61">
            <v>1376760</v>
          </cell>
          <cell r="D61">
            <v>1731050</v>
          </cell>
          <cell r="E61">
            <v>3107810</v>
          </cell>
          <cell r="F61">
            <v>6402672</v>
          </cell>
          <cell r="G61">
            <v>9510482</v>
          </cell>
          <cell r="H61">
            <v>1574800</v>
          </cell>
        </row>
        <row r="62">
          <cell r="A62" t="str">
            <v>0263</v>
          </cell>
          <cell r="B62" t="str">
            <v>重富　常男　　　</v>
          </cell>
          <cell r="C62">
            <v>1417130</v>
          </cell>
          <cell r="D62">
            <v>1724470</v>
          </cell>
          <cell r="E62">
            <v>3141600</v>
          </cell>
          <cell r="F62">
            <v>6254131</v>
          </cell>
          <cell r="G62">
            <v>9395731</v>
          </cell>
          <cell r="H62">
            <v>1439540</v>
          </cell>
        </row>
        <row r="63">
          <cell r="A63" t="str">
            <v>0404</v>
          </cell>
          <cell r="B63" t="str">
            <v>佐藤　精一　　　</v>
          </cell>
          <cell r="C63">
            <v>1509050</v>
          </cell>
          <cell r="D63">
            <v>1723440</v>
          </cell>
          <cell r="E63">
            <v>3232490</v>
          </cell>
          <cell r="F63">
            <v>6241016</v>
          </cell>
          <cell r="G63">
            <v>9473506</v>
          </cell>
          <cell r="H63">
            <v>1388660</v>
          </cell>
        </row>
        <row r="64">
          <cell r="A64" t="str">
            <v>0224</v>
          </cell>
          <cell r="B64" t="str">
            <v>杉本　保男　　　</v>
          </cell>
          <cell r="C64">
            <v>1191500</v>
          </cell>
          <cell r="D64">
            <v>1722600</v>
          </cell>
          <cell r="E64">
            <v>2914100</v>
          </cell>
          <cell r="F64">
            <v>6624205</v>
          </cell>
          <cell r="G64">
            <v>9538305</v>
          </cell>
          <cell r="H64">
            <v>1688410</v>
          </cell>
        </row>
        <row r="65">
          <cell r="A65" t="str">
            <v>0200</v>
          </cell>
          <cell r="B65" t="str">
            <v>山崎　邦和　　　</v>
          </cell>
          <cell r="C65">
            <v>1430750</v>
          </cell>
          <cell r="D65">
            <v>1716460</v>
          </cell>
          <cell r="E65">
            <v>3147210</v>
          </cell>
          <cell r="F65">
            <v>6541265</v>
          </cell>
          <cell r="G65">
            <v>9688475</v>
          </cell>
          <cell r="H65">
            <v>1693620</v>
          </cell>
        </row>
        <row r="66">
          <cell r="A66" t="str">
            <v>0710</v>
          </cell>
          <cell r="B66" t="str">
            <v>野本　宏　　　　</v>
          </cell>
          <cell r="C66">
            <v>1372240</v>
          </cell>
          <cell r="D66">
            <v>1713950</v>
          </cell>
          <cell r="E66">
            <v>3086190</v>
          </cell>
          <cell r="F66">
            <v>5744979</v>
          </cell>
          <cell r="G66">
            <v>8831169</v>
          </cell>
          <cell r="H66">
            <v>1360720</v>
          </cell>
        </row>
        <row r="67">
          <cell r="A67" t="str">
            <v>2341</v>
          </cell>
          <cell r="B67" t="str">
            <v>高柳　勝三　　　</v>
          </cell>
          <cell r="C67">
            <v>1429620</v>
          </cell>
          <cell r="D67">
            <v>1712530</v>
          </cell>
          <cell r="E67">
            <v>3142150</v>
          </cell>
          <cell r="F67">
            <v>6153896</v>
          </cell>
          <cell r="G67">
            <v>9296046</v>
          </cell>
          <cell r="H67">
            <v>1590790</v>
          </cell>
        </row>
        <row r="68">
          <cell r="A68" t="str">
            <v>0193</v>
          </cell>
          <cell r="B68" t="str">
            <v>安倍　誠　　　　</v>
          </cell>
          <cell r="C68">
            <v>1689620</v>
          </cell>
          <cell r="D68">
            <v>1708810</v>
          </cell>
          <cell r="E68">
            <v>3398430</v>
          </cell>
          <cell r="F68">
            <v>7366167</v>
          </cell>
          <cell r="G68">
            <v>10764597</v>
          </cell>
          <cell r="H68">
            <v>1886920</v>
          </cell>
        </row>
        <row r="69">
          <cell r="A69" t="str">
            <v>0134</v>
          </cell>
          <cell r="B69" t="str">
            <v>寺本　悦朗　　　</v>
          </cell>
          <cell r="C69">
            <v>1536960</v>
          </cell>
          <cell r="D69">
            <v>1704010</v>
          </cell>
          <cell r="E69">
            <v>3240970</v>
          </cell>
          <cell r="F69">
            <v>7367109</v>
          </cell>
          <cell r="G69">
            <v>10608079</v>
          </cell>
          <cell r="H69">
            <v>1614460</v>
          </cell>
        </row>
        <row r="70">
          <cell r="A70" t="str">
            <v>0221</v>
          </cell>
          <cell r="B70" t="str">
            <v>広瀬　武夫　　　</v>
          </cell>
          <cell r="C70">
            <v>1633410</v>
          </cell>
          <cell r="D70">
            <v>1698090</v>
          </cell>
          <cell r="E70">
            <v>3331500</v>
          </cell>
          <cell r="F70">
            <v>7309935</v>
          </cell>
          <cell r="G70">
            <v>10641435</v>
          </cell>
          <cell r="H70">
            <v>1268510</v>
          </cell>
        </row>
        <row r="71">
          <cell r="A71" t="str">
            <v>0237</v>
          </cell>
          <cell r="B71" t="str">
            <v>矢野　勲　　　　</v>
          </cell>
          <cell r="C71">
            <v>1781080</v>
          </cell>
          <cell r="D71">
            <v>1695510</v>
          </cell>
          <cell r="E71">
            <v>3476590</v>
          </cell>
          <cell r="F71">
            <v>6869716</v>
          </cell>
          <cell r="G71">
            <v>10346306</v>
          </cell>
          <cell r="H71">
            <v>1720300</v>
          </cell>
        </row>
        <row r="72">
          <cell r="A72" t="str">
            <v>0335</v>
          </cell>
          <cell r="B72" t="str">
            <v>井沢　明　　　　</v>
          </cell>
          <cell r="C72">
            <v>1422310</v>
          </cell>
          <cell r="D72">
            <v>1694370</v>
          </cell>
          <cell r="E72">
            <v>3116680</v>
          </cell>
          <cell r="F72">
            <v>6392011</v>
          </cell>
          <cell r="G72">
            <v>9508691</v>
          </cell>
          <cell r="H72">
            <v>1516440</v>
          </cell>
        </row>
        <row r="73">
          <cell r="A73" t="str">
            <v>0382</v>
          </cell>
          <cell r="B73" t="str">
            <v>前橋　信志　　　</v>
          </cell>
          <cell r="C73">
            <v>1460610</v>
          </cell>
          <cell r="D73">
            <v>1685640</v>
          </cell>
          <cell r="E73">
            <v>3146250</v>
          </cell>
          <cell r="F73">
            <v>6550392</v>
          </cell>
          <cell r="G73">
            <v>9696642</v>
          </cell>
          <cell r="H73">
            <v>1622450</v>
          </cell>
        </row>
        <row r="74">
          <cell r="A74" t="str">
            <v>0517</v>
          </cell>
          <cell r="B74" t="str">
            <v>南　佳治　　　　</v>
          </cell>
          <cell r="C74">
            <v>1452430</v>
          </cell>
          <cell r="D74">
            <v>1681430</v>
          </cell>
          <cell r="E74">
            <v>3133860</v>
          </cell>
          <cell r="F74">
            <v>6115740</v>
          </cell>
          <cell r="G74">
            <v>9249600</v>
          </cell>
          <cell r="H74">
            <v>1178970</v>
          </cell>
        </row>
        <row r="75">
          <cell r="A75" t="str">
            <v>0286</v>
          </cell>
          <cell r="B75" t="str">
            <v>長崎　昌平　　　</v>
          </cell>
          <cell r="C75">
            <v>1904330</v>
          </cell>
          <cell r="D75">
            <v>1679860</v>
          </cell>
          <cell r="E75">
            <v>3584190</v>
          </cell>
          <cell r="F75">
            <v>7202205</v>
          </cell>
          <cell r="G75">
            <v>10786395</v>
          </cell>
          <cell r="H75">
            <v>1843650</v>
          </cell>
        </row>
        <row r="76">
          <cell r="A76" t="str">
            <v>0247</v>
          </cell>
          <cell r="B76" t="str">
            <v>佐和　勉　　　　</v>
          </cell>
          <cell r="C76">
            <v>1407240</v>
          </cell>
          <cell r="D76">
            <v>1672670</v>
          </cell>
          <cell r="E76">
            <v>3079910</v>
          </cell>
          <cell r="F76">
            <v>6330257</v>
          </cell>
          <cell r="G76">
            <v>9410167</v>
          </cell>
          <cell r="H76">
            <v>1500900</v>
          </cell>
        </row>
        <row r="77">
          <cell r="A77" t="str">
            <v>0552</v>
          </cell>
          <cell r="B77" t="str">
            <v>山田　善二　　　</v>
          </cell>
          <cell r="C77">
            <v>1452370</v>
          </cell>
          <cell r="D77">
            <v>1670240</v>
          </cell>
          <cell r="E77">
            <v>3122610</v>
          </cell>
          <cell r="F77">
            <v>6360054</v>
          </cell>
          <cell r="G77">
            <v>9482664</v>
          </cell>
          <cell r="H77">
            <v>1494840</v>
          </cell>
        </row>
        <row r="78">
          <cell r="A78" t="str">
            <v>3401</v>
          </cell>
          <cell r="B78" t="str">
            <v>伊藤　善清　　　</v>
          </cell>
          <cell r="C78">
            <v>1363510</v>
          </cell>
          <cell r="D78">
            <v>1663210</v>
          </cell>
          <cell r="E78">
            <v>3026720</v>
          </cell>
          <cell r="F78">
            <v>6043454</v>
          </cell>
          <cell r="G78">
            <v>9070174</v>
          </cell>
          <cell r="H78">
            <v>1421400</v>
          </cell>
        </row>
        <row r="79">
          <cell r="A79" t="str">
            <v>0131</v>
          </cell>
          <cell r="B79" t="str">
            <v>沢本　武　　　　</v>
          </cell>
          <cell r="C79">
            <v>1513770</v>
          </cell>
          <cell r="D79">
            <v>1652600</v>
          </cell>
          <cell r="E79">
            <v>3166370</v>
          </cell>
          <cell r="F79">
            <v>6376384</v>
          </cell>
          <cell r="G79">
            <v>9542754</v>
          </cell>
          <cell r="H79">
            <v>1516820</v>
          </cell>
        </row>
        <row r="80">
          <cell r="A80" t="str">
            <v>0217</v>
          </cell>
          <cell r="B80" t="str">
            <v>灰野　努　　　　</v>
          </cell>
          <cell r="C80">
            <v>1383720</v>
          </cell>
          <cell r="D80">
            <v>1649800</v>
          </cell>
          <cell r="E80">
            <v>3033520</v>
          </cell>
          <cell r="F80">
            <v>6929609</v>
          </cell>
          <cell r="G80">
            <v>9963129</v>
          </cell>
          <cell r="H80">
            <v>1346370</v>
          </cell>
        </row>
        <row r="81">
          <cell r="A81" t="str">
            <v>0360</v>
          </cell>
          <cell r="B81" t="str">
            <v>浅野　健治　　　</v>
          </cell>
          <cell r="C81">
            <v>1460010</v>
          </cell>
          <cell r="D81">
            <v>1649230</v>
          </cell>
          <cell r="E81">
            <v>3109240</v>
          </cell>
          <cell r="F81">
            <v>6222352</v>
          </cell>
          <cell r="G81">
            <v>9331592</v>
          </cell>
          <cell r="H81">
            <v>1432760</v>
          </cell>
        </row>
        <row r="82">
          <cell r="A82" t="str">
            <v>0139</v>
          </cell>
          <cell r="B82" t="str">
            <v>浜田　哲男　　　</v>
          </cell>
          <cell r="C82">
            <v>1321110</v>
          </cell>
          <cell r="D82">
            <v>1636260</v>
          </cell>
          <cell r="E82">
            <v>2957370</v>
          </cell>
          <cell r="F82">
            <v>6206355</v>
          </cell>
          <cell r="G82">
            <v>9163725</v>
          </cell>
          <cell r="H82">
            <v>1628510</v>
          </cell>
        </row>
        <row r="83">
          <cell r="A83" t="str">
            <v>0279</v>
          </cell>
          <cell r="B83" t="str">
            <v>落合　嘉彦　　　</v>
          </cell>
          <cell r="C83">
            <v>1277330</v>
          </cell>
          <cell r="D83">
            <v>1633500</v>
          </cell>
          <cell r="E83">
            <v>2910830</v>
          </cell>
          <cell r="F83">
            <v>5978154</v>
          </cell>
          <cell r="G83">
            <v>8888984</v>
          </cell>
          <cell r="H83">
            <v>1461960</v>
          </cell>
        </row>
        <row r="84">
          <cell r="A84" t="str">
            <v>0510</v>
          </cell>
          <cell r="B84" t="str">
            <v>平　精一郎　　　</v>
          </cell>
          <cell r="C84">
            <v>1330490</v>
          </cell>
          <cell r="D84">
            <v>1633080</v>
          </cell>
          <cell r="E84">
            <v>2963570</v>
          </cell>
          <cell r="F84">
            <v>6262014</v>
          </cell>
          <cell r="G84">
            <v>9225584</v>
          </cell>
          <cell r="H84">
            <v>1375100</v>
          </cell>
        </row>
        <row r="85">
          <cell r="A85" t="str">
            <v>0562</v>
          </cell>
          <cell r="B85" t="str">
            <v>柴本　茂太郎　　</v>
          </cell>
          <cell r="C85">
            <v>1347620</v>
          </cell>
          <cell r="D85">
            <v>1628930</v>
          </cell>
          <cell r="E85">
            <v>2976550</v>
          </cell>
          <cell r="F85">
            <v>5481052</v>
          </cell>
          <cell r="G85">
            <v>8457602</v>
          </cell>
          <cell r="H85">
            <v>1181570</v>
          </cell>
        </row>
        <row r="86">
          <cell r="A86" t="str">
            <v>0103</v>
          </cell>
          <cell r="B86" t="str">
            <v>篠田　昌作　　　</v>
          </cell>
          <cell r="C86">
            <v>1474310</v>
          </cell>
          <cell r="D86">
            <v>1623370</v>
          </cell>
          <cell r="E86">
            <v>3097680</v>
          </cell>
          <cell r="F86">
            <v>6624410</v>
          </cell>
          <cell r="G86">
            <v>9722090</v>
          </cell>
          <cell r="H86">
            <v>1479610</v>
          </cell>
        </row>
        <row r="87">
          <cell r="A87" t="str">
            <v>0383</v>
          </cell>
          <cell r="B87" t="str">
            <v>江口　三代治　　</v>
          </cell>
          <cell r="C87">
            <v>1271270</v>
          </cell>
          <cell r="D87">
            <v>1613440</v>
          </cell>
          <cell r="E87">
            <v>2884710</v>
          </cell>
          <cell r="F87">
            <v>5820686</v>
          </cell>
          <cell r="G87">
            <v>8705396</v>
          </cell>
          <cell r="H87">
            <v>1494840</v>
          </cell>
        </row>
        <row r="88">
          <cell r="A88" t="str">
            <v>0447</v>
          </cell>
          <cell r="B88" t="str">
            <v>紀井　忠　　　　</v>
          </cell>
          <cell r="C88">
            <v>1420900</v>
          </cell>
          <cell r="D88">
            <v>1605990</v>
          </cell>
          <cell r="E88">
            <v>3026890</v>
          </cell>
          <cell r="F88">
            <v>6324621</v>
          </cell>
          <cell r="G88">
            <v>9351511</v>
          </cell>
          <cell r="H88">
            <v>1441060</v>
          </cell>
        </row>
        <row r="89">
          <cell r="A89" t="str">
            <v>0362</v>
          </cell>
          <cell r="B89" t="str">
            <v>伊藤　正観　　　</v>
          </cell>
          <cell r="C89">
            <v>1330970</v>
          </cell>
          <cell r="D89">
            <v>1604970</v>
          </cell>
          <cell r="E89">
            <v>2935940</v>
          </cell>
          <cell r="F89">
            <v>6606647</v>
          </cell>
          <cell r="G89">
            <v>9542587</v>
          </cell>
          <cell r="H89">
            <v>1200640</v>
          </cell>
        </row>
        <row r="90">
          <cell r="A90" t="str">
            <v>0512</v>
          </cell>
          <cell r="B90" t="str">
            <v>二宮　健寿　　　</v>
          </cell>
          <cell r="C90">
            <v>1467960</v>
          </cell>
          <cell r="D90">
            <v>1604330</v>
          </cell>
          <cell r="E90">
            <v>3072290</v>
          </cell>
          <cell r="F90">
            <v>5774870</v>
          </cell>
          <cell r="G90">
            <v>8847160</v>
          </cell>
          <cell r="H90">
            <v>1330730</v>
          </cell>
        </row>
        <row r="91">
          <cell r="A91" t="str">
            <v>0325</v>
          </cell>
          <cell r="B91" t="str">
            <v>徳永　昭一　　　</v>
          </cell>
          <cell r="C91">
            <v>1417150</v>
          </cell>
          <cell r="D91">
            <v>1599220</v>
          </cell>
          <cell r="E91">
            <v>3016370</v>
          </cell>
          <cell r="F91">
            <v>6545526</v>
          </cell>
          <cell r="G91">
            <v>9561896</v>
          </cell>
          <cell r="H91">
            <v>1438860</v>
          </cell>
        </row>
        <row r="92">
          <cell r="A92" t="str">
            <v>0222</v>
          </cell>
          <cell r="B92" t="str">
            <v>村上　博義　　　</v>
          </cell>
          <cell r="C92">
            <v>1441890</v>
          </cell>
          <cell r="D92">
            <v>1592320</v>
          </cell>
          <cell r="E92">
            <v>3034210</v>
          </cell>
          <cell r="F92">
            <v>6632820</v>
          </cell>
          <cell r="G92">
            <v>9667030</v>
          </cell>
          <cell r="H92">
            <v>1677670</v>
          </cell>
        </row>
        <row r="93">
          <cell r="A93" t="str">
            <v>1628</v>
          </cell>
          <cell r="B93" t="str">
            <v>伊沢　正男　　　</v>
          </cell>
          <cell r="C93">
            <v>1362880</v>
          </cell>
          <cell r="D93">
            <v>1588520</v>
          </cell>
          <cell r="E93">
            <v>2951400</v>
          </cell>
          <cell r="F93">
            <v>6358688</v>
          </cell>
          <cell r="G93">
            <v>9310088</v>
          </cell>
          <cell r="H93">
            <v>1357580</v>
          </cell>
        </row>
        <row r="94">
          <cell r="A94" t="str">
            <v>0502</v>
          </cell>
          <cell r="B94" t="str">
            <v>林田　真純　　　</v>
          </cell>
          <cell r="C94">
            <v>1458530</v>
          </cell>
          <cell r="D94">
            <v>1584300</v>
          </cell>
          <cell r="E94">
            <v>3042830</v>
          </cell>
          <cell r="F94">
            <v>6057088</v>
          </cell>
          <cell r="G94">
            <v>9099918</v>
          </cell>
          <cell r="H94">
            <v>1442810</v>
          </cell>
        </row>
        <row r="95">
          <cell r="A95" t="str">
            <v>0210</v>
          </cell>
          <cell r="B95" t="str">
            <v>塩崎　芳永　　　</v>
          </cell>
          <cell r="C95">
            <v>1285910</v>
          </cell>
          <cell r="D95">
            <v>1580460</v>
          </cell>
          <cell r="E95">
            <v>2866370</v>
          </cell>
          <cell r="F95">
            <v>6236274</v>
          </cell>
          <cell r="G95">
            <v>9102644</v>
          </cell>
          <cell r="H95">
            <v>1422000</v>
          </cell>
        </row>
        <row r="96">
          <cell r="A96" t="str">
            <v>0368</v>
          </cell>
          <cell r="B96" t="str">
            <v>佐々木　茂　　　</v>
          </cell>
          <cell r="C96">
            <v>1447210</v>
          </cell>
          <cell r="D96">
            <v>1580040</v>
          </cell>
          <cell r="E96">
            <v>3027250</v>
          </cell>
          <cell r="F96">
            <v>6146624</v>
          </cell>
          <cell r="G96">
            <v>9173874</v>
          </cell>
          <cell r="H96">
            <v>1397190</v>
          </cell>
        </row>
        <row r="97">
          <cell r="A97" t="str">
            <v>0199</v>
          </cell>
          <cell r="B97" t="str">
            <v>大谷　弘志　　　</v>
          </cell>
          <cell r="C97">
            <v>1291810</v>
          </cell>
          <cell r="D97">
            <v>1578990</v>
          </cell>
          <cell r="E97">
            <v>2870800</v>
          </cell>
          <cell r="F97">
            <v>6060899</v>
          </cell>
          <cell r="G97">
            <v>8931699</v>
          </cell>
          <cell r="H97">
            <v>1416830</v>
          </cell>
        </row>
        <row r="98">
          <cell r="A98" t="str">
            <v>0187</v>
          </cell>
          <cell r="B98" t="str">
            <v>岡田　健之助　　</v>
          </cell>
          <cell r="C98">
            <v>1324280</v>
          </cell>
          <cell r="D98">
            <v>1572240</v>
          </cell>
          <cell r="E98">
            <v>2896520</v>
          </cell>
          <cell r="F98">
            <v>6030821</v>
          </cell>
          <cell r="G98">
            <v>8927341</v>
          </cell>
          <cell r="H98">
            <v>1295590</v>
          </cell>
        </row>
        <row r="99">
          <cell r="A99" t="str">
            <v>2752</v>
          </cell>
          <cell r="B99" t="str">
            <v>斯波　恵四郎　　</v>
          </cell>
          <cell r="C99">
            <v>1540900</v>
          </cell>
          <cell r="D99">
            <v>1568170</v>
          </cell>
          <cell r="E99">
            <v>3109070</v>
          </cell>
          <cell r="F99">
            <v>6084050</v>
          </cell>
          <cell r="G99">
            <v>9193120</v>
          </cell>
          <cell r="H99">
            <v>1352160</v>
          </cell>
        </row>
        <row r="100">
          <cell r="A100" t="str">
            <v>0501</v>
          </cell>
          <cell r="B100" t="str">
            <v>久保　善孝　　　</v>
          </cell>
          <cell r="C100">
            <v>1360230</v>
          </cell>
          <cell r="D100">
            <v>1558330</v>
          </cell>
          <cell r="E100">
            <v>2918560</v>
          </cell>
          <cell r="F100">
            <v>5934769</v>
          </cell>
          <cell r="G100">
            <v>8853329</v>
          </cell>
          <cell r="H100">
            <v>1288910</v>
          </cell>
        </row>
        <row r="101">
          <cell r="A101" t="str">
            <v>0246</v>
          </cell>
          <cell r="B101" t="str">
            <v>窪川　孝一　　　</v>
          </cell>
          <cell r="C101">
            <v>1322890</v>
          </cell>
          <cell r="D101">
            <v>1556720</v>
          </cell>
          <cell r="E101">
            <v>2879610</v>
          </cell>
          <cell r="F101">
            <v>7007056</v>
          </cell>
          <cell r="G101">
            <v>9886666</v>
          </cell>
          <cell r="H101">
            <v>1486690</v>
          </cell>
        </row>
        <row r="102">
          <cell r="A102" t="str">
            <v>0616</v>
          </cell>
          <cell r="B102" t="str">
            <v>土本　政樹　　　</v>
          </cell>
          <cell r="C102">
            <v>1219920</v>
          </cell>
          <cell r="D102">
            <v>1549190</v>
          </cell>
          <cell r="E102">
            <v>2769110</v>
          </cell>
          <cell r="F102">
            <v>5451453</v>
          </cell>
          <cell r="G102">
            <v>8220563</v>
          </cell>
          <cell r="H102">
            <v>1383390</v>
          </cell>
        </row>
        <row r="103">
          <cell r="A103" t="str">
            <v>2576</v>
          </cell>
          <cell r="B103" t="str">
            <v>藤井　凉二　　　</v>
          </cell>
          <cell r="C103">
            <v>1389880</v>
          </cell>
          <cell r="D103">
            <v>1543790</v>
          </cell>
          <cell r="E103">
            <v>2933670</v>
          </cell>
          <cell r="F103">
            <v>5889050</v>
          </cell>
          <cell r="G103">
            <v>8822720</v>
          </cell>
          <cell r="H103">
            <v>1414700</v>
          </cell>
        </row>
        <row r="104">
          <cell r="A104" t="str">
            <v>0147</v>
          </cell>
          <cell r="B104" t="str">
            <v>高添　広一　　　</v>
          </cell>
          <cell r="C104">
            <v>1421120</v>
          </cell>
          <cell r="D104">
            <v>1542360</v>
          </cell>
          <cell r="E104">
            <v>2963480</v>
          </cell>
          <cell r="F104">
            <v>6182827</v>
          </cell>
          <cell r="G104">
            <v>9146307</v>
          </cell>
          <cell r="H104">
            <v>1392760</v>
          </cell>
        </row>
        <row r="105">
          <cell r="A105" t="str">
            <v>0328</v>
          </cell>
          <cell r="B105" t="str">
            <v>坂本　賢太郎　　</v>
          </cell>
          <cell r="C105">
            <v>1365820</v>
          </cell>
          <cell r="D105">
            <v>1539240</v>
          </cell>
          <cell r="E105">
            <v>2905060</v>
          </cell>
          <cell r="F105">
            <v>5888162</v>
          </cell>
          <cell r="G105">
            <v>8793222</v>
          </cell>
          <cell r="H105">
            <v>1381170</v>
          </cell>
        </row>
        <row r="106">
          <cell r="A106" t="str">
            <v>0270</v>
          </cell>
          <cell r="B106" t="str">
            <v>廣田　雅昭　　　</v>
          </cell>
          <cell r="C106">
            <v>1391950</v>
          </cell>
          <cell r="D106">
            <v>1529980</v>
          </cell>
          <cell r="E106">
            <v>2921930</v>
          </cell>
          <cell r="F106">
            <v>6197600</v>
          </cell>
          <cell r="G106">
            <v>9119530</v>
          </cell>
          <cell r="H106">
            <v>1403690</v>
          </cell>
        </row>
        <row r="107">
          <cell r="A107" t="str">
            <v>0372</v>
          </cell>
          <cell r="B107" t="str">
            <v>草野　恵一　　　</v>
          </cell>
          <cell r="C107">
            <v>1343530</v>
          </cell>
          <cell r="D107">
            <v>1529550</v>
          </cell>
          <cell r="E107">
            <v>2873080</v>
          </cell>
          <cell r="F107">
            <v>5614701</v>
          </cell>
          <cell r="G107">
            <v>8487781</v>
          </cell>
          <cell r="H107">
            <v>1288570</v>
          </cell>
        </row>
        <row r="108">
          <cell r="A108" t="str">
            <v>0283</v>
          </cell>
          <cell r="B108" t="str">
            <v>須藤　秀治　　　</v>
          </cell>
          <cell r="C108">
            <v>1484170</v>
          </cell>
          <cell r="D108">
            <v>1528450</v>
          </cell>
          <cell r="E108">
            <v>3012620</v>
          </cell>
          <cell r="F108">
            <v>6082222</v>
          </cell>
          <cell r="G108">
            <v>9094842</v>
          </cell>
          <cell r="H108">
            <v>1356160</v>
          </cell>
        </row>
        <row r="109">
          <cell r="A109" t="str">
            <v>0333</v>
          </cell>
          <cell r="B109" t="str">
            <v>勝部　芳三　　　</v>
          </cell>
          <cell r="C109">
            <v>1265460</v>
          </cell>
          <cell r="D109">
            <v>1528170</v>
          </cell>
          <cell r="E109">
            <v>2793630</v>
          </cell>
          <cell r="F109">
            <v>5294397</v>
          </cell>
          <cell r="G109">
            <v>8088027</v>
          </cell>
          <cell r="H109">
            <v>1387210</v>
          </cell>
        </row>
        <row r="110">
          <cell r="A110" t="str">
            <v>0554</v>
          </cell>
          <cell r="B110" t="str">
            <v>森下　一広　　　</v>
          </cell>
          <cell r="C110">
            <v>1345010</v>
          </cell>
          <cell r="D110">
            <v>1527190</v>
          </cell>
          <cell r="E110">
            <v>2872200</v>
          </cell>
          <cell r="F110">
            <v>5732117</v>
          </cell>
          <cell r="G110">
            <v>8604317</v>
          </cell>
          <cell r="H110">
            <v>1366820</v>
          </cell>
        </row>
        <row r="111">
          <cell r="A111" t="str">
            <v>0363</v>
          </cell>
          <cell r="B111" t="str">
            <v>南　志郎　　　　</v>
          </cell>
          <cell r="C111">
            <v>1315340</v>
          </cell>
          <cell r="D111">
            <v>1518250</v>
          </cell>
          <cell r="E111">
            <v>2833590</v>
          </cell>
          <cell r="F111">
            <v>6034212</v>
          </cell>
          <cell r="G111">
            <v>8867802</v>
          </cell>
          <cell r="H111">
            <v>1350060</v>
          </cell>
        </row>
        <row r="112">
          <cell r="A112" t="str">
            <v>0313</v>
          </cell>
          <cell r="B112" t="str">
            <v>田村　定　　　　</v>
          </cell>
          <cell r="C112">
            <v>1169810</v>
          </cell>
          <cell r="D112">
            <v>1514560</v>
          </cell>
          <cell r="E112">
            <v>2684370</v>
          </cell>
          <cell r="F112">
            <v>5563315</v>
          </cell>
          <cell r="G112">
            <v>8247685</v>
          </cell>
          <cell r="H112">
            <v>1375040</v>
          </cell>
        </row>
        <row r="113">
          <cell r="A113" t="str">
            <v>0732</v>
          </cell>
          <cell r="B113" t="str">
            <v>類家　知行　　　</v>
          </cell>
          <cell r="C113">
            <v>1329130</v>
          </cell>
          <cell r="D113">
            <v>1513650</v>
          </cell>
          <cell r="E113">
            <v>2842780</v>
          </cell>
          <cell r="F113">
            <v>5116357</v>
          </cell>
          <cell r="G113">
            <v>7959137</v>
          </cell>
          <cell r="H113">
            <v>1497580</v>
          </cell>
        </row>
        <row r="114">
          <cell r="A114" t="str">
            <v>0985</v>
          </cell>
          <cell r="B114" t="str">
            <v>含本　一雄　　　</v>
          </cell>
          <cell r="C114">
            <v>1317840</v>
          </cell>
          <cell r="D114">
            <v>1510900</v>
          </cell>
          <cell r="E114">
            <v>2828740</v>
          </cell>
          <cell r="F114">
            <v>5535476</v>
          </cell>
          <cell r="G114">
            <v>8364216</v>
          </cell>
          <cell r="H114">
            <v>1370260</v>
          </cell>
        </row>
        <row r="115">
          <cell r="A115" t="str">
            <v>0442</v>
          </cell>
          <cell r="B115" t="str">
            <v>宮原　広行　　　</v>
          </cell>
          <cell r="C115">
            <v>1267850</v>
          </cell>
          <cell r="D115">
            <v>1506550</v>
          </cell>
          <cell r="E115">
            <v>2774400</v>
          </cell>
          <cell r="F115">
            <v>5914371</v>
          </cell>
          <cell r="G115">
            <v>8688771</v>
          </cell>
          <cell r="H115">
            <v>1347510</v>
          </cell>
        </row>
        <row r="116">
          <cell r="A116" t="str">
            <v>0521</v>
          </cell>
          <cell r="B116" t="str">
            <v>山田　広幸　　　</v>
          </cell>
          <cell r="C116">
            <v>1237860</v>
          </cell>
          <cell r="D116">
            <v>1506550</v>
          </cell>
          <cell r="E116">
            <v>2744410</v>
          </cell>
          <cell r="F116">
            <v>5868600</v>
          </cell>
          <cell r="G116">
            <v>8613010</v>
          </cell>
          <cell r="H116">
            <v>1476640</v>
          </cell>
        </row>
        <row r="117">
          <cell r="A117" t="str">
            <v>2738</v>
          </cell>
          <cell r="B117" t="str">
            <v>佐伯　征慶　　　</v>
          </cell>
          <cell r="C117">
            <v>1311190</v>
          </cell>
          <cell r="D117">
            <v>1505710</v>
          </cell>
          <cell r="E117">
            <v>2816900</v>
          </cell>
          <cell r="F117">
            <v>6349132</v>
          </cell>
          <cell r="G117">
            <v>9166032</v>
          </cell>
          <cell r="H117">
            <v>1370370</v>
          </cell>
        </row>
        <row r="118">
          <cell r="A118" t="str">
            <v>0314</v>
          </cell>
          <cell r="B118" t="str">
            <v>河野　仁　　　　</v>
          </cell>
          <cell r="C118">
            <v>1262260</v>
          </cell>
          <cell r="D118">
            <v>1500060</v>
          </cell>
          <cell r="E118">
            <v>2762320</v>
          </cell>
          <cell r="F118">
            <v>5566576</v>
          </cell>
          <cell r="G118">
            <v>8328896</v>
          </cell>
          <cell r="H118">
            <v>1346000</v>
          </cell>
        </row>
        <row r="119">
          <cell r="A119" t="str">
            <v>0386</v>
          </cell>
          <cell r="B119" t="str">
            <v>中泉　博昭　　　</v>
          </cell>
          <cell r="C119">
            <v>1291280</v>
          </cell>
          <cell r="D119">
            <v>1489330</v>
          </cell>
          <cell r="E119">
            <v>2780610</v>
          </cell>
          <cell r="F119">
            <v>5278534</v>
          </cell>
          <cell r="G119">
            <v>8059144</v>
          </cell>
          <cell r="H119">
            <v>1280720</v>
          </cell>
        </row>
        <row r="120">
          <cell r="A120" t="str">
            <v>0232</v>
          </cell>
          <cell r="B120" t="str">
            <v>中尾　忠玄　　　</v>
          </cell>
          <cell r="C120">
            <v>1235610</v>
          </cell>
          <cell r="D120">
            <v>1487350</v>
          </cell>
          <cell r="E120">
            <v>2722960</v>
          </cell>
          <cell r="F120">
            <v>5794771</v>
          </cell>
          <cell r="G120">
            <v>8517731</v>
          </cell>
          <cell r="H120">
            <v>1381170</v>
          </cell>
        </row>
        <row r="121">
          <cell r="A121" t="str">
            <v>0699</v>
          </cell>
          <cell r="B121" t="str">
            <v>土橋　直樹　　　</v>
          </cell>
          <cell r="C121">
            <v>1301550</v>
          </cell>
          <cell r="D121">
            <v>1487060</v>
          </cell>
          <cell r="E121">
            <v>2788610</v>
          </cell>
          <cell r="F121">
            <v>5593739</v>
          </cell>
          <cell r="G121">
            <v>8382349</v>
          </cell>
          <cell r="H121">
            <v>1354910</v>
          </cell>
        </row>
        <row r="122">
          <cell r="A122" t="str">
            <v>0731</v>
          </cell>
          <cell r="B122" t="str">
            <v>萩原　庸介　　　</v>
          </cell>
          <cell r="C122">
            <v>1282820</v>
          </cell>
          <cell r="D122">
            <v>1486440</v>
          </cell>
          <cell r="E122">
            <v>2769260</v>
          </cell>
          <cell r="F122">
            <v>5438942</v>
          </cell>
          <cell r="G122">
            <v>8208202</v>
          </cell>
          <cell r="H122">
            <v>1213050</v>
          </cell>
        </row>
        <row r="123">
          <cell r="A123" t="str">
            <v>0124</v>
          </cell>
          <cell r="B123" t="str">
            <v>上垣内　勲　　　</v>
          </cell>
          <cell r="C123">
            <v>1467040</v>
          </cell>
          <cell r="D123">
            <v>1482370</v>
          </cell>
          <cell r="E123">
            <v>2949410</v>
          </cell>
          <cell r="F123">
            <v>6387325</v>
          </cell>
          <cell r="G123">
            <v>9336735</v>
          </cell>
          <cell r="H123">
            <v>1333840</v>
          </cell>
        </row>
        <row r="124">
          <cell r="A124" t="str">
            <v>0245</v>
          </cell>
          <cell r="B124" t="str">
            <v>小谷　弘宣　　　</v>
          </cell>
          <cell r="C124">
            <v>1184240</v>
          </cell>
          <cell r="D124">
            <v>1478470</v>
          </cell>
          <cell r="E124">
            <v>2662710</v>
          </cell>
          <cell r="F124">
            <v>5744330</v>
          </cell>
          <cell r="G124">
            <v>8407040</v>
          </cell>
          <cell r="H124">
            <v>1484930</v>
          </cell>
        </row>
        <row r="125">
          <cell r="A125" t="str">
            <v>0345</v>
          </cell>
          <cell r="B125" t="str">
            <v>竹内　茂　　　　</v>
          </cell>
          <cell r="C125">
            <v>1299710</v>
          </cell>
          <cell r="D125">
            <v>1476400</v>
          </cell>
          <cell r="E125">
            <v>2776110</v>
          </cell>
          <cell r="F125">
            <v>6013850</v>
          </cell>
          <cell r="G125">
            <v>8789960</v>
          </cell>
          <cell r="H125">
            <v>1009260</v>
          </cell>
        </row>
        <row r="126">
          <cell r="A126" t="str">
            <v>0388</v>
          </cell>
          <cell r="B126" t="str">
            <v>日比野　豊博　　</v>
          </cell>
          <cell r="C126">
            <v>1301130</v>
          </cell>
          <cell r="D126">
            <v>1473820</v>
          </cell>
          <cell r="E126">
            <v>2774950</v>
          </cell>
          <cell r="F126">
            <v>6505398</v>
          </cell>
          <cell r="G126">
            <v>9280348</v>
          </cell>
          <cell r="H126">
            <v>1322470</v>
          </cell>
        </row>
        <row r="127">
          <cell r="A127" t="str">
            <v>0151</v>
          </cell>
          <cell r="B127" t="str">
            <v>倉島　広衛　　　</v>
          </cell>
          <cell r="C127">
            <v>1286180</v>
          </cell>
          <cell r="D127">
            <v>1473000</v>
          </cell>
          <cell r="E127">
            <v>2759180</v>
          </cell>
          <cell r="F127">
            <v>5702303</v>
          </cell>
          <cell r="G127">
            <v>8461483</v>
          </cell>
          <cell r="H127">
            <v>1304120</v>
          </cell>
        </row>
        <row r="128">
          <cell r="A128" t="str">
            <v>0172</v>
          </cell>
          <cell r="B128" t="str">
            <v>広井　力　　　　</v>
          </cell>
          <cell r="C128">
            <v>1298790</v>
          </cell>
          <cell r="D128">
            <v>1471630</v>
          </cell>
          <cell r="E128">
            <v>2770420</v>
          </cell>
          <cell r="F128">
            <v>5159450</v>
          </cell>
          <cell r="G128">
            <v>7929870</v>
          </cell>
          <cell r="H128">
            <v>1222640</v>
          </cell>
        </row>
        <row r="129">
          <cell r="A129" t="str">
            <v>1635</v>
          </cell>
          <cell r="B129" t="str">
            <v>立石　洋一　　　</v>
          </cell>
          <cell r="C129">
            <v>1268110</v>
          </cell>
          <cell r="D129">
            <v>1468270</v>
          </cell>
          <cell r="E129">
            <v>2736380</v>
          </cell>
          <cell r="F129">
            <v>5702738</v>
          </cell>
          <cell r="G129">
            <v>8439118</v>
          </cell>
          <cell r="H129">
            <v>1294580</v>
          </cell>
        </row>
        <row r="130">
          <cell r="A130" t="str">
            <v>0387</v>
          </cell>
          <cell r="B130" t="str">
            <v>村田　健蔵　　　</v>
          </cell>
          <cell r="C130">
            <v>1301020</v>
          </cell>
          <cell r="D130">
            <v>1462650</v>
          </cell>
          <cell r="E130">
            <v>2763670</v>
          </cell>
          <cell r="F130">
            <v>6743118</v>
          </cell>
          <cell r="G130">
            <v>9506788</v>
          </cell>
          <cell r="H130">
            <v>1335330</v>
          </cell>
        </row>
        <row r="131">
          <cell r="A131" t="str">
            <v>0384</v>
          </cell>
          <cell r="B131" t="str">
            <v>平野　正雄　　　</v>
          </cell>
          <cell r="C131">
            <v>1344970</v>
          </cell>
          <cell r="D131">
            <v>1462460</v>
          </cell>
          <cell r="E131">
            <v>2807430</v>
          </cell>
          <cell r="F131">
            <v>5839500</v>
          </cell>
          <cell r="G131">
            <v>8646930</v>
          </cell>
          <cell r="H131">
            <v>1331470</v>
          </cell>
        </row>
        <row r="132">
          <cell r="A132" t="str">
            <v>0194</v>
          </cell>
          <cell r="B132" t="str">
            <v>安藤　幸重　　　</v>
          </cell>
          <cell r="C132">
            <v>1278200</v>
          </cell>
          <cell r="D132">
            <v>1457890</v>
          </cell>
          <cell r="E132">
            <v>2736090</v>
          </cell>
          <cell r="F132">
            <v>5674019</v>
          </cell>
          <cell r="G132">
            <v>8410109</v>
          </cell>
          <cell r="H132">
            <v>1330730</v>
          </cell>
        </row>
        <row r="133">
          <cell r="A133" t="str">
            <v>0348</v>
          </cell>
          <cell r="B133" t="str">
            <v>鈴東　勝弌　　　</v>
          </cell>
          <cell r="C133">
            <v>1430730</v>
          </cell>
          <cell r="D133">
            <v>1455600</v>
          </cell>
          <cell r="E133">
            <v>2886330</v>
          </cell>
          <cell r="F133">
            <v>6118970</v>
          </cell>
          <cell r="G133">
            <v>9005300</v>
          </cell>
          <cell r="H133">
            <v>1436890</v>
          </cell>
        </row>
        <row r="134">
          <cell r="A134" t="str">
            <v>0628</v>
          </cell>
          <cell r="B134" t="str">
            <v>染谷　豊　　　　</v>
          </cell>
          <cell r="C134">
            <v>1206860</v>
          </cell>
          <cell r="D134">
            <v>1449290</v>
          </cell>
          <cell r="E134">
            <v>2656150</v>
          </cell>
          <cell r="F134">
            <v>5613442</v>
          </cell>
          <cell r="G134">
            <v>8269592</v>
          </cell>
          <cell r="H134">
            <v>1300450</v>
          </cell>
        </row>
        <row r="135">
          <cell r="A135" t="str">
            <v>0149</v>
          </cell>
          <cell r="B135" t="str">
            <v>保坂　光徳　　　</v>
          </cell>
          <cell r="C135">
            <v>1283040</v>
          </cell>
          <cell r="D135">
            <v>1448950</v>
          </cell>
          <cell r="E135">
            <v>2731990</v>
          </cell>
          <cell r="F135">
            <v>5490813</v>
          </cell>
          <cell r="G135">
            <v>8222803</v>
          </cell>
          <cell r="H135">
            <v>1303890</v>
          </cell>
        </row>
        <row r="136">
          <cell r="A136" t="str">
            <v>0315</v>
          </cell>
          <cell r="B136" t="str">
            <v>三谷　貞夫　　　</v>
          </cell>
          <cell r="C136">
            <v>1325960</v>
          </cell>
          <cell r="D136">
            <v>1442950</v>
          </cell>
          <cell r="E136">
            <v>2768910</v>
          </cell>
          <cell r="F136">
            <v>5923186</v>
          </cell>
          <cell r="G136">
            <v>8692096</v>
          </cell>
          <cell r="H136">
            <v>1317600</v>
          </cell>
        </row>
        <row r="137">
          <cell r="A137" t="str">
            <v>1933</v>
          </cell>
          <cell r="B137" t="str">
            <v>生駒　元博　　　</v>
          </cell>
          <cell r="C137">
            <v>1170610</v>
          </cell>
          <cell r="D137">
            <v>1440600</v>
          </cell>
          <cell r="E137">
            <v>2611210</v>
          </cell>
          <cell r="F137">
            <v>5471948</v>
          </cell>
          <cell r="G137">
            <v>8083158</v>
          </cell>
          <cell r="H137">
            <v>1289320</v>
          </cell>
        </row>
        <row r="138">
          <cell r="A138" t="str">
            <v>0844</v>
          </cell>
          <cell r="B138" t="str">
            <v>井上　明好　　　</v>
          </cell>
          <cell r="C138">
            <v>1365210</v>
          </cell>
          <cell r="D138">
            <v>1438640</v>
          </cell>
          <cell r="E138">
            <v>2803850</v>
          </cell>
          <cell r="F138">
            <v>5783984</v>
          </cell>
          <cell r="G138">
            <v>8587834</v>
          </cell>
          <cell r="H138">
            <v>1290900</v>
          </cell>
        </row>
        <row r="139">
          <cell r="A139" t="str">
            <v>0556</v>
          </cell>
          <cell r="B139" t="str">
            <v>津村　泰秀　　　</v>
          </cell>
          <cell r="C139">
            <v>1267260</v>
          </cell>
          <cell r="D139">
            <v>1436300</v>
          </cell>
          <cell r="E139">
            <v>2703560</v>
          </cell>
          <cell r="F139">
            <v>5619804</v>
          </cell>
          <cell r="G139">
            <v>8323364</v>
          </cell>
          <cell r="H139">
            <v>1288770</v>
          </cell>
        </row>
        <row r="140">
          <cell r="A140" t="str">
            <v>0457</v>
          </cell>
          <cell r="B140" t="str">
            <v>島田　清功　　　</v>
          </cell>
          <cell r="C140">
            <v>1193330</v>
          </cell>
          <cell r="D140">
            <v>1433210</v>
          </cell>
          <cell r="E140">
            <v>2626540</v>
          </cell>
          <cell r="F140">
            <v>5106189</v>
          </cell>
          <cell r="G140">
            <v>7732729</v>
          </cell>
          <cell r="H140">
            <v>1251900</v>
          </cell>
        </row>
        <row r="141">
          <cell r="A141" t="str">
            <v>0839</v>
          </cell>
          <cell r="B141" t="str">
            <v>坂口　孝文　　　</v>
          </cell>
          <cell r="C141">
            <v>1232600</v>
          </cell>
          <cell r="D141">
            <v>1428500</v>
          </cell>
          <cell r="E141">
            <v>2661100</v>
          </cell>
          <cell r="F141">
            <v>1584440</v>
          </cell>
          <cell r="G141">
            <v>4245540</v>
          </cell>
          <cell r="H141">
            <v>1278490</v>
          </cell>
        </row>
        <row r="142">
          <cell r="A142" t="str">
            <v>0715</v>
          </cell>
          <cell r="B142" t="str">
            <v>西田　隆吉　　　</v>
          </cell>
          <cell r="C142">
            <v>1271780</v>
          </cell>
          <cell r="D142">
            <v>1426760</v>
          </cell>
          <cell r="E142">
            <v>2698540</v>
          </cell>
          <cell r="F142">
            <v>5639278</v>
          </cell>
          <cell r="G142">
            <v>8337818</v>
          </cell>
          <cell r="H142">
            <v>1170860</v>
          </cell>
        </row>
        <row r="143">
          <cell r="A143" t="str">
            <v>0733</v>
          </cell>
          <cell r="B143" t="str">
            <v>阿部　武實　　　</v>
          </cell>
          <cell r="C143">
            <v>1304090</v>
          </cell>
          <cell r="D143">
            <v>1422210</v>
          </cell>
          <cell r="E143">
            <v>2726300</v>
          </cell>
          <cell r="F143">
            <v>5555566</v>
          </cell>
          <cell r="G143">
            <v>8281866</v>
          </cell>
          <cell r="H143">
            <v>1357980</v>
          </cell>
        </row>
        <row r="144">
          <cell r="A144" t="str">
            <v>0851</v>
          </cell>
          <cell r="B144" t="str">
            <v>早川　昇　　　　</v>
          </cell>
          <cell r="C144">
            <v>1236320</v>
          </cell>
          <cell r="D144">
            <v>1418040</v>
          </cell>
          <cell r="E144">
            <v>2654360</v>
          </cell>
          <cell r="F144">
            <v>5261177</v>
          </cell>
          <cell r="G144">
            <v>7915537</v>
          </cell>
          <cell r="H144">
            <v>1289320</v>
          </cell>
        </row>
        <row r="145">
          <cell r="A145" t="str">
            <v>0701</v>
          </cell>
          <cell r="B145" t="str">
            <v>米久　正行　　　</v>
          </cell>
          <cell r="C145">
            <v>1212620</v>
          </cell>
          <cell r="D145">
            <v>1416830</v>
          </cell>
          <cell r="E145">
            <v>2629450</v>
          </cell>
          <cell r="F145">
            <v>5488909</v>
          </cell>
          <cell r="G145">
            <v>8118359</v>
          </cell>
          <cell r="H145">
            <v>1271340</v>
          </cell>
        </row>
        <row r="146">
          <cell r="A146" t="str">
            <v>0361</v>
          </cell>
          <cell r="B146" t="str">
            <v>渡辺　真祥　　　</v>
          </cell>
          <cell r="C146">
            <v>1256290</v>
          </cell>
          <cell r="D146">
            <v>1415940</v>
          </cell>
          <cell r="E146">
            <v>2672230</v>
          </cell>
          <cell r="F146">
            <v>5904221</v>
          </cell>
          <cell r="G146">
            <v>8576451</v>
          </cell>
          <cell r="H146">
            <v>1273960</v>
          </cell>
        </row>
        <row r="147">
          <cell r="A147" t="str">
            <v>0201</v>
          </cell>
          <cell r="B147" t="str">
            <v>高橋　重光　　　</v>
          </cell>
          <cell r="C147">
            <v>1112330</v>
          </cell>
          <cell r="D147">
            <v>1414760</v>
          </cell>
          <cell r="E147">
            <v>2527090</v>
          </cell>
          <cell r="F147">
            <v>6268130</v>
          </cell>
          <cell r="G147">
            <v>8795220</v>
          </cell>
          <cell r="H147">
            <v>1419670</v>
          </cell>
        </row>
        <row r="148">
          <cell r="A148" t="str">
            <v>0838</v>
          </cell>
          <cell r="B148" t="str">
            <v>久保田　敬三　　</v>
          </cell>
          <cell r="C148">
            <v>1175830</v>
          </cell>
          <cell r="D148">
            <v>1413440</v>
          </cell>
          <cell r="E148">
            <v>2589270</v>
          </cell>
          <cell r="F148">
            <v>4764558</v>
          </cell>
          <cell r="G148">
            <v>7353828</v>
          </cell>
          <cell r="H148">
            <v>1189870</v>
          </cell>
        </row>
        <row r="149">
          <cell r="A149" t="str">
            <v>0248</v>
          </cell>
          <cell r="B149" t="str">
            <v>高井　征政　　　</v>
          </cell>
          <cell r="C149">
            <v>1233780</v>
          </cell>
          <cell r="D149">
            <v>1413390</v>
          </cell>
          <cell r="E149">
            <v>2647170</v>
          </cell>
          <cell r="F149">
            <v>5693296</v>
          </cell>
          <cell r="G149">
            <v>8340466</v>
          </cell>
          <cell r="H149">
            <v>1249430</v>
          </cell>
        </row>
        <row r="150">
          <cell r="A150" t="str">
            <v>1629</v>
          </cell>
          <cell r="B150" t="str">
            <v>渡辺　信夫　　　</v>
          </cell>
          <cell r="C150">
            <v>1074150</v>
          </cell>
          <cell r="D150">
            <v>1409990</v>
          </cell>
          <cell r="E150">
            <v>2484140</v>
          </cell>
          <cell r="F150">
            <v>5614950</v>
          </cell>
          <cell r="G150">
            <v>8099090</v>
          </cell>
          <cell r="H150">
            <v>1268620</v>
          </cell>
        </row>
        <row r="151">
          <cell r="A151" t="str">
            <v>1429</v>
          </cell>
          <cell r="B151" t="str">
            <v>奥田　正　　　　</v>
          </cell>
          <cell r="C151">
            <v>1094230</v>
          </cell>
          <cell r="D151">
            <v>1404140</v>
          </cell>
          <cell r="E151">
            <v>2498370</v>
          </cell>
          <cell r="F151">
            <v>4925819</v>
          </cell>
          <cell r="G151">
            <v>7424189</v>
          </cell>
          <cell r="H151">
            <v>1274930</v>
          </cell>
        </row>
        <row r="152">
          <cell r="A152" t="str">
            <v>0154</v>
          </cell>
          <cell r="B152" t="str">
            <v>文字　正義　　　</v>
          </cell>
          <cell r="C152">
            <v>1371940</v>
          </cell>
          <cell r="D152">
            <v>1400770</v>
          </cell>
          <cell r="E152">
            <v>2772710</v>
          </cell>
          <cell r="F152">
            <v>5873060</v>
          </cell>
          <cell r="G152">
            <v>8645770</v>
          </cell>
          <cell r="H152">
            <v>1284740</v>
          </cell>
        </row>
        <row r="153">
          <cell r="A153" t="str">
            <v>0970</v>
          </cell>
          <cell r="B153" t="str">
            <v>大谷　雅英　　　</v>
          </cell>
          <cell r="C153">
            <v>1217810</v>
          </cell>
          <cell r="D153">
            <v>1397630</v>
          </cell>
          <cell r="E153">
            <v>2615440</v>
          </cell>
          <cell r="F153">
            <v>5299402</v>
          </cell>
          <cell r="G153">
            <v>7914842</v>
          </cell>
          <cell r="H153">
            <v>1194450</v>
          </cell>
        </row>
        <row r="154">
          <cell r="A154" t="str">
            <v>0629</v>
          </cell>
          <cell r="B154" t="str">
            <v>小林　和男　　　</v>
          </cell>
          <cell r="C154">
            <v>1206760</v>
          </cell>
          <cell r="D154">
            <v>1397100</v>
          </cell>
          <cell r="E154">
            <v>2603860</v>
          </cell>
          <cell r="F154">
            <v>4996955</v>
          </cell>
          <cell r="G154">
            <v>7600815</v>
          </cell>
          <cell r="H154">
            <v>1312860</v>
          </cell>
        </row>
        <row r="155">
          <cell r="A155" t="str">
            <v>0724</v>
          </cell>
          <cell r="B155" t="str">
            <v>宮川　秀樹　　　</v>
          </cell>
          <cell r="C155">
            <v>1213090</v>
          </cell>
          <cell r="D155">
            <v>1396280</v>
          </cell>
          <cell r="E155">
            <v>2609370</v>
          </cell>
          <cell r="F155">
            <v>5261414</v>
          </cell>
          <cell r="G155">
            <v>7870784</v>
          </cell>
          <cell r="H155">
            <v>1312080</v>
          </cell>
        </row>
        <row r="156">
          <cell r="A156" t="str">
            <v>0274</v>
          </cell>
          <cell r="B156" t="str">
            <v>楠瀬　雅裕　　　</v>
          </cell>
          <cell r="C156">
            <v>1314180</v>
          </cell>
          <cell r="D156">
            <v>1395380</v>
          </cell>
          <cell r="E156">
            <v>2709560</v>
          </cell>
          <cell r="F156">
            <v>5664328</v>
          </cell>
          <cell r="G156">
            <v>8373888</v>
          </cell>
          <cell r="H156">
            <v>1216700</v>
          </cell>
        </row>
        <row r="157">
          <cell r="A157" t="str">
            <v>1071</v>
          </cell>
          <cell r="B157" t="str">
            <v>山内　秀樹　　　</v>
          </cell>
          <cell r="C157">
            <v>1233920</v>
          </cell>
          <cell r="D157">
            <v>1394680</v>
          </cell>
          <cell r="E157">
            <v>2628600</v>
          </cell>
          <cell r="F157">
            <v>5572722</v>
          </cell>
          <cell r="G157">
            <v>8201322</v>
          </cell>
          <cell r="H157">
            <v>1274180</v>
          </cell>
        </row>
        <row r="158">
          <cell r="A158" t="str">
            <v>0711</v>
          </cell>
          <cell r="B158" t="str">
            <v>上村　春樹　　　</v>
          </cell>
          <cell r="C158">
            <v>1174360</v>
          </cell>
          <cell r="D158">
            <v>1391990</v>
          </cell>
          <cell r="E158">
            <v>2566350</v>
          </cell>
          <cell r="F158">
            <v>5149356</v>
          </cell>
          <cell r="G158">
            <v>7715706</v>
          </cell>
          <cell r="H158">
            <v>1208240</v>
          </cell>
        </row>
        <row r="159">
          <cell r="A159" t="str">
            <v>0522</v>
          </cell>
          <cell r="B159" t="str">
            <v>国金　達　　　　</v>
          </cell>
          <cell r="C159">
            <v>1302460</v>
          </cell>
          <cell r="D159">
            <v>1389910</v>
          </cell>
          <cell r="E159">
            <v>2692370</v>
          </cell>
          <cell r="F159">
            <v>5669406</v>
          </cell>
          <cell r="G159">
            <v>8361776</v>
          </cell>
          <cell r="H159">
            <v>1250560</v>
          </cell>
        </row>
        <row r="160">
          <cell r="A160" t="str">
            <v>2917</v>
          </cell>
          <cell r="B160" t="str">
            <v>上田　一奉　　　</v>
          </cell>
          <cell r="C160">
            <v>1285750</v>
          </cell>
          <cell r="D160">
            <v>1385970</v>
          </cell>
          <cell r="E160">
            <v>2671720</v>
          </cell>
          <cell r="F160">
            <v>5865010</v>
          </cell>
          <cell r="G160">
            <v>8536730</v>
          </cell>
          <cell r="H160">
            <v>1251500</v>
          </cell>
        </row>
        <row r="161">
          <cell r="A161" t="str">
            <v>0389</v>
          </cell>
          <cell r="B161" t="str">
            <v>兼光　健司　　　</v>
          </cell>
          <cell r="C161">
            <v>1222750</v>
          </cell>
          <cell r="D161">
            <v>1385040</v>
          </cell>
          <cell r="E161">
            <v>2607790</v>
          </cell>
          <cell r="F161">
            <v>5585801</v>
          </cell>
          <cell r="G161">
            <v>8193591</v>
          </cell>
          <cell r="H161">
            <v>1264580</v>
          </cell>
        </row>
        <row r="162">
          <cell r="A162" t="str">
            <v>0549</v>
          </cell>
          <cell r="B162" t="str">
            <v>佐藤　敏夫　　　</v>
          </cell>
          <cell r="C162">
            <v>1131960</v>
          </cell>
          <cell r="D162">
            <v>1383570</v>
          </cell>
          <cell r="E162">
            <v>2515530</v>
          </cell>
          <cell r="F162">
            <v>6273369</v>
          </cell>
          <cell r="G162">
            <v>8788899</v>
          </cell>
          <cell r="H162">
            <v>1226370</v>
          </cell>
        </row>
        <row r="163">
          <cell r="A163" t="str">
            <v>0557</v>
          </cell>
          <cell r="B163" t="str">
            <v>中村　貞實　　　</v>
          </cell>
          <cell r="C163">
            <v>1148000</v>
          </cell>
          <cell r="D163">
            <v>1382340</v>
          </cell>
          <cell r="E163">
            <v>2530340</v>
          </cell>
          <cell r="F163">
            <v>5518120</v>
          </cell>
          <cell r="G163">
            <v>8048460</v>
          </cell>
          <cell r="H163">
            <v>1302460</v>
          </cell>
        </row>
        <row r="164">
          <cell r="A164" t="str">
            <v>0207</v>
          </cell>
          <cell r="B164" t="str">
            <v>戸田　勝美　　　</v>
          </cell>
          <cell r="C164">
            <v>1572980</v>
          </cell>
          <cell r="D164">
            <v>1378030</v>
          </cell>
          <cell r="E164">
            <v>2951010</v>
          </cell>
          <cell r="F164">
            <v>6248460</v>
          </cell>
          <cell r="G164">
            <v>9199470</v>
          </cell>
          <cell r="H164">
            <v>1570140</v>
          </cell>
        </row>
        <row r="165">
          <cell r="A165" t="str">
            <v>0334</v>
          </cell>
          <cell r="B165" t="str">
            <v>宇高　正　　　　</v>
          </cell>
          <cell r="C165">
            <v>1274270</v>
          </cell>
          <cell r="D165">
            <v>1377670</v>
          </cell>
          <cell r="E165">
            <v>2651940</v>
          </cell>
          <cell r="F165">
            <v>5499048</v>
          </cell>
          <cell r="G165">
            <v>8150988</v>
          </cell>
          <cell r="H165">
            <v>1180440</v>
          </cell>
        </row>
        <row r="166">
          <cell r="A166" t="str">
            <v>0558</v>
          </cell>
          <cell r="B166" t="str">
            <v>福田　和寿　　　</v>
          </cell>
          <cell r="C166">
            <v>1202850</v>
          </cell>
          <cell r="D166">
            <v>1377330</v>
          </cell>
          <cell r="E166">
            <v>2580180</v>
          </cell>
          <cell r="F166">
            <v>5494283</v>
          </cell>
          <cell r="G166">
            <v>8074463</v>
          </cell>
          <cell r="H166">
            <v>1318180</v>
          </cell>
        </row>
        <row r="167">
          <cell r="A167" t="str">
            <v>1088</v>
          </cell>
          <cell r="B167" t="str">
            <v>村田　恭平　　　</v>
          </cell>
          <cell r="C167">
            <v>1199360</v>
          </cell>
          <cell r="D167">
            <v>1377170</v>
          </cell>
          <cell r="E167">
            <v>2576530</v>
          </cell>
          <cell r="F167">
            <v>5172558</v>
          </cell>
          <cell r="G167">
            <v>7749088</v>
          </cell>
          <cell r="H167">
            <v>1196240</v>
          </cell>
        </row>
        <row r="168">
          <cell r="A168" t="str">
            <v>2038</v>
          </cell>
          <cell r="B168" t="str">
            <v>竹内　克美　　　</v>
          </cell>
          <cell r="C168">
            <v>1063330</v>
          </cell>
          <cell r="D168">
            <v>1377170</v>
          </cell>
          <cell r="E168">
            <v>2440500</v>
          </cell>
          <cell r="F168">
            <v>5183008</v>
          </cell>
          <cell r="G168">
            <v>7623508</v>
          </cell>
          <cell r="H168">
            <v>1176950</v>
          </cell>
        </row>
        <row r="169">
          <cell r="A169" t="str">
            <v>0989</v>
          </cell>
          <cell r="B169" t="str">
            <v>矢田　英樹　　　</v>
          </cell>
          <cell r="C169">
            <v>1205520</v>
          </cell>
          <cell r="D169">
            <v>1377170</v>
          </cell>
          <cell r="E169">
            <v>2582690</v>
          </cell>
          <cell r="F169">
            <v>5149941</v>
          </cell>
          <cell r="G169">
            <v>7732631</v>
          </cell>
          <cell r="H169">
            <v>1196240</v>
          </cell>
        </row>
        <row r="170">
          <cell r="A170" t="str">
            <v>0700</v>
          </cell>
          <cell r="B170" t="str">
            <v>赤阪　幹夫　　　</v>
          </cell>
          <cell r="C170">
            <v>1207210</v>
          </cell>
          <cell r="D170">
            <v>1376530</v>
          </cell>
          <cell r="E170">
            <v>2583740</v>
          </cell>
          <cell r="F170">
            <v>5432928</v>
          </cell>
          <cell r="G170">
            <v>8016668</v>
          </cell>
          <cell r="H170">
            <v>1179460</v>
          </cell>
        </row>
        <row r="171">
          <cell r="A171" t="str">
            <v>0505</v>
          </cell>
          <cell r="B171" t="str">
            <v>勝間田　寛　　　</v>
          </cell>
          <cell r="C171">
            <v>1200380</v>
          </cell>
          <cell r="D171">
            <v>1372920</v>
          </cell>
          <cell r="E171">
            <v>2573300</v>
          </cell>
          <cell r="F171">
            <v>5558773</v>
          </cell>
          <cell r="G171">
            <v>8132073</v>
          </cell>
          <cell r="H171">
            <v>1235280</v>
          </cell>
        </row>
        <row r="172">
          <cell r="A172" t="str">
            <v>0403</v>
          </cell>
          <cell r="B172" t="str">
            <v>余田　源太郎　　</v>
          </cell>
          <cell r="C172">
            <v>1336370</v>
          </cell>
          <cell r="D172">
            <v>1372440</v>
          </cell>
          <cell r="E172">
            <v>2708810</v>
          </cell>
          <cell r="F172">
            <v>5858954</v>
          </cell>
          <cell r="G172">
            <v>8567764</v>
          </cell>
          <cell r="H172">
            <v>1313090</v>
          </cell>
        </row>
        <row r="173">
          <cell r="A173" t="str">
            <v>1851</v>
          </cell>
          <cell r="B173" t="str">
            <v>鹿沼　富士雄　　</v>
          </cell>
          <cell r="C173">
            <v>1057990</v>
          </cell>
          <cell r="D173">
            <v>1368520</v>
          </cell>
          <cell r="E173">
            <v>2426510</v>
          </cell>
          <cell r="F173">
            <v>5101239</v>
          </cell>
          <cell r="G173">
            <v>7527749</v>
          </cell>
          <cell r="H173">
            <v>1191810</v>
          </cell>
        </row>
        <row r="174">
          <cell r="A174" t="str">
            <v>0441</v>
          </cell>
          <cell r="B174" t="str">
            <v>吉岡　久生　　　</v>
          </cell>
          <cell r="C174">
            <v>1166830</v>
          </cell>
          <cell r="D174">
            <v>1368380</v>
          </cell>
          <cell r="E174">
            <v>2535210</v>
          </cell>
          <cell r="F174">
            <v>5262079</v>
          </cell>
          <cell r="G174">
            <v>7797289</v>
          </cell>
          <cell r="H174">
            <v>1172490</v>
          </cell>
        </row>
        <row r="175">
          <cell r="A175" t="str">
            <v>0574</v>
          </cell>
          <cell r="B175" t="str">
            <v>武藤　隆　　　　</v>
          </cell>
          <cell r="C175">
            <v>1092060</v>
          </cell>
          <cell r="D175">
            <v>1364720</v>
          </cell>
          <cell r="E175">
            <v>2456780</v>
          </cell>
          <cell r="F175">
            <v>5192681</v>
          </cell>
          <cell r="G175">
            <v>7649461</v>
          </cell>
          <cell r="H175">
            <v>1274010</v>
          </cell>
        </row>
        <row r="176">
          <cell r="A176" t="str">
            <v>0174</v>
          </cell>
          <cell r="B176" t="str">
            <v>菅原　啓　　　　</v>
          </cell>
          <cell r="C176">
            <v>1089030</v>
          </cell>
          <cell r="D176">
            <v>1362880</v>
          </cell>
          <cell r="E176">
            <v>2451910</v>
          </cell>
          <cell r="F176">
            <v>5123270</v>
          </cell>
          <cell r="G176">
            <v>7575180</v>
          </cell>
          <cell r="H176">
            <v>1235570</v>
          </cell>
        </row>
        <row r="177">
          <cell r="A177" t="str">
            <v>2585</v>
          </cell>
          <cell r="B177" t="str">
            <v>中川　克人　　　</v>
          </cell>
          <cell r="C177">
            <v>1199220</v>
          </cell>
          <cell r="D177">
            <v>1357890</v>
          </cell>
          <cell r="E177">
            <v>2557110</v>
          </cell>
          <cell r="F177">
            <v>5429586</v>
          </cell>
          <cell r="G177">
            <v>7986696</v>
          </cell>
          <cell r="H177">
            <v>1200340</v>
          </cell>
        </row>
        <row r="178">
          <cell r="A178" t="str">
            <v>0180</v>
          </cell>
          <cell r="B178" t="str">
            <v>森川　真久　　　</v>
          </cell>
          <cell r="C178">
            <v>1610320</v>
          </cell>
          <cell r="D178">
            <v>1350490</v>
          </cell>
          <cell r="E178">
            <v>2960810</v>
          </cell>
          <cell r="F178">
            <v>6276519</v>
          </cell>
          <cell r="G178">
            <v>9237329</v>
          </cell>
          <cell r="H178">
            <v>1235640</v>
          </cell>
        </row>
        <row r="179">
          <cell r="A179" t="str">
            <v>0630</v>
          </cell>
          <cell r="B179" t="str">
            <v>小畑　昇一　　　</v>
          </cell>
          <cell r="C179">
            <v>1073840</v>
          </cell>
          <cell r="D179">
            <v>1349720</v>
          </cell>
          <cell r="E179">
            <v>2423560</v>
          </cell>
          <cell r="F179">
            <v>4942858</v>
          </cell>
          <cell r="G179">
            <v>7366418</v>
          </cell>
          <cell r="H179">
            <v>1190780</v>
          </cell>
        </row>
        <row r="180">
          <cell r="A180" t="str">
            <v>0445</v>
          </cell>
          <cell r="B180" t="str">
            <v>大中　嘉昭　　　</v>
          </cell>
          <cell r="C180">
            <v>1291120</v>
          </cell>
          <cell r="D180">
            <v>1345250</v>
          </cell>
          <cell r="E180">
            <v>2636370</v>
          </cell>
          <cell r="F180">
            <v>6039625</v>
          </cell>
          <cell r="G180">
            <v>8675995</v>
          </cell>
          <cell r="H180">
            <v>1164190</v>
          </cell>
        </row>
        <row r="181">
          <cell r="A181" t="str">
            <v>0408</v>
          </cell>
          <cell r="B181" t="str">
            <v>鈴木　信男　　　</v>
          </cell>
          <cell r="C181">
            <v>1096180</v>
          </cell>
          <cell r="D181">
            <v>1345210</v>
          </cell>
          <cell r="E181">
            <v>2441390</v>
          </cell>
          <cell r="F181">
            <v>5311813</v>
          </cell>
          <cell r="G181">
            <v>7753203</v>
          </cell>
          <cell r="H181">
            <v>1170430</v>
          </cell>
        </row>
        <row r="182">
          <cell r="A182" t="str">
            <v>0515</v>
          </cell>
          <cell r="B182" t="str">
            <v>鍋石　典夫　　　</v>
          </cell>
          <cell r="C182">
            <v>1087490</v>
          </cell>
          <cell r="D182">
            <v>1344190</v>
          </cell>
          <cell r="E182">
            <v>2431680</v>
          </cell>
          <cell r="F182">
            <v>5305639</v>
          </cell>
          <cell r="G182">
            <v>7737319</v>
          </cell>
          <cell r="H182">
            <v>1230300</v>
          </cell>
        </row>
        <row r="183">
          <cell r="A183" t="str">
            <v>1070</v>
          </cell>
          <cell r="B183" t="str">
            <v>中村　弘　　　　</v>
          </cell>
          <cell r="C183">
            <v>1048100</v>
          </cell>
          <cell r="D183">
            <v>1343710</v>
          </cell>
          <cell r="E183">
            <v>2391810</v>
          </cell>
          <cell r="F183">
            <v>5295299</v>
          </cell>
          <cell r="G183">
            <v>7687109</v>
          </cell>
          <cell r="H183">
            <v>1101480</v>
          </cell>
        </row>
        <row r="184">
          <cell r="A184" t="str">
            <v>0529</v>
          </cell>
          <cell r="B184" t="str">
            <v>善家　邦夫　　　</v>
          </cell>
          <cell r="C184">
            <v>1077910</v>
          </cell>
          <cell r="D184">
            <v>1337510</v>
          </cell>
          <cell r="E184">
            <v>2415420</v>
          </cell>
          <cell r="F184">
            <v>4696241</v>
          </cell>
          <cell r="G184">
            <v>7111661</v>
          </cell>
          <cell r="H184">
            <v>1104160</v>
          </cell>
        </row>
        <row r="185">
          <cell r="A185" t="str">
            <v>0452</v>
          </cell>
          <cell r="B185" t="str">
            <v>山本　辰夫　　　</v>
          </cell>
          <cell r="C185">
            <v>1148150</v>
          </cell>
          <cell r="D185">
            <v>1337510</v>
          </cell>
          <cell r="E185">
            <v>2485660</v>
          </cell>
          <cell r="F185">
            <v>5262199</v>
          </cell>
          <cell r="G185">
            <v>7747859</v>
          </cell>
          <cell r="H185">
            <v>1177020</v>
          </cell>
        </row>
        <row r="186">
          <cell r="A186" t="str">
            <v>0347</v>
          </cell>
          <cell r="B186" t="str">
            <v>角　悟　　　　　</v>
          </cell>
          <cell r="C186">
            <v>1140820</v>
          </cell>
          <cell r="D186">
            <v>1329540</v>
          </cell>
          <cell r="E186">
            <v>2470360</v>
          </cell>
          <cell r="F186">
            <v>5085594</v>
          </cell>
          <cell r="G186">
            <v>7555954</v>
          </cell>
          <cell r="H186">
            <v>1279760</v>
          </cell>
        </row>
        <row r="187">
          <cell r="A187" t="str">
            <v>0451</v>
          </cell>
          <cell r="B187" t="str">
            <v>森重　俊美　　　</v>
          </cell>
          <cell r="C187">
            <v>1085020</v>
          </cell>
          <cell r="D187">
            <v>1324630</v>
          </cell>
          <cell r="E187">
            <v>2409650</v>
          </cell>
          <cell r="F187">
            <v>5330596</v>
          </cell>
          <cell r="G187">
            <v>7740246</v>
          </cell>
          <cell r="H187">
            <v>1188580</v>
          </cell>
        </row>
        <row r="188">
          <cell r="A188" t="str">
            <v>0208</v>
          </cell>
          <cell r="B188" t="str">
            <v>中本　賢治郎　　</v>
          </cell>
          <cell r="C188">
            <v>1241610</v>
          </cell>
          <cell r="D188">
            <v>1324240</v>
          </cell>
          <cell r="E188">
            <v>2565850</v>
          </cell>
          <cell r="F188">
            <v>5550625</v>
          </cell>
          <cell r="G188">
            <v>8116475</v>
          </cell>
          <cell r="H188">
            <v>1261950</v>
          </cell>
        </row>
        <row r="189">
          <cell r="A189" t="str">
            <v>1926</v>
          </cell>
          <cell r="B189" t="str">
            <v>高山　勝彦　　　</v>
          </cell>
          <cell r="C189">
            <v>1147170</v>
          </cell>
          <cell r="D189">
            <v>1320240</v>
          </cell>
          <cell r="E189">
            <v>2467410</v>
          </cell>
          <cell r="F189">
            <v>6044662</v>
          </cell>
          <cell r="G189">
            <v>8512072</v>
          </cell>
          <cell r="H189">
            <v>1167070</v>
          </cell>
        </row>
        <row r="190">
          <cell r="A190" t="str">
            <v>0722</v>
          </cell>
          <cell r="B190" t="str">
            <v>長沢　成夫　　　</v>
          </cell>
          <cell r="C190">
            <v>1050090</v>
          </cell>
          <cell r="D190">
            <v>1318130</v>
          </cell>
          <cell r="E190">
            <v>2368220</v>
          </cell>
          <cell r="F190">
            <v>5143477</v>
          </cell>
          <cell r="G190">
            <v>7511697</v>
          </cell>
          <cell r="H190">
            <v>1182770</v>
          </cell>
        </row>
        <row r="191">
          <cell r="A191" t="str">
            <v>0506</v>
          </cell>
          <cell r="B191" t="str">
            <v>岡村　廣　　　　</v>
          </cell>
          <cell r="C191">
            <v>1107860</v>
          </cell>
          <cell r="D191">
            <v>1315300</v>
          </cell>
          <cell r="E191">
            <v>2423160</v>
          </cell>
          <cell r="F191">
            <v>5658792</v>
          </cell>
          <cell r="G191">
            <v>8081952</v>
          </cell>
          <cell r="H191">
            <v>996190</v>
          </cell>
        </row>
        <row r="192">
          <cell r="A192" t="str">
            <v>0721</v>
          </cell>
          <cell r="B192" t="str">
            <v>印出　幸裕　　　</v>
          </cell>
          <cell r="C192">
            <v>1065730</v>
          </cell>
          <cell r="D192">
            <v>1314110</v>
          </cell>
          <cell r="E192">
            <v>2379840</v>
          </cell>
          <cell r="F192">
            <v>5100024</v>
          </cell>
          <cell r="G192">
            <v>7479864</v>
          </cell>
          <cell r="H192">
            <v>1071040</v>
          </cell>
        </row>
        <row r="193">
          <cell r="A193" t="str">
            <v>0158</v>
          </cell>
          <cell r="B193" t="str">
            <v>小林　深　　　　</v>
          </cell>
          <cell r="C193">
            <v>1012130</v>
          </cell>
          <cell r="D193">
            <v>1313930</v>
          </cell>
          <cell r="E193">
            <v>2326060</v>
          </cell>
          <cell r="F193">
            <v>4803640</v>
          </cell>
          <cell r="G193">
            <v>7129700</v>
          </cell>
          <cell r="H193">
            <v>1247100</v>
          </cell>
        </row>
        <row r="194">
          <cell r="A194" t="str">
            <v>0725</v>
          </cell>
          <cell r="B194" t="str">
            <v>青竹　泉　　　　</v>
          </cell>
          <cell r="C194">
            <v>1159160</v>
          </cell>
          <cell r="D194">
            <v>1312780</v>
          </cell>
          <cell r="E194">
            <v>2471940</v>
          </cell>
          <cell r="F194">
            <v>5525389</v>
          </cell>
          <cell r="G194">
            <v>7997329</v>
          </cell>
          <cell r="H194">
            <v>1044800</v>
          </cell>
        </row>
        <row r="195">
          <cell r="A195" t="str">
            <v>0980</v>
          </cell>
          <cell r="B195" t="str">
            <v>田中　嘉憲　　　</v>
          </cell>
          <cell r="C195">
            <v>1087920</v>
          </cell>
          <cell r="D195">
            <v>1312780</v>
          </cell>
          <cell r="E195">
            <v>2400700</v>
          </cell>
          <cell r="F195">
            <v>5149138</v>
          </cell>
          <cell r="G195">
            <v>7549838</v>
          </cell>
          <cell r="H195">
            <v>1124840</v>
          </cell>
        </row>
        <row r="196">
          <cell r="A196" t="str">
            <v>2009</v>
          </cell>
          <cell r="B196" t="str">
            <v>小笠原　豊彦　　</v>
          </cell>
          <cell r="C196">
            <v>1180880</v>
          </cell>
          <cell r="D196">
            <v>1310420</v>
          </cell>
          <cell r="E196">
            <v>2491300</v>
          </cell>
          <cell r="F196">
            <v>5049088</v>
          </cell>
          <cell r="G196">
            <v>7540388</v>
          </cell>
          <cell r="H196">
            <v>1200870</v>
          </cell>
        </row>
        <row r="197">
          <cell r="A197" t="str">
            <v>0560</v>
          </cell>
          <cell r="B197" t="str">
            <v>田中　壮一　　　</v>
          </cell>
          <cell r="C197">
            <v>1134000</v>
          </cell>
          <cell r="D197">
            <v>1309680</v>
          </cell>
          <cell r="E197">
            <v>2443680</v>
          </cell>
          <cell r="F197">
            <v>5105726</v>
          </cell>
          <cell r="G197">
            <v>7549406</v>
          </cell>
          <cell r="H197">
            <v>1197050</v>
          </cell>
        </row>
        <row r="198">
          <cell r="A198" t="str">
            <v>1701</v>
          </cell>
          <cell r="B198" t="str">
            <v>下久保　正人　　</v>
          </cell>
          <cell r="C198">
            <v>1092020</v>
          </cell>
          <cell r="D198">
            <v>1307530</v>
          </cell>
          <cell r="E198">
            <v>2399550</v>
          </cell>
          <cell r="F198">
            <v>4769257</v>
          </cell>
          <cell r="G198">
            <v>7168807</v>
          </cell>
          <cell r="H198">
            <v>1125620</v>
          </cell>
        </row>
        <row r="199">
          <cell r="A199" t="str">
            <v>1138</v>
          </cell>
          <cell r="B199" t="str">
            <v>杉原　操　　　　</v>
          </cell>
          <cell r="C199">
            <v>1192150</v>
          </cell>
          <cell r="D199">
            <v>1306280</v>
          </cell>
          <cell r="E199">
            <v>2498430</v>
          </cell>
          <cell r="F199">
            <v>5225743</v>
          </cell>
          <cell r="G199">
            <v>7724173</v>
          </cell>
          <cell r="H199">
            <v>1227510</v>
          </cell>
        </row>
        <row r="200">
          <cell r="A200" t="str">
            <v>0697</v>
          </cell>
          <cell r="B200" t="str">
            <v>坪川　正宏　　　</v>
          </cell>
          <cell r="C200">
            <v>1139500</v>
          </cell>
          <cell r="D200">
            <v>1304410</v>
          </cell>
          <cell r="E200">
            <v>2443910</v>
          </cell>
          <cell r="F200">
            <v>5145885</v>
          </cell>
          <cell r="G200">
            <v>7589795</v>
          </cell>
          <cell r="H200">
            <v>1150840</v>
          </cell>
        </row>
        <row r="201">
          <cell r="A201" t="str">
            <v>0398</v>
          </cell>
          <cell r="B201" t="str">
            <v>笹尾　正幸　　　</v>
          </cell>
          <cell r="C201">
            <v>1169210</v>
          </cell>
          <cell r="D201">
            <v>1304000</v>
          </cell>
          <cell r="E201">
            <v>2473210</v>
          </cell>
          <cell r="F201">
            <v>5057326</v>
          </cell>
          <cell r="G201">
            <v>7530536</v>
          </cell>
          <cell r="H201">
            <v>1211620</v>
          </cell>
        </row>
        <row r="202">
          <cell r="A202" t="str">
            <v>0419</v>
          </cell>
          <cell r="B202" t="str">
            <v>仁科　武志　　　</v>
          </cell>
          <cell r="C202">
            <v>1181250</v>
          </cell>
          <cell r="D202">
            <v>1302200</v>
          </cell>
          <cell r="E202">
            <v>2483450</v>
          </cell>
          <cell r="F202">
            <v>4958540</v>
          </cell>
          <cell r="G202">
            <v>7441990</v>
          </cell>
          <cell r="H202">
            <v>1210420</v>
          </cell>
        </row>
        <row r="203">
          <cell r="A203" t="str">
            <v>0148</v>
          </cell>
          <cell r="B203" t="str">
            <v>新見　政功　　　</v>
          </cell>
          <cell r="C203">
            <v>1189670</v>
          </cell>
          <cell r="D203">
            <v>1297940</v>
          </cell>
          <cell r="E203">
            <v>2487610</v>
          </cell>
          <cell r="F203">
            <v>5369112</v>
          </cell>
          <cell r="G203">
            <v>7856722</v>
          </cell>
          <cell r="H203">
            <v>1187470</v>
          </cell>
        </row>
        <row r="204">
          <cell r="A204" t="str">
            <v>0448</v>
          </cell>
          <cell r="B204" t="str">
            <v>鈴木　正人　　　</v>
          </cell>
          <cell r="C204">
            <v>1120270</v>
          </cell>
          <cell r="D204">
            <v>1296160</v>
          </cell>
          <cell r="E204">
            <v>2416430</v>
          </cell>
          <cell r="F204">
            <v>4757042</v>
          </cell>
          <cell r="G204">
            <v>7173472</v>
          </cell>
          <cell r="H204">
            <v>1116160</v>
          </cell>
        </row>
        <row r="205">
          <cell r="A205" t="str">
            <v>0956</v>
          </cell>
          <cell r="B205" t="str">
            <v>新妻　敬二郎　　</v>
          </cell>
          <cell r="C205">
            <v>1082410</v>
          </cell>
          <cell r="D205">
            <v>1294650</v>
          </cell>
          <cell r="E205">
            <v>2377060</v>
          </cell>
          <cell r="F205">
            <v>5023341</v>
          </cell>
          <cell r="G205">
            <v>7400401</v>
          </cell>
          <cell r="H205">
            <v>1197050</v>
          </cell>
        </row>
        <row r="206">
          <cell r="A206" t="str">
            <v>0166</v>
          </cell>
          <cell r="B206" t="str">
            <v>鎌田　善男　　　</v>
          </cell>
          <cell r="C206">
            <v>1157400</v>
          </cell>
          <cell r="D206">
            <v>1294440</v>
          </cell>
          <cell r="E206">
            <v>2451840</v>
          </cell>
          <cell r="F206">
            <v>4863539</v>
          </cell>
          <cell r="G206">
            <v>7315379</v>
          </cell>
          <cell r="H206">
            <v>1128150</v>
          </cell>
        </row>
        <row r="207">
          <cell r="A207" t="str">
            <v>0553</v>
          </cell>
          <cell r="B207" t="str">
            <v>甲斐　俊昭　　　</v>
          </cell>
          <cell r="C207">
            <v>1141980</v>
          </cell>
          <cell r="D207">
            <v>1293020</v>
          </cell>
          <cell r="E207">
            <v>2435000</v>
          </cell>
          <cell r="F207">
            <v>4529570</v>
          </cell>
          <cell r="G207">
            <v>6964570</v>
          </cell>
          <cell r="H207">
            <v>1237100</v>
          </cell>
        </row>
        <row r="208">
          <cell r="A208" t="str">
            <v>0137</v>
          </cell>
          <cell r="B208" t="str">
            <v>北川　広蔵　　　</v>
          </cell>
          <cell r="C208">
            <v>1198780</v>
          </cell>
          <cell r="D208">
            <v>1293000</v>
          </cell>
          <cell r="E208">
            <v>2491780</v>
          </cell>
          <cell r="F208">
            <v>5753599</v>
          </cell>
          <cell r="G208">
            <v>8245379</v>
          </cell>
          <cell r="H208">
            <v>1259760</v>
          </cell>
        </row>
        <row r="209">
          <cell r="A209" t="str">
            <v>0471</v>
          </cell>
          <cell r="B209" t="str">
            <v>阿部　利孝　　　</v>
          </cell>
          <cell r="C209">
            <v>1246550</v>
          </cell>
          <cell r="D209">
            <v>1290890</v>
          </cell>
          <cell r="E209">
            <v>2537440</v>
          </cell>
          <cell r="F209">
            <v>6080411</v>
          </cell>
          <cell r="G209">
            <v>8617851</v>
          </cell>
          <cell r="H209">
            <v>923400</v>
          </cell>
        </row>
        <row r="210">
          <cell r="A210" t="str">
            <v>1165</v>
          </cell>
          <cell r="B210" t="str">
            <v>名木橋　孝　　　</v>
          </cell>
          <cell r="C210">
            <v>1027910</v>
          </cell>
          <cell r="D210">
            <v>1289230</v>
          </cell>
          <cell r="E210">
            <v>2317140</v>
          </cell>
          <cell r="F210">
            <v>4943893</v>
          </cell>
          <cell r="G210">
            <v>7261033</v>
          </cell>
          <cell r="H210">
            <v>1153830</v>
          </cell>
        </row>
        <row r="211">
          <cell r="A211" t="str">
            <v>0834</v>
          </cell>
          <cell r="B211" t="str">
            <v>大谷　潤弥　　　</v>
          </cell>
          <cell r="C211">
            <v>1072380</v>
          </cell>
          <cell r="D211">
            <v>1288520</v>
          </cell>
          <cell r="E211">
            <v>2360900</v>
          </cell>
          <cell r="F211">
            <v>4899272</v>
          </cell>
          <cell r="G211">
            <v>7260172</v>
          </cell>
          <cell r="H211">
            <v>1178070</v>
          </cell>
        </row>
        <row r="212">
          <cell r="A212" t="str">
            <v>0284</v>
          </cell>
          <cell r="B212" t="str">
            <v>森田　光雄　　　</v>
          </cell>
          <cell r="C212">
            <v>1158040</v>
          </cell>
          <cell r="D212">
            <v>1284310</v>
          </cell>
          <cell r="E212">
            <v>2442350</v>
          </cell>
          <cell r="F212">
            <v>5464537</v>
          </cell>
          <cell r="G212">
            <v>7906887</v>
          </cell>
          <cell r="H212">
            <v>1178290</v>
          </cell>
        </row>
        <row r="213">
          <cell r="A213" t="str">
            <v>0726</v>
          </cell>
          <cell r="B213" t="str">
            <v>管野　淳一　　　</v>
          </cell>
          <cell r="C213">
            <v>1100380</v>
          </cell>
          <cell r="D213">
            <v>1284050</v>
          </cell>
          <cell r="E213">
            <v>2384430</v>
          </cell>
          <cell r="F213">
            <v>5215649</v>
          </cell>
          <cell r="G213">
            <v>7600079</v>
          </cell>
          <cell r="H213">
            <v>1171130</v>
          </cell>
        </row>
        <row r="214">
          <cell r="A214" t="str">
            <v>1854</v>
          </cell>
          <cell r="B214" t="str">
            <v>福原　裕明　　　</v>
          </cell>
          <cell r="C214">
            <v>1086220</v>
          </cell>
          <cell r="D214">
            <v>1281340</v>
          </cell>
          <cell r="E214">
            <v>2367560</v>
          </cell>
          <cell r="F214">
            <v>5121524</v>
          </cell>
          <cell r="G214">
            <v>7489084</v>
          </cell>
          <cell r="H214">
            <v>1127580</v>
          </cell>
        </row>
        <row r="215">
          <cell r="A215" t="str">
            <v>1080</v>
          </cell>
          <cell r="B215" t="str">
            <v>大木　茂則　　　</v>
          </cell>
          <cell r="C215">
            <v>1144950</v>
          </cell>
          <cell r="D215">
            <v>1281010</v>
          </cell>
          <cell r="E215">
            <v>2425960</v>
          </cell>
          <cell r="F215">
            <v>5225595</v>
          </cell>
          <cell r="G215">
            <v>7651555</v>
          </cell>
          <cell r="H215">
            <v>1173900</v>
          </cell>
        </row>
        <row r="216">
          <cell r="A216" t="str">
            <v>0747</v>
          </cell>
          <cell r="B216" t="str">
            <v>丹波　隆　　　　</v>
          </cell>
          <cell r="C216">
            <v>1086540</v>
          </cell>
          <cell r="D216">
            <v>1277320</v>
          </cell>
          <cell r="E216">
            <v>2363860</v>
          </cell>
          <cell r="F216">
            <v>5258856</v>
          </cell>
          <cell r="G216">
            <v>7622716</v>
          </cell>
          <cell r="H216">
            <v>1150020</v>
          </cell>
        </row>
        <row r="217">
          <cell r="A217" t="str">
            <v>1145</v>
          </cell>
          <cell r="B217" t="str">
            <v>大橋　昌弘　　　</v>
          </cell>
          <cell r="C217">
            <v>1053510</v>
          </cell>
          <cell r="D217">
            <v>1276190</v>
          </cell>
          <cell r="E217">
            <v>2329700</v>
          </cell>
          <cell r="F217">
            <v>4223154</v>
          </cell>
          <cell r="G217">
            <v>6552854</v>
          </cell>
          <cell r="H217">
            <v>1186260</v>
          </cell>
        </row>
        <row r="218">
          <cell r="A218" t="str">
            <v>0645</v>
          </cell>
          <cell r="B218" t="str">
            <v>野村　道雄　　　</v>
          </cell>
          <cell r="C218">
            <v>1137010</v>
          </cell>
          <cell r="D218">
            <v>1272800</v>
          </cell>
          <cell r="E218">
            <v>2409810</v>
          </cell>
          <cell r="F218">
            <v>6064068</v>
          </cell>
          <cell r="G218">
            <v>8473878</v>
          </cell>
          <cell r="H218">
            <v>1183470</v>
          </cell>
        </row>
        <row r="219">
          <cell r="A219" t="str">
            <v>0982</v>
          </cell>
          <cell r="B219" t="str">
            <v>鳴神　晋　　　　</v>
          </cell>
          <cell r="C219">
            <v>986680</v>
          </cell>
          <cell r="D219">
            <v>1271560</v>
          </cell>
          <cell r="E219">
            <v>2258240</v>
          </cell>
          <cell r="F219">
            <v>4816723</v>
          </cell>
          <cell r="G219">
            <v>7074963</v>
          </cell>
          <cell r="H219">
            <v>1187020</v>
          </cell>
        </row>
        <row r="220">
          <cell r="A220" t="str">
            <v>0714</v>
          </cell>
          <cell r="B220" t="str">
            <v>岡　博志　　　　</v>
          </cell>
          <cell r="C220">
            <v>1089450</v>
          </cell>
          <cell r="D220">
            <v>1271070</v>
          </cell>
          <cell r="E220">
            <v>2360520</v>
          </cell>
          <cell r="F220">
            <v>5094908</v>
          </cell>
          <cell r="G220">
            <v>7455428</v>
          </cell>
          <cell r="H220">
            <v>1182120</v>
          </cell>
        </row>
        <row r="221">
          <cell r="A221" t="str">
            <v>0406</v>
          </cell>
          <cell r="B221" t="str">
            <v>前川　英樹　　　</v>
          </cell>
          <cell r="C221">
            <v>1208190</v>
          </cell>
          <cell r="D221">
            <v>1268630</v>
          </cell>
          <cell r="E221">
            <v>2476820</v>
          </cell>
          <cell r="F221">
            <v>5556032</v>
          </cell>
          <cell r="G221">
            <v>8032852</v>
          </cell>
          <cell r="H221">
            <v>1271080</v>
          </cell>
        </row>
        <row r="222">
          <cell r="A222" t="str">
            <v>0396</v>
          </cell>
          <cell r="B222" t="str">
            <v>山根　政臣　　　</v>
          </cell>
          <cell r="C222">
            <v>1109610</v>
          </cell>
          <cell r="D222">
            <v>1267030</v>
          </cell>
          <cell r="E222">
            <v>2376640</v>
          </cell>
          <cell r="F222">
            <v>5328971</v>
          </cell>
          <cell r="G222">
            <v>7705611</v>
          </cell>
          <cell r="H222">
            <v>1062010</v>
          </cell>
        </row>
        <row r="223">
          <cell r="A223" t="str">
            <v>0405</v>
          </cell>
          <cell r="B223" t="str">
            <v>高橋　英雄　　　</v>
          </cell>
          <cell r="C223">
            <v>1092060</v>
          </cell>
          <cell r="D223">
            <v>1266300</v>
          </cell>
          <cell r="E223">
            <v>2358360</v>
          </cell>
          <cell r="F223">
            <v>5911985</v>
          </cell>
          <cell r="G223">
            <v>8270345</v>
          </cell>
          <cell r="H223">
            <v>1143020</v>
          </cell>
        </row>
        <row r="224">
          <cell r="A224" t="str">
            <v>1180</v>
          </cell>
          <cell r="B224" t="str">
            <v>村上　直紀　　　</v>
          </cell>
          <cell r="C224">
            <v>1064430</v>
          </cell>
          <cell r="D224">
            <v>1266240</v>
          </cell>
          <cell r="E224">
            <v>2330670</v>
          </cell>
          <cell r="F224">
            <v>4983978</v>
          </cell>
          <cell r="G224">
            <v>7314648</v>
          </cell>
          <cell r="H224">
            <v>1155480</v>
          </cell>
        </row>
        <row r="225">
          <cell r="A225" t="str">
            <v>1183</v>
          </cell>
          <cell r="B225" t="str">
            <v>吉岡　正晃　　　</v>
          </cell>
          <cell r="C225">
            <v>1044500</v>
          </cell>
          <cell r="D225">
            <v>1265610</v>
          </cell>
          <cell r="E225">
            <v>2310110</v>
          </cell>
          <cell r="F225">
            <v>4192549</v>
          </cell>
          <cell r="G225">
            <v>6502659</v>
          </cell>
          <cell r="H225">
            <v>1035640</v>
          </cell>
        </row>
        <row r="226">
          <cell r="A226" t="str">
            <v>0253</v>
          </cell>
          <cell r="B226" t="str">
            <v>澤田　正二　　　</v>
          </cell>
          <cell r="C226">
            <v>1140720</v>
          </cell>
          <cell r="D226">
            <v>1265400</v>
          </cell>
          <cell r="E226">
            <v>2406120</v>
          </cell>
          <cell r="F226">
            <v>5492269</v>
          </cell>
          <cell r="G226">
            <v>7898389</v>
          </cell>
          <cell r="H226">
            <v>913630</v>
          </cell>
        </row>
        <row r="227">
          <cell r="A227" t="str">
            <v>1146</v>
          </cell>
          <cell r="B227" t="str">
            <v>香月　一幸　　　</v>
          </cell>
          <cell r="C227">
            <v>1055700</v>
          </cell>
          <cell r="D227">
            <v>1264740</v>
          </cell>
          <cell r="E227">
            <v>2320440</v>
          </cell>
          <cell r="F227">
            <v>4757120</v>
          </cell>
          <cell r="G227">
            <v>7077560</v>
          </cell>
          <cell r="H227">
            <v>1143850</v>
          </cell>
        </row>
        <row r="228">
          <cell r="A228" t="str">
            <v>0366</v>
          </cell>
          <cell r="B228" t="str">
            <v>小笠原　繁行　　</v>
          </cell>
          <cell r="C228">
            <v>1125910</v>
          </cell>
          <cell r="D228">
            <v>1264300</v>
          </cell>
          <cell r="E228">
            <v>2390210</v>
          </cell>
          <cell r="F228">
            <v>5671466</v>
          </cell>
          <cell r="G228">
            <v>8061676</v>
          </cell>
          <cell r="H228">
            <v>1247360</v>
          </cell>
        </row>
        <row r="229">
          <cell r="A229" t="str">
            <v>1171</v>
          </cell>
          <cell r="B229" t="str">
            <v>平岡　正啓　　　</v>
          </cell>
          <cell r="C229">
            <v>1041970</v>
          </cell>
          <cell r="D229">
            <v>1262680</v>
          </cell>
          <cell r="E229">
            <v>2304650</v>
          </cell>
          <cell r="F229">
            <v>4591637</v>
          </cell>
          <cell r="G229">
            <v>6896287</v>
          </cell>
          <cell r="H229">
            <v>1154450</v>
          </cell>
        </row>
        <row r="230">
          <cell r="A230" t="str">
            <v>0127</v>
          </cell>
          <cell r="B230" t="str">
            <v>岡本　正治　　　</v>
          </cell>
          <cell r="C230">
            <v>1154770</v>
          </cell>
          <cell r="D230">
            <v>1262230</v>
          </cell>
          <cell r="E230">
            <v>2417000</v>
          </cell>
          <cell r="F230">
            <v>4807936</v>
          </cell>
          <cell r="G230">
            <v>7224936</v>
          </cell>
          <cell r="H230">
            <v>1164360</v>
          </cell>
        </row>
        <row r="231">
          <cell r="A231" t="str">
            <v>0993</v>
          </cell>
          <cell r="B231" t="str">
            <v>佐藤　宣之　　　</v>
          </cell>
          <cell r="C231">
            <v>1029150</v>
          </cell>
          <cell r="D231">
            <v>1262220</v>
          </cell>
          <cell r="E231">
            <v>2291370</v>
          </cell>
          <cell r="F231">
            <v>5069451</v>
          </cell>
          <cell r="G231">
            <v>7360821</v>
          </cell>
          <cell r="H231">
            <v>1113940</v>
          </cell>
        </row>
        <row r="232">
          <cell r="A232" t="str">
            <v>0470</v>
          </cell>
          <cell r="B232" t="str">
            <v>宇土　信義　　　</v>
          </cell>
          <cell r="C232">
            <v>955290</v>
          </cell>
          <cell r="D232">
            <v>1259400</v>
          </cell>
          <cell r="E232">
            <v>2214690</v>
          </cell>
          <cell r="F232">
            <v>5179343</v>
          </cell>
          <cell r="G232">
            <v>7394033</v>
          </cell>
          <cell r="H232">
            <v>1200340</v>
          </cell>
        </row>
        <row r="233">
          <cell r="A233" t="str">
            <v>0258</v>
          </cell>
          <cell r="B233" t="str">
            <v>前澤　敏和　　　</v>
          </cell>
          <cell r="C233">
            <v>1242990</v>
          </cell>
          <cell r="D233">
            <v>1258480</v>
          </cell>
          <cell r="E233">
            <v>2501470</v>
          </cell>
          <cell r="F233">
            <v>5342683</v>
          </cell>
          <cell r="G233">
            <v>7844153</v>
          </cell>
          <cell r="H233">
            <v>1154610</v>
          </cell>
        </row>
        <row r="234">
          <cell r="A234" t="str">
            <v>0519</v>
          </cell>
          <cell r="B234" t="str">
            <v>原田　恒　　　　</v>
          </cell>
          <cell r="C234">
            <v>1134500</v>
          </cell>
          <cell r="D234">
            <v>1258480</v>
          </cell>
          <cell r="E234">
            <v>2392980</v>
          </cell>
          <cell r="F234">
            <v>5378690</v>
          </cell>
          <cell r="G234">
            <v>7771670</v>
          </cell>
          <cell r="H234">
            <v>1196930</v>
          </cell>
        </row>
        <row r="235">
          <cell r="A235" t="str">
            <v>0617</v>
          </cell>
          <cell r="B235" t="str">
            <v>大坪　幹雄　　　</v>
          </cell>
          <cell r="C235">
            <v>1131800</v>
          </cell>
          <cell r="D235">
            <v>1257110</v>
          </cell>
          <cell r="E235">
            <v>2388910</v>
          </cell>
          <cell r="F235">
            <v>5053612</v>
          </cell>
          <cell r="G235">
            <v>7442522</v>
          </cell>
          <cell r="H235">
            <v>1169410</v>
          </cell>
        </row>
        <row r="236">
          <cell r="A236" t="str">
            <v>2592</v>
          </cell>
          <cell r="B236" t="str">
            <v>奥田　尚之　　　</v>
          </cell>
          <cell r="C236">
            <v>1129280</v>
          </cell>
          <cell r="D236">
            <v>1254500</v>
          </cell>
          <cell r="E236">
            <v>2383780</v>
          </cell>
          <cell r="F236">
            <v>5078124</v>
          </cell>
          <cell r="G236">
            <v>7461904</v>
          </cell>
          <cell r="H236">
            <v>1166050</v>
          </cell>
        </row>
        <row r="237">
          <cell r="A237" t="str">
            <v>1329</v>
          </cell>
          <cell r="B237" t="str">
            <v>中村　文秋　　　</v>
          </cell>
          <cell r="C237">
            <v>1104890</v>
          </cell>
          <cell r="D237">
            <v>1252100</v>
          </cell>
          <cell r="E237">
            <v>2356990</v>
          </cell>
          <cell r="F237">
            <v>4497141</v>
          </cell>
          <cell r="G237">
            <v>6854131</v>
          </cell>
          <cell r="H237">
            <v>1122810</v>
          </cell>
        </row>
        <row r="238">
          <cell r="A238" t="str">
            <v>0984</v>
          </cell>
          <cell r="B238" t="str">
            <v>樋口　典廷　　　</v>
          </cell>
          <cell r="C238">
            <v>1096120</v>
          </cell>
          <cell r="D238">
            <v>1251080</v>
          </cell>
          <cell r="E238">
            <v>2347200</v>
          </cell>
          <cell r="F238">
            <v>5101570</v>
          </cell>
          <cell r="G238">
            <v>7448770</v>
          </cell>
          <cell r="H238">
            <v>1125640</v>
          </cell>
        </row>
        <row r="239">
          <cell r="A239" t="str">
            <v>1087</v>
          </cell>
          <cell r="B239" t="str">
            <v>原田　栄治　　　</v>
          </cell>
          <cell r="C239">
            <v>1149220</v>
          </cell>
          <cell r="D239">
            <v>1248470</v>
          </cell>
          <cell r="E239">
            <v>2397690</v>
          </cell>
          <cell r="F239">
            <v>4765960</v>
          </cell>
          <cell r="G239">
            <v>7163650</v>
          </cell>
          <cell r="H239">
            <v>1184120</v>
          </cell>
        </row>
        <row r="240">
          <cell r="A240" t="str">
            <v>0478</v>
          </cell>
          <cell r="B240" t="str">
            <v>清水　友雄　　　</v>
          </cell>
          <cell r="C240">
            <v>1087320</v>
          </cell>
          <cell r="D240">
            <v>1248450</v>
          </cell>
          <cell r="E240">
            <v>2335770</v>
          </cell>
          <cell r="F240">
            <v>5249580</v>
          </cell>
          <cell r="G240">
            <v>7585350</v>
          </cell>
          <cell r="H240">
            <v>1145400</v>
          </cell>
        </row>
        <row r="241">
          <cell r="A241" t="str">
            <v>0331</v>
          </cell>
          <cell r="B241" t="str">
            <v>森本　宏　　　　</v>
          </cell>
          <cell r="C241">
            <v>1376570</v>
          </cell>
          <cell r="D241">
            <v>1248340</v>
          </cell>
          <cell r="E241">
            <v>2624910</v>
          </cell>
          <cell r="F241">
            <v>5423485</v>
          </cell>
          <cell r="G241">
            <v>8048395</v>
          </cell>
          <cell r="H241">
            <v>1188500</v>
          </cell>
        </row>
        <row r="242">
          <cell r="A242" t="str">
            <v>0555</v>
          </cell>
          <cell r="B242" t="str">
            <v>大隈　高志　　　</v>
          </cell>
          <cell r="C242">
            <v>1163110</v>
          </cell>
          <cell r="D242">
            <v>1247690</v>
          </cell>
          <cell r="E242">
            <v>2410800</v>
          </cell>
          <cell r="F242">
            <v>5010969</v>
          </cell>
          <cell r="G242">
            <v>7421769</v>
          </cell>
          <cell r="H242">
            <v>1097960</v>
          </cell>
        </row>
        <row r="243">
          <cell r="A243" t="str">
            <v>0983</v>
          </cell>
          <cell r="B243" t="str">
            <v>長谷川　俊　　　</v>
          </cell>
          <cell r="C243">
            <v>1040050</v>
          </cell>
          <cell r="D243">
            <v>1246810</v>
          </cell>
          <cell r="E243">
            <v>2286860</v>
          </cell>
          <cell r="F243">
            <v>4640830</v>
          </cell>
          <cell r="G243">
            <v>6927690</v>
          </cell>
          <cell r="H243">
            <v>1171610</v>
          </cell>
        </row>
        <row r="244">
          <cell r="A244" t="str">
            <v>0633</v>
          </cell>
          <cell r="B244" t="str">
            <v>盆野　富興　　　</v>
          </cell>
          <cell r="C244">
            <v>1231160</v>
          </cell>
          <cell r="D244">
            <v>1242780</v>
          </cell>
          <cell r="E244">
            <v>2473940</v>
          </cell>
          <cell r="F244">
            <v>4797800</v>
          </cell>
          <cell r="G244">
            <v>7271740</v>
          </cell>
          <cell r="H244">
            <v>1118180</v>
          </cell>
        </row>
        <row r="245">
          <cell r="A245" t="str">
            <v>0632</v>
          </cell>
          <cell r="B245" t="str">
            <v>大木　正　　　　</v>
          </cell>
          <cell r="C245">
            <v>1109350</v>
          </cell>
          <cell r="D245">
            <v>1242420</v>
          </cell>
          <cell r="E245">
            <v>2351770</v>
          </cell>
          <cell r="F245">
            <v>5181378</v>
          </cell>
          <cell r="G245">
            <v>7533148</v>
          </cell>
          <cell r="H245">
            <v>1138520</v>
          </cell>
        </row>
        <row r="246">
          <cell r="A246" t="str">
            <v>1163</v>
          </cell>
          <cell r="B246" t="str">
            <v>土肥　修市　　　</v>
          </cell>
          <cell r="C246">
            <v>1124290</v>
          </cell>
          <cell r="D246">
            <v>1242090</v>
          </cell>
          <cell r="E246">
            <v>2366380</v>
          </cell>
          <cell r="F246">
            <v>4596817</v>
          </cell>
          <cell r="G246">
            <v>6963197</v>
          </cell>
          <cell r="H246">
            <v>1075610</v>
          </cell>
        </row>
        <row r="247">
          <cell r="A247" t="str">
            <v>0979</v>
          </cell>
          <cell r="B247" t="str">
            <v>田中　康　　　　</v>
          </cell>
          <cell r="C247">
            <v>1023990</v>
          </cell>
          <cell r="D247">
            <v>1241500</v>
          </cell>
          <cell r="E247">
            <v>2265490</v>
          </cell>
          <cell r="F247">
            <v>4203074</v>
          </cell>
          <cell r="G247">
            <v>6468564</v>
          </cell>
          <cell r="H247">
            <v>1078150</v>
          </cell>
        </row>
        <row r="248">
          <cell r="A248" t="str">
            <v>0739</v>
          </cell>
          <cell r="B248" t="str">
            <v>寺坂　昌彦　　　</v>
          </cell>
          <cell r="C248">
            <v>1031790</v>
          </cell>
          <cell r="D248">
            <v>1237980</v>
          </cell>
          <cell r="E248">
            <v>2269770</v>
          </cell>
          <cell r="F248">
            <v>4885394</v>
          </cell>
          <cell r="G248">
            <v>7155164</v>
          </cell>
          <cell r="H248">
            <v>1133090</v>
          </cell>
        </row>
        <row r="249">
          <cell r="A249" t="str">
            <v>0992</v>
          </cell>
          <cell r="B249" t="str">
            <v>黒飛　智　　　　</v>
          </cell>
          <cell r="C249">
            <v>1059950</v>
          </cell>
          <cell r="D249">
            <v>1237630</v>
          </cell>
          <cell r="E249">
            <v>2297580</v>
          </cell>
          <cell r="F249">
            <v>4905400</v>
          </cell>
          <cell r="G249">
            <v>7202980</v>
          </cell>
          <cell r="H249">
            <v>1150840</v>
          </cell>
        </row>
        <row r="250">
          <cell r="A250" t="str">
            <v>0409</v>
          </cell>
          <cell r="B250" t="str">
            <v>五月女　光　　　</v>
          </cell>
          <cell r="C250">
            <v>1271440</v>
          </cell>
          <cell r="D250">
            <v>1237090</v>
          </cell>
          <cell r="E250">
            <v>2508530</v>
          </cell>
          <cell r="F250">
            <v>5413383</v>
          </cell>
          <cell r="G250">
            <v>7921913</v>
          </cell>
          <cell r="H250">
            <v>1317890</v>
          </cell>
        </row>
        <row r="251">
          <cell r="A251" t="str">
            <v>0393</v>
          </cell>
          <cell r="B251" t="str">
            <v>高橋　敏彦　　　</v>
          </cell>
          <cell r="C251">
            <v>993500</v>
          </cell>
          <cell r="D251">
            <v>1234170</v>
          </cell>
          <cell r="E251">
            <v>2227670</v>
          </cell>
          <cell r="F251">
            <v>4450995</v>
          </cell>
          <cell r="G251">
            <v>6678665</v>
          </cell>
          <cell r="H251">
            <v>1129600</v>
          </cell>
        </row>
        <row r="252">
          <cell r="A252" t="str">
            <v>0438</v>
          </cell>
          <cell r="B252" t="str">
            <v>島田　洋一　　　</v>
          </cell>
          <cell r="C252">
            <v>1114710</v>
          </cell>
          <cell r="D252">
            <v>1232340</v>
          </cell>
          <cell r="E252">
            <v>2347050</v>
          </cell>
          <cell r="F252">
            <v>5017888</v>
          </cell>
          <cell r="G252">
            <v>7364938</v>
          </cell>
          <cell r="H252">
            <v>1172070</v>
          </cell>
        </row>
        <row r="253">
          <cell r="A253" t="str">
            <v>1680</v>
          </cell>
          <cell r="B253" t="str">
            <v>酒井　洋和　　　</v>
          </cell>
          <cell r="C253">
            <v>1055070</v>
          </cell>
          <cell r="D253">
            <v>1231870</v>
          </cell>
          <cell r="E253">
            <v>2286940</v>
          </cell>
          <cell r="F253">
            <v>4901548</v>
          </cell>
          <cell r="G253">
            <v>7188488</v>
          </cell>
          <cell r="H253">
            <v>1084050</v>
          </cell>
        </row>
        <row r="254">
          <cell r="A254" t="str">
            <v>0129</v>
          </cell>
          <cell r="B254" t="str">
            <v>和田　邦太郎　　</v>
          </cell>
          <cell r="C254">
            <v>1153830</v>
          </cell>
          <cell r="D254">
            <v>1231260</v>
          </cell>
          <cell r="E254">
            <v>2385090</v>
          </cell>
          <cell r="F254">
            <v>5148920</v>
          </cell>
          <cell r="G254">
            <v>7534010</v>
          </cell>
          <cell r="H254">
            <v>1050280</v>
          </cell>
        </row>
        <row r="255">
          <cell r="A255" t="str">
            <v>0126</v>
          </cell>
          <cell r="B255" t="str">
            <v>井黒　博　　　　</v>
          </cell>
          <cell r="C255">
            <v>1119240</v>
          </cell>
          <cell r="D255">
            <v>1229280</v>
          </cell>
          <cell r="E255">
            <v>2348520</v>
          </cell>
          <cell r="F255">
            <v>4938200</v>
          </cell>
          <cell r="G255">
            <v>7286720</v>
          </cell>
          <cell r="H255">
            <v>1124460</v>
          </cell>
        </row>
        <row r="256">
          <cell r="A256" t="str">
            <v>0615</v>
          </cell>
          <cell r="B256" t="str">
            <v>飯田　省二　　　</v>
          </cell>
          <cell r="C256">
            <v>924520</v>
          </cell>
          <cell r="D256">
            <v>1227700</v>
          </cell>
          <cell r="E256">
            <v>2152220</v>
          </cell>
          <cell r="F256">
            <v>4974884</v>
          </cell>
          <cell r="G256">
            <v>7127104</v>
          </cell>
          <cell r="H256">
            <v>1170150</v>
          </cell>
        </row>
        <row r="257">
          <cell r="A257" t="str">
            <v>1483</v>
          </cell>
          <cell r="B257" t="str">
            <v>後藤　武司　　　</v>
          </cell>
          <cell r="C257">
            <v>1047610</v>
          </cell>
          <cell r="D257">
            <v>1225610</v>
          </cell>
          <cell r="E257">
            <v>2273220</v>
          </cell>
          <cell r="F257">
            <v>4068873</v>
          </cell>
          <cell r="G257">
            <v>6342093</v>
          </cell>
          <cell r="H257">
            <v>1139320</v>
          </cell>
        </row>
        <row r="258">
          <cell r="A258" t="str">
            <v>0518</v>
          </cell>
          <cell r="B258" t="str">
            <v>阿部　忠章　　　</v>
          </cell>
          <cell r="C258">
            <v>1149790</v>
          </cell>
          <cell r="D258">
            <v>1225410</v>
          </cell>
          <cell r="E258">
            <v>2375200</v>
          </cell>
          <cell r="F258">
            <v>5407641</v>
          </cell>
          <cell r="G258">
            <v>7782841</v>
          </cell>
          <cell r="H258">
            <v>1107790</v>
          </cell>
        </row>
        <row r="259">
          <cell r="A259" t="str">
            <v>2163</v>
          </cell>
          <cell r="B259" t="str">
            <v>森　郁　　　　　</v>
          </cell>
          <cell r="C259">
            <v>1132200</v>
          </cell>
          <cell r="D259">
            <v>1225190</v>
          </cell>
          <cell r="E259">
            <v>2357390</v>
          </cell>
          <cell r="F259">
            <v>4518964</v>
          </cell>
          <cell r="G259">
            <v>6876354</v>
          </cell>
          <cell r="H259">
            <v>1121370</v>
          </cell>
        </row>
        <row r="260">
          <cell r="A260" t="str">
            <v>0244</v>
          </cell>
          <cell r="B260" t="str">
            <v>松崎　茂長　　　</v>
          </cell>
          <cell r="C260">
            <v>1046770</v>
          </cell>
          <cell r="D260">
            <v>1217940</v>
          </cell>
          <cell r="E260">
            <v>2264710</v>
          </cell>
          <cell r="F260">
            <v>5680998</v>
          </cell>
          <cell r="G260">
            <v>7945708</v>
          </cell>
          <cell r="H260">
            <v>1119320</v>
          </cell>
        </row>
        <row r="261">
          <cell r="A261" t="str">
            <v>0170</v>
          </cell>
          <cell r="B261" t="str">
            <v>毛利　光男　　　</v>
          </cell>
          <cell r="C261">
            <v>1064950</v>
          </cell>
          <cell r="D261">
            <v>1214810</v>
          </cell>
          <cell r="E261">
            <v>2279760</v>
          </cell>
          <cell r="F261">
            <v>5128375</v>
          </cell>
          <cell r="G261">
            <v>7408135</v>
          </cell>
          <cell r="H261">
            <v>1091200</v>
          </cell>
        </row>
        <row r="262">
          <cell r="A262" t="str">
            <v>0185</v>
          </cell>
          <cell r="B262" t="str">
            <v>渡辺　信吾　　　</v>
          </cell>
          <cell r="C262">
            <v>1390490</v>
          </cell>
          <cell r="D262">
            <v>1213580</v>
          </cell>
          <cell r="E262">
            <v>2604070</v>
          </cell>
          <cell r="F262">
            <v>5665150</v>
          </cell>
          <cell r="G262">
            <v>8269220</v>
          </cell>
          <cell r="H262">
            <v>1110010</v>
          </cell>
        </row>
        <row r="263">
          <cell r="A263" t="str">
            <v>2342</v>
          </cell>
          <cell r="B263" t="str">
            <v>光藤　直文　　　</v>
          </cell>
          <cell r="C263">
            <v>1018050</v>
          </cell>
          <cell r="D263">
            <v>1212520</v>
          </cell>
          <cell r="E263">
            <v>2230570</v>
          </cell>
          <cell r="F263">
            <v>5187618</v>
          </cell>
          <cell r="G263">
            <v>7418188</v>
          </cell>
          <cell r="H263">
            <v>1079310</v>
          </cell>
        </row>
        <row r="264">
          <cell r="A264" t="str">
            <v>0708</v>
          </cell>
          <cell r="B264" t="str">
            <v>岩崎　隆典　　　</v>
          </cell>
          <cell r="C264">
            <v>999830</v>
          </cell>
          <cell r="D264">
            <v>1211890</v>
          </cell>
          <cell r="E264">
            <v>2211720</v>
          </cell>
          <cell r="F264">
            <v>5170184</v>
          </cell>
          <cell r="G264">
            <v>7381904</v>
          </cell>
          <cell r="H264">
            <v>1141870</v>
          </cell>
        </row>
        <row r="265">
          <cell r="A265" t="str">
            <v>0972</v>
          </cell>
          <cell r="B265" t="str">
            <v>貝増　豊　　　　</v>
          </cell>
          <cell r="C265">
            <v>1105550</v>
          </cell>
          <cell r="D265">
            <v>1211450</v>
          </cell>
          <cell r="E265">
            <v>2317000</v>
          </cell>
          <cell r="F265">
            <v>4359937</v>
          </cell>
          <cell r="G265">
            <v>6676937</v>
          </cell>
          <cell r="H265">
            <v>1149010</v>
          </cell>
        </row>
        <row r="266">
          <cell r="A266" t="str">
            <v>0568</v>
          </cell>
          <cell r="B266" t="str">
            <v>村上　睦男　　　</v>
          </cell>
          <cell r="C266">
            <v>1027910</v>
          </cell>
          <cell r="D266">
            <v>1211070</v>
          </cell>
          <cell r="E266">
            <v>2238980</v>
          </cell>
          <cell r="F266">
            <v>5053944</v>
          </cell>
          <cell r="G266">
            <v>7292924</v>
          </cell>
          <cell r="H266">
            <v>965750</v>
          </cell>
        </row>
        <row r="267">
          <cell r="A267" t="str">
            <v>1702</v>
          </cell>
          <cell r="B267" t="str">
            <v>村山　虎市　　　</v>
          </cell>
          <cell r="C267">
            <v>1079530</v>
          </cell>
          <cell r="D267">
            <v>1210370</v>
          </cell>
          <cell r="E267">
            <v>2289900</v>
          </cell>
          <cell r="F267">
            <v>4894794</v>
          </cell>
          <cell r="G267">
            <v>7184694</v>
          </cell>
          <cell r="H267">
            <v>1109170</v>
          </cell>
        </row>
        <row r="268">
          <cell r="A268" t="str">
            <v>0161</v>
          </cell>
          <cell r="B268" t="str">
            <v>竹村　福男　　　</v>
          </cell>
          <cell r="C268">
            <v>1087680</v>
          </cell>
          <cell r="D268">
            <v>1207790</v>
          </cell>
          <cell r="E268">
            <v>2295470</v>
          </cell>
          <cell r="F268">
            <v>5013342</v>
          </cell>
          <cell r="G268">
            <v>7308812</v>
          </cell>
          <cell r="H268">
            <v>1084880</v>
          </cell>
        </row>
        <row r="269">
          <cell r="A269" t="str">
            <v>0533</v>
          </cell>
          <cell r="B269" t="str">
            <v>藤倉　久雄　　　</v>
          </cell>
          <cell r="C269">
            <v>1015660</v>
          </cell>
          <cell r="D269">
            <v>1206140</v>
          </cell>
          <cell r="E269">
            <v>2221800</v>
          </cell>
          <cell r="F269">
            <v>4594142</v>
          </cell>
          <cell r="G269">
            <v>6815942</v>
          </cell>
          <cell r="H269">
            <v>962250</v>
          </cell>
        </row>
        <row r="270">
          <cell r="A270" t="str">
            <v>0981</v>
          </cell>
          <cell r="B270" t="str">
            <v>長浜　哲也　　　</v>
          </cell>
          <cell r="C270">
            <v>1050370</v>
          </cell>
          <cell r="D270">
            <v>1205710</v>
          </cell>
          <cell r="E270">
            <v>2256080</v>
          </cell>
          <cell r="F270">
            <v>5027444</v>
          </cell>
          <cell r="G270">
            <v>7283524</v>
          </cell>
          <cell r="H270">
            <v>1189720</v>
          </cell>
        </row>
        <row r="271">
          <cell r="A271" t="str">
            <v>1339</v>
          </cell>
          <cell r="B271" t="str">
            <v>福家　安彦　　　</v>
          </cell>
          <cell r="C271">
            <v>1040010</v>
          </cell>
          <cell r="D271">
            <v>1204690</v>
          </cell>
          <cell r="E271">
            <v>2244700</v>
          </cell>
          <cell r="F271">
            <v>4590542</v>
          </cell>
          <cell r="G271">
            <v>6835242</v>
          </cell>
          <cell r="H271">
            <v>1060130</v>
          </cell>
        </row>
        <row r="272">
          <cell r="A272" t="str">
            <v>1326</v>
          </cell>
          <cell r="B272" t="str">
            <v>竹原　豊士　　　</v>
          </cell>
          <cell r="C272">
            <v>1037000</v>
          </cell>
          <cell r="D272">
            <v>1203750</v>
          </cell>
          <cell r="E272">
            <v>2240750</v>
          </cell>
          <cell r="F272">
            <v>4752850</v>
          </cell>
          <cell r="G272">
            <v>6993600</v>
          </cell>
          <cell r="H272">
            <v>1115580</v>
          </cell>
        </row>
        <row r="273">
          <cell r="A273" t="str">
            <v>1312</v>
          </cell>
          <cell r="B273" t="str">
            <v>後藤　寛　　　　</v>
          </cell>
          <cell r="C273">
            <v>1065670</v>
          </cell>
          <cell r="D273">
            <v>1201890</v>
          </cell>
          <cell r="E273">
            <v>2267560</v>
          </cell>
          <cell r="F273">
            <v>4966677</v>
          </cell>
          <cell r="G273">
            <v>7234237</v>
          </cell>
          <cell r="H273">
            <v>1118140</v>
          </cell>
        </row>
        <row r="274">
          <cell r="A274" t="str">
            <v>1134</v>
          </cell>
          <cell r="B274" t="str">
            <v>深津　隆史　　　</v>
          </cell>
          <cell r="C274">
            <v>1017570</v>
          </cell>
          <cell r="D274">
            <v>1200970</v>
          </cell>
          <cell r="E274">
            <v>2218540</v>
          </cell>
          <cell r="F274">
            <v>4993734</v>
          </cell>
          <cell r="G274">
            <v>7212274</v>
          </cell>
          <cell r="H274">
            <v>1144670</v>
          </cell>
        </row>
        <row r="275">
          <cell r="A275" t="str">
            <v>0973</v>
          </cell>
          <cell r="B275" t="str">
            <v>鹿島　健司　　　</v>
          </cell>
          <cell r="C275">
            <v>1021890</v>
          </cell>
          <cell r="D275">
            <v>1199710</v>
          </cell>
          <cell r="E275">
            <v>2221600</v>
          </cell>
          <cell r="F275">
            <v>4989375</v>
          </cell>
          <cell r="G275">
            <v>7210975</v>
          </cell>
          <cell r="H275">
            <v>1149670</v>
          </cell>
        </row>
        <row r="276">
          <cell r="A276" t="str">
            <v>1328</v>
          </cell>
          <cell r="B276" t="str">
            <v>中島　啓次　　　</v>
          </cell>
          <cell r="C276">
            <v>981000</v>
          </cell>
          <cell r="D276">
            <v>1199090</v>
          </cell>
          <cell r="E276">
            <v>2180090</v>
          </cell>
          <cell r="F276">
            <v>4318748</v>
          </cell>
          <cell r="G276">
            <v>6498838</v>
          </cell>
          <cell r="H276">
            <v>1083950</v>
          </cell>
        </row>
        <row r="277">
          <cell r="A277" t="str">
            <v>1633</v>
          </cell>
          <cell r="B277" t="str">
            <v>片山　隆　　　　</v>
          </cell>
          <cell r="C277">
            <v>1069620</v>
          </cell>
          <cell r="D277">
            <v>1197080</v>
          </cell>
          <cell r="E277">
            <v>2266700</v>
          </cell>
          <cell r="F277">
            <v>5011438</v>
          </cell>
          <cell r="G277">
            <v>7278138</v>
          </cell>
          <cell r="H277">
            <v>1028910</v>
          </cell>
        </row>
        <row r="278">
          <cell r="A278" t="str">
            <v>2141</v>
          </cell>
          <cell r="B278" t="str">
            <v>西田　滋夫　　　</v>
          </cell>
          <cell r="C278">
            <v>911210</v>
          </cell>
          <cell r="D278">
            <v>1196250</v>
          </cell>
          <cell r="E278">
            <v>2107460</v>
          </cell>
          <cell r="F278">
            <v>3900988</v>
          </cell>
          <cell r="G278">
            <v>6008448</v>
          </cell>
          <cell r="H278">
            <v>1072560</v>
          </cell>
        </row>
        <row r="279">
          <cell r="A279" t="str">
            <v>1160</v>
          </cell>
          <cell r="B279" t="str">
            <v>丹村　治　　　　</v>
          </cell>
          <cell r="C279">
            <v>969500</v>
          </cell>
          <cell r="D279">
            <v>1194210</v>
          </cell>
          <cell r="E279">
            <v>2163710</v>
          </cell>
          <cell r="F279">
            <v>4738634</v>
          </cell>
          <cell r="G279">
            <v>6902344</v>
          </cell>
          <cell r="H279">
            <v>1091860</v>
          </cell>
        </row>
        <row r="280">
          <cell r="A280" t="str">
            <v>0181</v>
          </cell>
          <cell r="B280" t="str">
            <v>石見　昌彦　　　</v>
          </cell>
          <cell r="C280">
            <v>1275410</v>
          </cell>
          <cell r="D280">
            <v>1194070</v>
          </cell>
          <cell r="E280">
            <v>2469480</v>
          </cell>
          <cell r="F280">
            <v>5316751</v>
          </cell>
          <cell r="G280">
            <v>7786231</v>
          </cell>
          <cell r="H280">
            <v>1074370</v>
          </cell>
        </row>
        <row r="281">
          <cell r="A281" t="str">
            <v>0336</v>
          </cell>
          <cell r="B281" t="str">
            <v>金川　正行　　　</v>
          </cell>
          <cell r="C281">
            <v>1007610</v>
          </cell>
          <cell r="D281">
            <v>1189560</v>
          </cell>
          <cell r="E281">
            <v>2197170</v>
          </cell>
          <cell r="F281">
            <v>5091171</v>
          </cell>
          <cell r="G281">
            <v>7288341</v>
          </cell>
          <cell r="H281">
            <v>1061150</v>
          </cell>
        </row>
        <row r="282">
          <cell r="A282" t="str">
            <v>0729</v>
          </cell>
          <cell r="B282" t="str">
            <v>藁谷　吉男　　　</v>
          </cell>
          <cell r="C282">
            <v>1036270</v>
          </cell>
          <cell r="D282">
            <v>1188820</v>
          </cell>
          <cell r="E282">
            <v>2225090</v>
          </cell>
          <cell r="F282">
            <v>4847707</v>
          </cell>
          <cell r="G282">
            <v>7072797</v>
          </cell>
          <cell r="H282">
            <v>1075490</v>
          </cell>
        </row>
        <row r="283">
          <cell r="A283" t="str">
            <v>0551</v>
          </cell>
          <cell r="B283" t="str">
            <v>小川　勝久　　　</v>
          </cell>
          <cell r="C283">
            <v>1045390</v>
          </cell>
          <cell r="D283">
            <v>1188330</v>
          </cell>
          <cell r="E283">
            <v>2233720</v>
          </cell>
          <cell r="F283">
            <v>4933180</v>
          </cell>
          <cell r="G283">
            <v>7166900</v>
          </cell>
          <cell r="H283">
            <v>1037040</v>
          </cell>
        </row>
        <row r="284">
          <cell r="A284" t="str">
            <v>1632</v>
          </cell>
          <cell r="B284" t="str">
            <v>斉藤　好正　　　</v>
          </cell>
          <cell r="C284">
            <v>1003970</v>
          </cell>
          <cell r="D284">
            <v>1188120</v>
          </cell>
          <cell r="E284">
            <v>2192090</v>
          </cell>
          <cell r="F284">
            <v>4768800</v>
          </cell>
          <cell r="G284">
            <v>6960890</v>
          </cell>
          <cell r="H284">
            <v>1088800</v>
          </cell>
        </row>
        <row r="285">
          <cell r="A285" t="str">
            <v>0695</v>
          </cell>
          <cell r="B285" t="str">
            <v>吉村　明　　　　</v>
          </cell>
          <cell r="C285">
            <v>1012290</v>
          </cell>
          <cell r="D285">
            <v>1187630</v>
          </cell>
          <cell r="E285">
            <v>2199920</v>
          </cell>
          <cell r="F285">
            <v>5073862</v>
          </cell>
          <cell r="G285">
            <v>7273782</v>
          </cell>
          <cell r="H285">
            <v>1129550</v>
          </cell>
        </row>
        <row r="286">
          <cell r="A286" t="str">
            <v>0991</v>
          </cell>
          <cell r="B286" t="str">
            <v>沖崎　猛　　　　</v>
          </cell>
          <cell r="C286">
            <v>1056310</v>
          </cell>
          <cell r="D286">
            <v>1186560</v>
          </cell>
          <cell r="E286">
            <v>2242870</v>
          </cell>
          <cell r="F286">
            <v>4299562</v>
          </cell>
          <cell r="G286">
            <v>6542432</v>
          </cell>
          <cell r="H286">
            <v>990760</v>
          </cell>
        </row>
        <row r="287">
          <cell r="A287" t="str">
            <v>2040</v>
          </cell>
          <cell r="B287" t="str">
            <v>河合　良信　　　</v>
          </cell>
          <cell r="C287">
            <v>1046970</v>
          </cell>
          <cell r="D287">
            <v>1184260</v>
          </cell>
          <cell r="E287">
            <v>2231230</v>
          </cell>
          <cell r="F287">
            <v>4481190</v>
          </cell>
          <cell r="G287">
            <v>6712420</v>
          </cell>
          <cell r="H287">
            <v>1083910</v>
          </cell>
        </row>
        <row r="288">
          <cell r="A288" t="str">
            <v>1341</v>
          </cell>
          <cell r="B288" t="str">
            <v>堀内　晋　　　　</v>
          </cell>
          <cell r="C288">
            <v>1013080</v>
          </cell>
          <cell r="D288">
            <v>1184260</v>
          </cell>
          <cell r="E288">
            <v>2197340</v>
          </cell>
          <cell r="F288">
            <v>4349722</v>
          </cell>
          <cell r="G288">
            <v>6547062</v>
          </cell>
          <cell r="H288">
            <v>1083910</v>
          </cell>
        </row>
        <row r="289">
          <cell r="A289" t="str">
            <v>0504</v>
          </cell>
          <cell r="B289" t="str">
            <v>石井　照美　　　</v>
          </cell>
          <cell r="C289">
            <v>1056450</v>
          </cell>
          <cell r="D289">
            <v>1183440</v>
          </cell>
          <cell r="E289">
            <v>2239890</v>
          </cell>
          <cell r="F289">
            <v>4834308</v>
          </cell>
          <cell r="G289">
            <v>7074198</v>
          </cell>
          <cell r="H289">
            <v>1168860</v>
          </cell>
        </row>
        <row r="290">
          <cell r="A290" t="str">
            <v>2027</v>
          </cell>
          <cell r="B290" t="str">
            <v>高木　啓充　　　</v>
          </cell>
          <cell r="C290">
            <v>1053510</v>
          </cell>
          <cell r="D290">
            <v>1181350</v>
          </cell>
          <cell r="E290">
            <v>2234860</v>
          </cell>
          <cell r="F290">
            <v>4825434</v>
          </cell>
          <cell r="G290">
            <v>7060294</v>
          </cell>
          <cell r="H290">
            <v>1100630</v>
          </cell>
        </row>
        <row r="291">
          <cell r="A291" t="str">
            <v>0917</v>
          </cell>
          <cell r="B291" t="str">
            <v>辻　隆治　　　　</v>
          </cell>
          <cell r="C291">
            <v>1046040</v>
          </cell>
          <cell r="D291">
            <v>1180540</v>
          </cell>
          <cell r="E291">
            <v>2226580</v>
          </cell>
          <cell r="F291">
            <v>4535210</v>
          </cell>
          <cell r="G291">
            <v>6761790</v>
          </cell>
          <cell r="H291">
            <v>1164880</v>
          </cell>
        </row>
        <row r="292">
          <cell r="A292" t="str">
            <v>1315</v>
          </cell>
          <cell r="B292" t="str">
            <v>坂本　融司　　　</v>
          </cell>
          <cell r="C292">
            <v>1007940</v>
          </cell>
          <cell r="D292">
            <v>1178720</v>
          </cell>
          <cell r="E292">
            <v>2186660</v>
          </cell>
          <cell r="F292">
            <v>4744998</v>
          </cell>
          <cell r="G292">
            <v>6931658</v>
          </cell>
          <cell r="H292">
            <v>1095960</v>
          </cell>
        </row>
        <row r="293">
          <cell r="A293" t="str">
            <v>0450</v>
          </cell>
          <cell r="B293" t="str">
            <v>久松　正己　　　</v>
          </cell>
          <cell r="C293">
            <v>1019100</v>
          </cell>
          <cell r="D293">
            <v>1173570</v>
          </cell>
          <cell r="E293">
            <v>2192670</v>
          </cell>
          <cell r="F293">
            <v>4876167</v>
          </cell>
          <cell r="G293">
            <v>7068837</v>
          </cell>
          <cell r="H293">
            <v>1090930</v>
          </cell>
        </row>
        <row r="294">
          <cell r="A294" t="str">
            <v>1156</v>
          </cell>
          <cell r="B294" t="str">
            <v>杉江　正継　　　</v>
          </cell>
          <cell r="C294">
            <v>1033610</v>
          </cell>
          <cell r="D294">
            <v>1173150</v>
          </cell>
          <cell r="E294">
            <v>2206760</v>
          </cell>
          <cell r="F294">
            <v>5593959</v>
          </cell>
          <cell r="G294">
            <v>7800719</v>
          </cell>
          <cell r="H294">
            <v>1037040</v>
          </cell>
        </row>
        <row r="295">
          <cell r="A295" t="str">
            <v>0735</v>
          </cell>
          <cell r="B295" t="str">
            <v>猶原　孝正　　　</v>
          </cell>
          <cell r="C295">
            <v>928530</v>
          </cell>
          <cell r="D295">
            <v>1171600</v>
          </cell>
          <cell r="E295">
            <v>2100130</v>
          </cell>
          <cell r="F295">
            <v>4742698</v>
          </cell>
          <cell r="G295">
            <v>6842828</v>
          </cell>
          <cell r="H295">
            <v>1003160</v>
          </cell>
        </row>
        <row r="296">
          <cell r="A296" t="str">
            <v>1487</v>
          </cell>
          <cell r="B296" t="str">
            <v>佐藤　隆　　　　</v>
          </cell>
          <cell r="C296">
            <v>1022340</v>
          </cell>
          <cell r="D296">
            <v>1171210</v>
          </cell>
          <cell r="E296">
            <v>2193550</v>
          </cell>
          <cell r="F296">
            <v>4599742</v>
          </cell>
          <cell r="G296">
            <v>6793292</v>
          </cell>
          <cell r="H296">
            <v>1071960</v>
          </cell>
        </row>
        <row r="297">
          <cell r="A297" t="str">
            <v>0576</v>
          </cell>
          <cell r="B297" t="str">
            <v>神代　良介　　　</v>
          </cell>
          <cell r="C297">
            <v>1017330</v>
          </cell>
          <cell r="D297">
            <v>1168130</v>
          </cell>
          <cell r="E297">
            <v>2185460</v>
          </cell>
          <cell r="F297">
            <v>5124039</v>
          </cell>
          <cell r="G297">
            <v>7309499</v>
          </cell>
          <cell r="H297">
            <v>1124930</v>
          </cell>
        </row>
        <row r="298">
          <cell r="A298" t="str">
            <v>0511</v>
          </cell>
          <cell r="B298" t="str">
            <v>阿部　武彦　　　</v>
          </cell>
          <cell r="C298">
            <v>979870</v>
          </cell>
          <cell r="D298">
            <v>1166250</v>
          </cell>
          <cell r="E298">
            <v>2146120</v>
          </cell>
          <cell r="F298">
            <v>5245208</v>
          </cell>
          <cell r="G298">
            <v>7391328</v>
          </cell>
          <cell r="H298">
            <v>1030940</v>
          </cell>
        </row>
        <row r="299">
          <cell r="A299" t="str">
            <v>1484</v>
          </cell>
          <cell r="B299" t="str">
            <v>小室　博　　　　</v>
          </cell>
          <cell r="C299">
            <v>954060</v>
          </cell>
          <cell r="D299">
            <v>1164480</v>
          </cell>
          <cell r="E299">
            <v>2118540</v>
          </cell>
          <cell r="F299">
            <v>3851589</v>
          </cell>
          <cell r="G299">
            <v>5970129</v>
          </cell>
          <cell r="H299">
            <v>1044510</v>
          </cell>
        </row>
        <row r="300">
          <cell r="A300" t="str">
            <v>1148</v>
          </cell>
          <cell r="B300" t="str">
            <v>神田　哲　　　　</v>
          </cell>
          <cell r="C300">
            <v>1028770</v>
          </cell>
          <cell r="D300">
            <v>1164360</v>
          </cell>
          <cell r="E300">
            <v>2193130</v>
          </cell>
          <cell r="F300">
            <v>4700173</v>
          </cell>
          <cell r="G300">
            <v>6893303</v>
          </cell>
          <cell r="H300">
            <v>1078560</v>
          </cell>
        </row>
        <row r="301">
          <cell r="A301" t="str">
            <v>1164</v>
          </cell>
          <cell r="B301" t="str">
            <v>中山　健一　　　</v>
          </cell>
          <cell r="C301">
            <v>1000930</v>
          </cell>
          <cell r="D301">
            <v>1163960</v>
          </cell>
          <cell r="E301">
            <v>2164890</v>
          </cell>
          <cell r="F301">
            <v>4710420</v>
          </cell>
          <cell r="G301">
            <v>6875310</v>
          </cell>
          <cell r="H301">
            <v>1084050</v>
          </cell>
        </row>
        <row r="302">
          <cell r="A302" t="str">
            <v>1316</v>
          </cell>
          <cell r="B302" t="str">
            <v>佐藤　政弘　　　</v>
          </cell>
          <cell r="C302">
            <v>1020930</v>
          </cell>
          <cell r="D302">
            <v>1160990</v>
          </cell>
          <cell r="E302">
            <v>2181920</v>
          </cell>
          <cell r="F302">
            <v>4599135</v>
          </cell>
          <cell r="G302">
            <v>6781055</v>
          </cell>
          <cell r="H302">
            <v>1021670</v>
          </cell>
        </row>
        <row r="303">
          <cell r="A303" t="str">
            <v>1513</v>
          </cell>
          <cell r="B303" t="str">
            <v>三橋　克也　　　</v>
          </cell>
          <cell r="C303">
            <v>1016270</v>
          </cell>
          <cell r="D303">
            <v>1160990</v>
          </cell>
          <cell r="E303">
            <v>2177260</v>
          </cell>
          <cell r="F303">
            <v>5505174</v>
          </cell>
          <cell r="G303">
            <v>7682434</v>
          </cell>
          <cell r="H303">
            <v>1080720</v>
          </cell>
        </row>
        <row r="304">
          <cell r="A304" t="str">
            <v>2345</v>
          </cell>
          <cell r="B304" t="str">
            <v>横澤　紀夫　　　</v>
          </cell>
          <cell r="C304">
            <v>987590</v>
          </cell>
          <cell r="D304">
            <v>1159030</v>
          </cell>
          <cell r="E304">
            <v>2146620</v>
          </cell>
          <cell r="F304">
            <v>4128080</v>
          </cell>
          <cell r="G304">
            <v>6274700</v>
          </cell>
          <cell r="H304">
            <v>1077240</v>
          </cell>
        </row>
        <row r="305">
          <cell r="A305" t="str">
            <v>1634</v>
          </cell>
          <cell r="B305" t="str">
            <v>小林　清美　　　</v>
          </cell>
          <cell r="C305">
            <v>1014780</v>
          </cell>
          <cell r="D305">
            <v>1158850</v>
          </cell>
          <cell r="E305">
            <v>2173630</v>
          </cell>
          <cell r="F305">
            <v>4573870</v>
          </cell>
          <cell r="G305">
            <v>6747500</v>
          </cell>
          <cell r="H305">
            <v>1039360</v>
          </cell>
        </row>
        <row r="306">
          <cell r="A306" t="str">
            <v>2055</v>
          </cell>
          <cell r="B306" t="str">
            <v>岩井　泰生　　　</v>
          </cell>
          <cell r="C306">
            <v>989980</v>
          </cell>
          <cell r="D306">
            <v>1158270</v>
          </cell>
          <cell r="E306">
            <v>2148250</v>
          </cell>
          <cell r="F306">
            <v>4253624</v>
          </cell>
          <cell r="G306">
            <v>6401874</v>
          </cell>
          <cell r="H306">
            <v>1019270</v>
          </cell>
        </row>
        <row r="307">
          <cell r="A307" t="str">
            <v>0269</v>
          </cell>
          <cell r="B307" t="str">
            <v>伊勢田　英彦　　</v>
          </cell>
          <cell r="C307">
            <v>1114210</v>
          </cell>
          <cell r="D307">
            <v>1157290</v>
          </cell>
          <cell r="E307">
            <v>2271500</v>
          </cell>
          <cell r="F307">
            <v>6176273</v>
          </cell>
          <cell r="G307">
            <v>8447773</v>
          </cell>
          <cell r="H307">
            <v>1392800</v>
          </cell>
        </row>
        <row r="308">
          <cell r="A308" t="str">
            <v>1850</v>
          </cell>
          <cell r="B308" t="str">
            <v>岡田　敏夫　　　</v>
          </cell>
          <cell r="C308">
            <v>1024220</v>
          </cell>
          <cell r="D308">
            <v>1156530</v>
          </cell>
          <cell r="E308">
            <v>2180750</v>
          </cell>
          <cell r="F308">
            <v>4499010</v>
          </cell>
          <cell r="G308">
            <v>6679760</v>
          </cell>
          <cell r="H308">
            <v>1058540</v>
          </cell>
        </row>
        <row r="309">
          <cell r="A309" t="str">
            <v>0740</v>
          </cell>
          <cell r="B309" t="str">
            <v>橋口　義人　　　</v>
          </cell>
          <cell r="C309">
            <v>964990</v>
          </cell>
          <cell r="D309">
            <v>1155890</v>
          </cell>
          <cell r="E309">
            <v>2120880</v>
          </cell>
          <cell r="F309">
            <v>4760040</v>
          </cell>
          <cell r="G309">
            <v>6880920</v>
          </cell>
          <cell r="H309">
            <v>1017180</v>
          </cell>
        </row>
        <row r="310">
          <cell r="A310" t="str">
            <v>1710</v>
          </cell>
          <cell r="B310" t="str">
            <v>山本　英嗣　　　</v>
          </cell>
          <cell r="C310">
            <v>1023590</v>
          </cell>
          <cell r="D310">
            <v>1155890</v>
          </cell>
          <cell r="E310">
            <v>2179480</v>
          </cell>
          <cell r="F310">
            <v>4734945</v>
          </cell>
          <cell r="G310">
            <v>6914425</v>
          </cell>
          <cell r="H310">
            <v>1017180</v>
          </cell>
        </row>
        <row r="311">
          <cell r="A311" t="str">
            <v>1296</v>
          </cell>
          <cell r="B311" t="str">
            <v>東　暁廣　　　　</v>
          </cell>
          <cell r="C311">
            <v>1028130</v>
          </cell>
          <cell r="D311">
            <v>1153520</v>
          </cell>
          <cell r="E311">
            <v>2181650</v>
          </cell>
          <cell r="F311">
            <v>4362554</v>
          </cell>
          <cell r="G311">
            <v>6544204</v>
          </cell>
          <cell r="H311">
            <v>1057080</v>
          </cell>
        </row>
        <row r="312">
          <cell r="A312" t="str">
            <v>0705</v>
          </cell>
          <cell r="B312" t="str">
            <v>大本　豊　　　　</v>
          </cell>
          <cell r="C312">
            <v>890650</v>
          </cell>
          <cell r="D312">
            <v>1153050</v>
          </cell>
          <cell r="E312">
            <v>2043700</v>
          </cell>
          <cell r="F312">
            <v>4540273</v>
          </cell>
          <cell r="G312">
            <v>6583973</v>
          </cell>
          <cell r="H312">
            <v>1107590</v>
          </cell>
        </row>
        <row r="313">
          <cell r="A313" t="str">
            <v>2760</v>
          </cell>
          <cell r="B313" t="str">
            <v>大崎　士郎　　　</v>
          </cell>
          <cell r="C313">
            <v>1030750</v>
          </cell>
          <cell r="D313">
            <v>1151430</v>
          </cell>
          <cell r="E313">
            <v>2182180</v>
          </cell>
          <cell r="F313">
            <v>5573489</v>
          </cell>
          <cell r="G313">
            <v>7755669</v>
          </cell>
          <cell r="H313">
            <v>1028600</v>
          </cell>
        </row>
        <row r="314">
          <cell r="A314" t="str">
            <v>1465</v>
          </cell>
          <cell r="B314" t="str">
            <v>井上　秀昭　　　</v>
          </cell>
          <cell r="C314">
            <v>937130</v>
          </cell>
          <cell r="D314">
            <v>1150780</v>
          </cell>
          <cell r="E314">
            <v>2087910</v>
          </cell>
          <cell r="F314">
            <v>4501726</v>
          </cell>
          <cell r="G314">
            <v>6589636</v>
          </cell>
          <cell r="H314">
            <v>1053290</v>
          </cell>
        </row>
        <row r="315">
          <cell r="A315" t="str">
            <v>1747</v>
          </cell>
          <cell r="B315" t="str">
            <v>渡辺　晃　　　　</v>
          </cell>
          <cell r="C315">
            <v>957230</v>
          </cell>
          <cell r="D315">
            <v>1148590</v>
          </cell>
          <cell r="E315">
            <v>2105820</v>
          </cell>
          <cell r="F315">
            <v>4193123</v>
          </cell>
          <cell r="G315">
            <v>6298943</v>
          </cell>
          <cell r="H315">
            <v>1030490</v>
          </cell>
        </row>
        <row r="316">
          <cell r="A316" t="str">
            <v>1002</v>
          </cell>
          <cell r="B316" t="str">
            <v>垣添　芳也　　　</v>
          </cell>
          <cell r="C316">
            <v>1013870</v>
          </cell>
          <cell r="D316">
            <v>1147840</v>
          </cell>
          <cell r="E316">
            <v>2161710</v>
          </cell>
          <cell r="F316">
            <v>4611159</v>
          </cell>
          <cell r="G316">
            <v>6772869</v>
          </cell>
          <cell r="H316">
            <v>1049450</v>
          </cell>
        </row>
        <row r="317">
          <cell r="A317" t="str">
            <v>2343</v>
          </cell>
          <cell r="B317" t="str">
            <v>足立　吉平　　　</v>
          </cell>
          <cell r="C317">
            <v>1047680</v>
          </cell>
          <cell r="D317">
            <v>1147130</v>
          </cell>
          <cell r="E317">
            <v>2194810</v>
          </cell>
          <cell r="F317">
            <v>4815379</v>
          </cell>
          <cell r="G317">
            <v>7010189</v>
          </cell>
          <cell r="H317">
            <v>1056510</v>
          </cell>
        </row>
        <row r="318">
          <cell r="A318" t="str">
            <v>1176</v>
          </cell>
          <cell r="B318" t="str">
            <v>細川　博史　　　</v>
          </cell>
          <cell r="C318">
            <v>1052310</v>
          </cell>
          <cell r="D318">
            <v>1143690</v>
          </cell>
          <cell r="E318">
            <v>2196000</v>
          </cell>
          <cell r="F318">
            <v>4664698</v>
          </cell>
          <cell r="G318">
            <v>6860698</v>
          </cell>
          <cell r="H318">
            <v>1011010</v>
          </cell>
        </row>
        <row r="319">
          <cell r="A319" t="str">
            <v>0400</v>
          </cell>
          <cell r="B319" t="str">
            <v>大内山　優美　　</v>
          </cell>
          <cell r="C319">
            <v>1003510</v>
          </cell>
          <cell r="D319">
            <v>1143310</v>
          </cell>
          <cell r="E319">
            <v>2146820</v>
          </cell>
          <cell r="F319">
            <v>4984798</v>
          </cell>
          <cell r="G319">
            <v>7131618</v>
          </cell>
          <cell r="H319">
            <v>1100050</v>
          </cell>
        </row>
        <row r="320">
          <cell r="A320" t="str">
            <v>2344</v>
          </cell>
          <cell r="B320" t="str">
            <v>照岡　栄　　　　</v>
          </cell>
          <cell r="C320">
            <v>1030820</v>
          </cell>
          <cell r="D320">
            <v>1143310</v>
          </cell>
          <cell r="E320">
            <v>2174130</v>
          </cell>
          <cell r="F320">
            <v>4872247</v>
          </cell>
          <cell r="G320">
            <v>7046377</v>
          </cell>
          <cell r="H320">
            <v>1048940</v>
          </cell>
        </row>
        <row r="321">
          <cell r="A321" t="str">
            <v>2309</v>
          </cell>
          <cell r="B321" t="str">
            <v>田中　健一郎　　</v>
          </cell>
          <cell r="C321">
            <v>945060</v>
          </cell>
          <cell r="D321">
            <v>1143300</v>
          </cell>
          <cell r="E321">
            <v>2088360</v>
          </cell>
          <cell r="F321">
            <v>4542510</v>
          </cell>
          <cell r="G321">
            <v>6630870</v>
          </cell>
          <cell r="H321">
            <v>969840</v>
          </cell>
        </row>
        <row r="322">
          <cell r="A322" t="str">
            <v>1318</v>
          </cell>
          <cell r="B322" t="str">
            <v>篠　敏英　　　　</v>
          </cell>
          <cell r="C322">
            <v>1015000</v>
          </cell>
          <cell r="D322">
            <v>1142130</v>
          </cell>
          <cell r="E322">
            <v>2157130</v>
          </cell>
          <cell r="F322">
            <v>4763465</v>
          </cell>
          <cell r="G322">
            <v>6920595</v>
          </cell>
          <cell r="H322">
            <v>1009630</v>
          </cell>
        </row>
        <row r="323">
          <cell r="A323" t="str">
            <v>1321</v>
          </cell>
          <cell r="B323" t="str">
            <v>高倉　鉄也　　　</v>
          </cell>
          <cell r="C323">
            <v>1015000</v>
          </cell>
          <cell r="D323">
            <v>1139440</v>
          </cell>
          <cell r="E323">
            <v>2154440</v>
          </cell>
          <cell r="F323">
            <v>4895377</v>
          </cell>
          <cell r="G323">
            <v>7049817</v>
          </cell>
          <cell r="H323">
            <v>1044180</v>
          </cell>
        </row>
        <row r="324">
          <cell r="A324" t="str">
            <v>1162</v>
          </cell>
          <cell r="B324" t="str">
            <v>津田　圭二　　　</v>
          </cell>
          <cell r="C324">
            <v>1002700</v>
          </cell>
          <cell r="D324">
            <v>1138250</v>
          </cell>
          <cell r="E324">
            <v>2140950</v>
          </cell>
          <cell r="F324">
            <v>4925452</v>
          </cell>
          <cell r="G324">
            <v>7066402</v>
          </cell>
          <cell r="H324">
            <v>1027220</v>
          </cell>
        </row>
        <row r="325">
          <cell r="A325" t="str">
            <v>1311</v>
          </cell>
          <cell r="B325" t="str">
            <v>児玉　明彦　　　</v>
          </cell>
          <cell r="C325">
            <v>972030</v>
          </cell>
          <cell r="D325">
            <v>1137850</v>
          </cell>
          <cell r="E325">
            <v>2109880</v>
          </cell>
          <cell r="F325">
            <v>4338193</v>
          </cell>
          <cell r="G325">
            <v>6448073</v>
          </cell>
          <cell r="H325">
            <v>1001300</v>
          </cell>
        </row>
        <row r="326">
          <cell r="A326" t="str">
            <v>0966</v>
          </cell>
          <cell r="B326" t="str">
            <v>茨木　元治　　　</v>
          </cell>
          <cell r="C326">
            <v>1018140</v>
          </cell>
          <cell r="D326">
            <v>1136260</v>
          </cell>
          <cell r="E326">
            <v>2154400</v>
          </cell>
          <cell r="F326">
            <v>4663449</v>
          </cell>
          <cell r="G326">
            <v>6817849</v>
          </cell>
          <cell r="H326">
            <v>1042480</v>
          </cell>
        </row>
        <row r="327">
          <cell r="A327" t="str">
            <v>1515</v>
          </cell>
          <cell r="B327" t="str">
            <v>安則　和彦　　　</v>
          </cell>
          <cell r="C327">
            <v>994490</v>
          </cell>
          <cell r="D327">
            <v>1134530</v>
          </cell>
          <cell r="E327">
            <v>2129020</v>
          </cell>
          <cell r="F327">
            <v>4913565</v>
          </cell>
          <cell r="G327">
            <v>7042585</v>
          </cell>
          <cell r="H327">
            <v>1039680</v>
          </cell>
        </row>
        <row r="328">
          <cell r="A328" t="str">
            <v>1298</v>
          </cell>
          <cell r="B328" t="str">
            <v>安藤　幸二　　　</v>
          </cell>
          <cell r="C328">
            <v>1051630</v>
          </cell>
          <cell r="D328">
            <v>1134530</v>
          </cell>
          <cell r="E328">
            <v>2186160</v>
          </cell>
          <cell r="F328">
            <v>4559473</v>
          </cell>
          <cell r="G328">
            <v>6745633</v>
          </cell>
          <cell r="H328">
            <v>1039680</v>
          </cell>
        </row>
        <row r="329">
          <cell r="A329" t="str">
            <v>0622</v>
          </cell>
          <cell r="B329" t="str">
            <v>新才　俊行　　　</v>
          </cell>
          <cell r="C329">
            <v>1032390</v>
          </cell>
          <cell r="D329">
            <v>1133910</v>
          </cell>
          <cell r="E329">
            <v>2166300</v>
          </cell>
          <cell r="F329">
            <v>5710940</v>
          </cell>
          <cell r="G329">
            <v>7877240</v>
          </cell>
          <cell r="H329">
            <v>1053040</v>
          </cell>
        </row>
        <row r="330">
          <cell r="A330" t="str">
            <v>2165</v>
          </cell>
          <cell r="B330" t="str">
            <v>土居　宏志　　　</v>
          </cell>
          <cell r="C330">
            <v>996380</v>
          </cell>
          <cell r="D330">
            <v>1132360</v>
          </cell>
          <cell r="E330">
            <v>2128740</v>
          </cell>
          <cell r="F330">
            <v>4613064</v>
          </cell>
          <cell r="G330">
            <v>6741804</v>
          </cell>
          <cell r="H330">
            <v>1037690</v>
          </cell>
        </row>
        <row r="331">
          <cell r="A331" t="str">
            <v>0401</v>
          </cell>
          <cell r="B331" t="str">
            <v>小山　清住　　　</v>
          </cell>
          <cell r="C331">
            <v>1028090</v>
          </cell>
          <cell r="D331">
            <v>1130660</v>
          </cell>
          <cell r="E331">
            <v>2158750</v>
          </cell>
          <cell r="F331">
            <v>4764300</v>
          </cell>
          <cell r="G331">
            <v>6923050</v>
          </cell>
          <cell r="H331">
            <v>1052600</v>
          </cell>
        </row>
        <row r="332">
          <cell r="A332" t="str">
            <v>2887</v>
          </cell>
          <cell r="B332" t="str">
            <v>長谷川　豐秋　　</v>
          </cell>
          <cell r="C332">
            <v>976340</v>
          </cell>
          <cell r="D332">
            <v>1130140</v>
          </cell>
          <cell r="E332">
            <v>2106480</v>
          </cell>
          <cell r="F332">
            <v>5040882</v>
          </cell>
          <cell r="G332">
            <v>7147362</v>
          </cell>
          <cell r="H332">
            <v>1028360</v>
          </cell>
        </row>
        <row r="333">
          <cell r="A333" t="str">
            <v>0853</v>
          </cell>
          <cell r="B333" t="str">
            <v>吉村　晋一郎　　</v>
          </cell>
          <cell r="C333">
            <v>960080</v>
          </cell>
          <cell r="D333">
            <v>1129500</v>
          </cell>
          <cell r="E333">
            <v>2089580</v>
          </cell>
          <cell r="F333">
            <v>4535611</v>
          </cell>
          <cell r="G333">
            <v>6625191</v>
          </cell>
          <cell r="H333">
            <v>1035060</v>
          </cell>
        </row>
        <row r="334">
          <cell r="A334" t="str">
            <v>2004</v>
          </cell>
          <cell r="B334" t="str">
            <v>河村　雅典　　　</v>
          </cell>
          <cell r="C334">
            <v>1009900</v>
          </cell>
          <cell r="D334">
            <v>1129350</v>
          </cell>
          <cell r="E334">
            <v>2139250</v>
          </cell>
          <cell r="F334">
            <v>5045624</v>
          </cell>
          <cell r="G334">
            <v>7184874</v>
          </cell>
          <cell r="H334">
            <v>1013590</v>
          </cell>
        </row>
        <row r="335">
          <cell r="A335" t="str">
            <v>0416</v>
          </cell>
          <cell r="B335" t="str">
            <v>堀池　仁孝　　　</v>
          </cell>
          <cell r="C335">
            <v>812540</v>
          </cell>
          <cell r="D335">
            <v>1126870</v>
          </cell>
          <cell r="E335">
            <v>1939410</v>
          </cell>
          <cell r="F335">
            <v>4804758</v>
          </cell>
          <cell r="G335">
            <v>6744168</v>
          </cell>
          <cell r="H335">
            <v>1087530</v>
          </cell>
        </row>
        <row r="336">
          <cell r="A336" t="str">
            <v>0746</v>
          </cell>
          <cell r="B336" t="str">
            <v>飯田　政一　　　</v>
          </cell>
          <cell r="C336">
            <v>1006640</v>
          </cell>
          <cell r="D336">
            <v>1125320</v>
          </cell>
          <cell r="E336">
            <v>2131960</v>
          </cell>
          <cell r="F336">
            <v>4586066</v>
          </cell>
          <cell r="G336">
            <v>6718026</v>
          </cell>
          <cell r="H336">
            <v>1031230</v>
          </cell>
        </row>
        <row r="337">
          <cell r="A337" t="str">
            <v>0977</v>
          </cell>
          <cell r="B337" t="str">
            <v>芝　文男　　　　</v>
          </cell>
          <cell r="C337">
            <v>1020930</v>
          </cell>
          <cell r="D337">
            <v>1124700</v>
          </cell>
          <cell r="E337">
            <v>2145630</v>
          </cell>
          <cell r="F337">
            <v>4821818</v>
          </cell>
          <cell r="G337">
            <v>6967448</v>
          </cell>
          <cell r="H337">
            <v>1090080</v>
          </cell>
        </row>
        <row r="338">
          <cell r="A338" t="str">
            <v>0619</v>
          </cell>
          <cell r="B338" t="str">
            <v>池田　幸博　　　</v>
          </cell>
          <cell r="C338">
            <v>877920</v>
          </cell>
          <cell r="D338">
            <v>1122230</v>
          </cell>
          <cell r="E338">
            <v>2000150</v>
          </cell>
          <cell r="F338">
            <v>4555368</v>
          </cell>
          <cell r="G338">
            <v>6555518</v>
          </cell>
          <cell r="H338">
            <v>1008070</v>
          </cell>
        </row>
        <row r="339">
          <cell r="A339" t="str">
            <v>1846</v>
          </cell>
          <cell r="B339" t="str">
            <v>池田　浩巳　　　</v>
          </cell>
          <cell r="C339">
            <v>871590</v>
          </cell>
          <cell r="D339">
            <v>1121360</v>
          </cell>
          <cell r="E339">
            <v>1992950</v>
          </cell>
          <cell r="F339">
            <v>4266312</v>
          </cell>
          <cell r="G339">
            <v>6259262</v>
          </cell>
          <cell r="H339">
            <v>989360</v>
          </cell>
        </row>
        <row r="340">
          <cell r="A340" t="str">
            <v>1697</v>
          </cell>
          <cell r="B340" t="str">
            <v>加倉井　清三郎　</v>
          </cell>
          <cell r="C340">
            <v>847080</v>
          </cell>
          <cell r="D340">
            <v>1120800</v>
          </cell>
          <cell r="E340">
            <v>1967880</v>
          </cell>
          <cell r="F340">
            <v>4433801</v>
          </cell>
          <cell r="G340">
            <v>6401681</v>
          </cell>
          <cell r="H340">
            <v>1117380</v>
          </cell>
        </row>
        <row r="341">
          <cell r="A341" t="str">
            <v>1602</v>
          </cell>
          <cell r="B341" t="str">
            <v>平川　東光　　　</v>
          </cell>
          <cell r="C341">
            <v>957230</v>
          </cell>
          <cell r="D341">
            <v>1120790</v>
          </cell>
          <cell r="E341">
            <v>2078020</v>
          </cell>
          <cell r="F341">
            <v>4521435</v>
          </cell>
          <cell r="G341">
            <v>6599455</v>
          </cell>
          <cell r="H341">
            <v>1025820</v>
          </cell>
        </row>
        <row r="342">
          <cell r="A342" t="str">
            <v>2312</v>
          </cell>
          <cell r="B342" t="str">
            <v>樽木　利夫　　　</v>
          </cell>
          <cell r="C342">
            <v>985760</v>
          </cell>
          <cell r="D342">
            <v>1116800</v>
          </cell>
          <cell r="E342">
            <v>2102560</v>
          </cell>
          <cell r="F342">
            <v>5322396</v>
          </cell>
          <cell r="G342">
            <v>7424956</v>
          </cell>
          <cell r="H342">
            <v>1038820</v>
          </cell>
        </row>
        <row r="343">
          <cell r="A343" t="str">
            <v>2096</v>
          </cell>
          <cell r="B343" t="str">
            <v>森谷　邦男　　　</v>
          </cell>
          <cell r="C343">
            <v>913590</v>
          </cell>
          <cell r="D343">
            <v>1116800</v>
          </cell>
          <cell r="E343">
            <v>2030390</v>
          </cell>
          <cell r="F343">
            <v>4152072</v>
          </cell>
          <cell r="G343">
            <v>6182462</v>
          </cell>
          <cell r="H343">
            <v>947380</v>
          </cell>
        </row>
        <row r="344">
          <cell r="A344" t="str">
            <v>1495</v>
          </cell>
          <cell r="B344" t="str">
            <v>十河　恒人　　　</v>
          </cell>
          <cell r="C344">
            <v>974190</v>
          </cell>
          <cell r="D344">
            <v>1115690</v>
          </cell>
          <cell r="E344">
            <v>2089880</v>
          </cell>
          <cell r="F344">
            <v>4379476</v>
          </cell>
          <cell r="G344">
            <v>6469356</v>
          </cell>
          <cell r="H344">
            <v>965360</v>
          </cell>
        </row>
        <row r="345">
          <cell r="A345" t="str">
            <v>2157</v>
          </cell>
          <cell r="B345" t="str">
            <v>今村　進　　　　</v>
          </cell>
          <cell r="C345">
            <v>964990</v>
          </cell>
          <cell r="D345">
            <v>1114880</v>
          </cell>
          <cell r="E345">
            <v>2079870</v>
          </cell>
          <cell r="F345">
            <v>4541265</v>
          </cell>
          <cell r="G345">
            <v>6621135</v>
          </cell>
          <cell r="H345">
            <v>985540</v>
          </cell>
        </row>
        <row r="346">
          <cell r="A346" t="str">
            <v>1330</v>
          </cell>
          <cell r="B346" t="str">
            <v>中元　靖夫　　　</v>
          </cell>
          <cell r="C346">
            <v>938980</v>
          </cell>
          <cell r="D346">
            <v>1114880</v>
          </cell>
          <cell r="E346">
            <v>2053860</v>
          </cell>
          <cell r="F346">
            <v>4589197</v>
          </cell>
          <cell r="G346">
            <v>6643057</v>
          </cell>
          <cell r="H346">
            <v>1021670</v>
          </cell>
        </row>
        <row r="347">
          <cell r="A347" t="str">
            <v>1521</v>
          </cell>
          <cell r="B347" t="str">
            <v>和田　裕基　　　</v>
          </cell>
          <cell r="C347">
            <v>947010</v>
          </cell>
          <cell r="D347">
            <v>1112310</v>
          </cell>
          <cell r="E347">
            <v>2059320</v>
          </cell>
          <cell r="F347">
            <v>4199920</v>
          </cell>
          <cell r="G347">
            <v>6259240</v>
          </cell>
          <cell r="H347">
            <v>978820</v>
          </cell>
        </row>
        <row r="348">
          <cell r="A348" t="str">
            <v>1086</v>
          </cell>
          <cell r="B348" t="str">
            <v>竹村　守　　　　</v>
          </cell>
          <cell r="C348">
            <v>983510</v>
          </cell>
          <cell r="D348">
            <v>1112040</v>
          </cell>
          <cell r="E348">
            <v>2095550</v>
          </cell>
          <cell r="F348">
            <v>4752247</v>
          </cell>
          <cell r="G348">
            <v>6847797</v>
          </cell>
          <cell r="H348">
            <v>1020260</v>
          </cell>
        </row>
        <row r="349">
          <cell r="A349" t="str">
            <v>0523</v>
          </cell>
          <cell r="B349" t="str">
            <v>中　修一　　　　</v>
          </cell>
          <cell r="C349">
            <v>1073490</v>
          </cell>
          <cell r="D349">
            <v>1111970</v>
          </cell>
          <cell r="E349">
            <v>2185460</v>
          </cell>
          <cell r="F349">
            <v>5304508</v>
          </cell>
          <cell r="G349">
            <v>7489968</v>
          </cell>
          <cell r="H349">
            <v>1074920</v>
          </cell>
        </row>
        <row r="350">
          <cell r="A350" t="str">
            <v>0585</v>
          </cell>
          <cell r="B350" t="str">
            <v>赤部　達也　　　</v>
          </cell>
          <cell r="C350">
            <v>929620</v>
          </cell>
          <cell r="D350">
            <v>1110600</v>
          </cell>
          <cell r="E350">
            <v>2040220</v>
          </cell>
          <cell r="F350">
            <v>4239035</v>
          </cell>
          <cell r="G350">
            <v>6279255</v>
          </cell>
          <cell r="H350">
            <v>1014770</v>
          </cell>
        </row>
        <row r="351">
          <cell r="A351" t="str">
            <v>0411</v>
          </cell>
          <cell r="B351" t="str">
            <v>角　忠直　　　　</v>
          </cell>
          <cell r="C351">
            <v>1004630</v>
          </cell>
          <cell r="D351">
            <v>1110280</v>
          </cell>
          <cell r="E351">
            <v>2114910</v>
          </cell>
          <cell r="F351">
            <v>4747595</v>
          </cell>
          <cell r="G351">
            <v>6862505</v>
          </cell>
          <cell r="H351">
            <v>965310</v>
          </cell>
        </row>
        <row r="352">
          <cell r="A352" t="str">
            <v>0156</v>
          </cell>
          <cell r="B352" t="str">
            <v>木村　恵昭　　　</v>
          </cell>
          <cell r="C352">
            <v>1053530</v>
          </cell>
          <cell r="D352">
            <v>1108360</v>
          </cell>
          <cell r="E352">
            <v>2161890</v>
          </cell>
          <cell r="F352">
            <v>5337657</v>
          </cell>
          <cell r="G352">
            <v>7499547</v>
          </cell>
          <cell r="H352">
            <v>1082500</v>
          </cell>
        </row>
        <row r="353">
          <cell r="A353" t="str">
            <v>1640</v>
          </cell>
          <cell r="B353" t="str">
            <v>斎藤　光夫　　　</v>
          </cell>
          <cell r="C353">
            <v>952810</v>
          </cell>
          <cell r="D353">
            <v>1107350</v>
          </cell>
          <cell r="E353">
            <v>2060160</v>
          </cell>
          <cell r="F353">
            <v>4557813</v>
          </cell>
          <cell r="G353">
            <v>6617973</v>
          </cell>
          <cell r="H353">
            <v>1014780</v>
          </cell>
        </row>
        <row r="354">
          <cell r="A354" t="str">
            <v>1711</v>
          </cell>
          <cell r="B354" t="str">
            <v>井上　光雄　　　</v>
          </cell>
          <cell r="C354">
            <v>945060</v>
          </cell>
          <cell r="D354">
            <v>1107200</v>
          </cell>
          <cell r="E354">
            <v>2052260</v>
          </cell>
          <cell r="F354">
            <v>4183462</v>
          </cell>
          <cell r="G354">
            <v>6235722</v>
          </cell>
          <cell r="H354">
            <v>1030490</v>
          </cell>
        </row>
        <row r="355">
          <cell r="A355" t="str">
            <v>0477</v>
          </cell>
          <cell r="B355" t="str">
            <v>福家　稔　　　　</v>
          </cell>
          <cell r="C355">
            <v>995250</v>
          </cell>
          <cell r="D355">
            <v>1105930</v>
          </cell>
          <cell r="E355">
            <v>2101180</v>
          </cell>
          <cell r="F355">
            <v>4810612</v>
          </cell>
          <cell r="G355">
            <v>6911792</v>
          </cell>
          <cell r="H355">
            <v>1058660</v>
          </cell>
        </row>
        <row r="356">
          <cell r="A356" t="str">
            <v>0693</v>
          </cell>
          <cell r="B356" t="str">
            <v>竹島　設夫　　　</v>
          </cell>
          <cell r="C356">
            <v>1009320</v>
          </cell>
          <cell r="D356">
            <v>1102460</v>
          </cell>
          <cell r="E356">
            <v>2111780</v>
          </cell>
          <cell r="F356">
            <v>4631625</v>
          </cell>
          <cell r="G356">
            <v>6743405</v>
          </cell>
          <cell r="H356">
            <v>1011470</v>
          </cell>
        </row>
        <row r="357">
          <cell r="A357" t="str">
            <v>1473</v>
          </cell>
          <cell r="B357" t="str">
            <v>岡田　弘法　　　</v>
          </cell>
          <cell r="C357">
            <v>945780</v>
          </cell>
          <cell r="D357">
            <v>1102460</v>
          </cell>
          <cell r="E357">
            <v>2048240</v>
          </cell>
          <cell r="F357">
            <v>4647106</v>
          </cell>
          <cell r="G357">
            <v>6695346</v>
          </cell>
          <cell r="H357">
            <v>1026740</v>
          </cell>
        </row>
        <row r="358">
          <cell r="A358" t="str">
            <v>0638</v>
          </cell>
          <cell r="B358" t="str">
            <v>芳賀　治　　　　</v>
          </cell>
          <cell r="C358">
            <v>980430</v>
          </cell>
          <cell r="D358">
            <v>1102360</v>
          </cell>
          <cell r="E358">
            <v>2082790</v>
          </cell>
          <cell r="F358">
            <v>4555802</v>
          </cell>
          <cell r="G358">
            <v>6638592</v>
          </cell>
          <cell r="H358">
            <v>1050680</v>
          </cell>
        </row>
        <row r="359">
          <cell r="A359" t="str">
            <v>0994</v>
          </cell>
          <cell r="B359" t="str">
            <v>高松　悦司　　　</v>
          </cell>
          <cell r="C359">
            <v>987250</v>
          </cell>
          <cell r="D359">
            <v>1101950</v>
          </cell>
          <cell r="E359">
            <v>2089200</v>
          </cell>
          <cell r="F359">
            <v>4702099</v>
          </cell>
          <cell r="G359">
            <v>6791299</v>
          </cell>
          <cell r="H359">
            <v>1046100</v>
          </cell>
        </row>
        <row r="360">
          <cell r="A360" t="str">
            <v>1271</v>
          </cell>
          <cell r="B360" t="str">
            <v>佐藤　誠宏　　　</v>
          </cell>
          <cell r="C360">
            <v>938750</v>
          </cell>
          <cell r="D360">
            <v>1098460</v>
          </cell>
          <cell r="E360">
            <v>2037210</v>
          </cell>
          <cell r="F360">
            <v>4432449</v>
          </cell>
          <cell r="G360">
            <v>6469659</v>
          </cell>
          <cell r="H360">
            <v>958540</v>
          </cell>
        </row>
        <row r="361">
          <cell r="A361" t="str">
            <v>1344</v>
          </cell>
          <cell r="B361" t="str">
            <v>松田　文夫　　　</v>
          </cell>
          <cell r="C361">
            <v>1015000</v>
          </cell>
          <cell r="D361">
            <v>1097860</v>
          </cell>
          <cell r="E361">
            <v>2112860</v>
          </cell>
          <cell r="F361">
            <v>4886123</v>
          </cell>
          <cell r="G361">
            <v>6998983</v>
          </cell>
          <cell r="H361">
            <v>1007250</v>
          </cell>
        </row>
        <row r="362">
          <cell r="A362" t="str">
            <v>1121</v>
          </cell>
          <cell r="B362" t="str">
            <v>平間　幸雄　　　</v>
          </cell>
          <cell r="C362">
            <v>951980</v>
          </cell>
          <cell r="D362">
            <v>1097530</v>
          </cell>
          <cell r="E362">
            <v>2049510</v>
          </cell>
          <cell r="F362">
            <v>4704808</v>
          </cell>
          <cell r="G362">
            <v>6754318</v>
          </cell>
          <cell r="H362">
            <v>1006930</v>
          </cell>
        </row>
        <row r="363">
          <cell r="A363" t="str">
            <v>1300</v>
          </cell>
          <cell r="B363" t="str">
            <v>岩橋　俊樹　　　</v>
          </cell>
          <cell r="C363">
            <v>906790</v>
          </cell>
          <cell r="D363">
            <v>1096980</v>
          </cell>
          <cell r="E363">
            <v>2003770</v>
          </cell>
          <cell r="F363">
            <v>4197960</v>
          </cell>
          <cell r="G363">
            <v>6201730</v>
          </cell>
          <cell r="H363">
            <v>981800</v>
          </cell>
        </row>
        <row r="364">
          <cell r="A364" t="str">
            <v>0737</v>
          </cell>
          <cell r="B364" t="str">
            <v>天野　裕二　　　</v>
          </cell>
          <cell r="C364">
            <v>973590</v>
          </cell>
          <cell r="D364">
            <v>1096850</v>
          </cell>
          <cell r="E364">
            <v>2070440</v>
          </cell>
          <cell r="F364">
            <v>4467526</v>
          </cell>
          <cell r="G364">
            <v>6537966</v>
          </cell>
          <cell r="H364">
            <v>1054290</v>
          </cell>
        </row>
        <row r="365">
          <cell r="A365" t="str">
            <v>1356</v>
          </cell>
          <cell r="B365" t="str">
            <v>渡辺　憲治　　　</v>
          </cell>
          <cell r="C365">
            <v>871770</v>
          </cell>
          <cell r="D365">
            <v>1095270</v>
          </cell>
          <cell r="E365">
            <v>1967040</v>
          </cell>
          <cell r="F365">
            <v>4549236</v>
          </cell>
          <cell r="G365">
            <v>6516276</v>
          </cell>
          <cell r="H365">
            <v>1043930</v>
          </cell>
        </row>
        <row r="366">
          <cell r="A366" t="str">
            <v>1906</v>
          </cell>
          <cell r="B366" t="str">
            <v>服部　治正　　　</v>
          </cell>
          <cell r="C366">
            <v>827050</v>
          </cell>
          <cell r="D366">
            <v>1093830</v>
          </cell>
          <cell r="E366">
            <v>1920880</v>
          </cell>
          <cell r="F366">
            <v>3986080</v>
          </cell>
          <cell r="G366">
            <v>5906960</v>
          </cell>
          <cell r="H366">
            <v>965070</v>
          </cell>
        </row>
        <row r="367">
          <cell r="A367" t="str">
            <v>1172</v>
          </cell>
          <cell r="B367" t="str">
            <v>藤村　勝行　　　</v>
          </cell>
          <cell r="C367">
            <v>1003460</v>
          </cell>
          <cell r="D367">
            <v>1093130</v>
          </cell>
          <cell r="E367">
            <v>2096590</v>
          </cell>
          <cell r="F367">
            <v>4615334</v>
          </cell>
          <cell r="G367">
            <v>6711924</v>
          </cell>
          <cell r="H367">
            <v>1057080</v>
          </cell>
        </row>
        <row r="368">
          <cell r="A368" t="str">
            <v>1731</v>
          </cell>
          <cell r="B368" t="str">
            <v>難波　俊夫　　　</v>
          </cell>
          <cell r="C368">
            <v>1011590</v>
          </cell>
          <cell r="D368">
            <v>1092660</v>
          </cell>
          <cell r="E368">
            <v>2104250</v>
          </cell>
          <cell r="F368">
            <v>4539239</v>
          </cell>
          <cell r="G368">
            <v>6643489</v>
          </cell>
          <cell r="H368">
            <v>1058540</v>
          </cell>
        </row>
        <row r="369">
          <cell r="A369" t="str">
            <v>1497</v>
          </cell>
          <cell r="B369" t="str">
            <v>高橋　孝治　　　</v>
          </cell>
          <cell r="C369">
            <v>988690</v>
          </cell>
          <cell r="D369">
            <v>1092660</v>
          </cell>
          <cell r="E369">
            <v>2081350</v>
          </cell>
          <cell r="F369">
            <v>4753188</v>
          </cell>
          <cell r="G369">
            <v>6834538</v>
          </cell>
          <cell r="H369">
            <v>1041430</v>
          </cell>
        </row>
        <row r="370">
          <cell r="A370" t="str">
            <v>0285</v>
          </cell>
          <cell r="B370" t="str">
            <v>佐野　正七　　　</v>
          </cell>
          <cell r="C370">
            <v>935870</v>
          </cell>
          <cell r="D370">
            <v>1092340</v>
          </cell>
          <cell r="E370">
            <v>2028210</v>
          </cell>
          <cell r="F370">
            <v>4948351</v>
          </cell>
          <cell r="G370">
            <v>6976561</v>
          </cell>
          <cell r="H370">
            <v>935430</v>
          </cell>
        </row>
        <row r="371">
          <cell r="A371" t="str">
            <v>1500</v>
          </cell>
          <cell r="B371" t="str">
            <v>中島　茂生　　　</v>
          </cell>
          <cell r="C371">
            <v>935160</v>
          </cell>
          <cell r="D371">
            <v>1091740</v>
          </cell>
          <cell r="E371">
            <v>2026900</v>
          </cell>
          <cell r="F371">
            <v>3755175</v>
          </cell>
          <cell r="G371">
            <v>5782075</v>
          </cell>
          <cell r="H371">
            <v>1049450</v>
          </cell>
        </row>
        <row r="372">
          <cell r="A372" t="str">
            <v>0394</v>
          </cell>
          <cell r="B372" t="str">
            <v>日野山　泰弘　　</v>
          </cell>
          <cell r="C372">
            <v>954110</v>
          </cell>
          <cell r="D372">
            <v>1091340</v>
          </cell>
          <cell r="E372">
            <v>2045450</v>
          </cell>
          <cell r="F372">
            <v>4769291</v>
          </cell>
          <cell r="G372">
            <v>6814741</v>
          </cell>
          <cell r="H372">
            <v>1013470</v>
          </cell>
        </row>
        <row r="373">
          <cell r="A373" t="str">
            <v>0971</v>
          </cell>
          <cell r="B373" t="str">
            <v>岡田　淳史　　　</v>
          </cell>
          <cell r="C373">
            <v>976110</v>
          </cell>
          <cell r="D373">
            <v>1090610</v>
          </cell>
          <cell r="E373">
            <v>2066720</v>
          </cell>
          <cell r="F373">
            <v>4683450</v>
          </cell>
          <cell r="G373">
            <v>6750170</v>
          </cell>
          <cell r="H373">
            <v>1016460</v>
          </cell>
        </row>
        <row r="374">
          <cell r="A374" t="str">
            <v>2085</v>
          </cell>
          <cell r="B374" t="str">
            <v>山崎　修　　　　</v>
          </cell>
          <cell r="C374">
            <v>850610</v>
          </cell>
          <cell r="D374">
            <v>1090320</v>
          </cell>
          <cell r="E374">
            <v>1940930</v>
          </cell>
          <cell r="F374">
            <v>4007003</v>
          </cell>
          <cell r="G374">
            <v>5947933</v>
          </cell>
          <cell r="H374">
            <v>979100</v>
          </cell>
        </row>
        <row r="375">
          <cell r="A375" t="str">
            <v>1893</v>
          </cell>
          <cell r="B375" t="str">
            <v>白土　和寛　　　</v>
          </cell>
          <cell r="C375">
            <v>968110</v>
          </cell>
          <cell r="D375">
            <v>1090170</v>
          </cell>
          <cell r="E375">
            <v>2058280</v>
          </cell>
          <cell r="F375">
            <v>4339092</v>
          </cell>
          <cell r="G375">
            <v>6397372</v>
          </cell>
          <cell r="H375">
            <v>997790</v>
          </cell>
        </row>
        <row r="376">
          <cell r="A376" t="str">
            <v>1650</v>
          </cell>
          <cell r="B376" t="str">
            <v>室岡　靖治　　　</v>
          </cell>
          <cell r="C376">
            <v>913590</v>
          </cell>
          <cell r="D376">
            <v>1090170</v>
          </cell>
          <cell r="E376">
            <v>2003760</v>
          </cell>
          <cell r="F376">
            <v>4317881</v>
          </cell>
          <cell r="G376">
            <v>6321641</v>
          </cell>
          <cell r="H376">
            <v>808460</v>
          </cell>
        </row>
        <row r="377">
          <cell r="A377" t="str">
            <v>1262</v>
          </cell>
          <cell r="B377" t="str">
            <v>山本　俊仁　　　</v>
          </cell>
          <cell r="C377">
            <v>870790</v>
          </cell>
          <cell r="D377">
            <v>1089350</v>
          </cell>
          <cell r="E377">
            <v>1960140</v>
          </cell>
          <cell r="F377">
            <v>4403636</v>
          </cell>
          <cell r="G377">
            <v>6363776</v>
          </cell>
          <cell r="H377">
            <v>1036070</v>
          </cell>
        </row>
        <row r="378">
          <cell r="A378" t="str">
            <v>1856</v>
          </cell>
          <cell r="B378" t="str">
            <v>三輪　孝治　　　</v>
          </cell>
          <cell r="C378">
            <v>953560</v>
          </cell>
          <cell r="D378">
            <v>1088420</v>
          </cell>
          <cell r="E378">
            <v>2041980</v>
          </cell>
          <cell r="F378">
            <v>4577223</v>
          </cell>
          <cell r="G378">
            <v>6619203</v>
          </cell>
          <cell r="H378">
            <v>1035180</v>
          </cell>
        </row>
        <row r="379">
          <cell r="A379" t="str">
            <v>0528</v>
          </cell>
          <cell r="B379" t="str">
            <v>松原　和己　　　</v>
          </cell>
          <cell r="C379">
            <v>971420</v>
          </cell>
          <cell r="D379">
            <v>1087650</v>
          </cell>
          <cell r="E379">
            <v>2059070</v>
          </cell>
          <cell r="F379">
            <v>4733221</v>
          </cell>
          <cell r="G379">
            <v>6792291</v>
          </cell>
          <cell r="H379">
            <v>984040</v>
          </cell>
        </row>
        <row r="380">
          <cell r="A380" t="str">
            <v>1648</v>
          </cell>
          <cell r="B380" t="str">
            <v>上ノ内　良位　　</v>
          </cell>
          <cell r="C380">
            <v>960520</v>
          </cell>
          <cell r="D380">
            <v>1084290</v>
          </cell>
          <cell r="E380">
            <v>2044810</v>
          </cell>
          <cell r="F380">
            <v>4020870</v>
          </cell>
          <cell r="G380">
            <v>6065680</v>
          </cell>
          <cell r="H380">
            <v>906800</v>
          </cell>
        </row>
        <row r="381">
          <cell r="A381" t="str">
            <v>1181</v>
          </cell>
          <cell r="B381" t="str">
            <v>村松　潤一　　　</v>
          </cell>
          <cell r="C381">
            <v>1011590</v>
          </cell>
          <cell r="D381">
            <v>1082850</v>
          </cell>
          <cell r="E381">
            <v>2094440</v>
          </cell>
          <cell r="F381">
            <v>4282861</v>
          </cell>
          <cell r="G381">
            <v>6377301</v>
          </cell>
          <cell r="H381">
            <v>957210</v>
          </cell>
        </row>
        <row r="382">
          <cell r="A382" t="str">
            <v>0564</v>
          </cell>
          <cell r="B382" t="str">
            <v>近藤　訓　　　　</v>
          </cell>
          <cell r="C382">
            <v>957970</v>
          </cell>
          <cell r="D382">
            <v>1082730</v>
          </cell>
          <cell r="E382">
            <v>2040700</v>
          </cell>
          <cell r="F382">
            <v>4498760</v>
          </cell>
          <cell r="G382">
            <v>6539460</v>
          </cell>
          <cell r="H382">
            <v>886830</v>
          </cell>
        </row>
        <row r="383">
          <cell r="A383" t="str">
            <v>2010</v>
          </cell>
          <cell r="B383" t="str">
            <v>岸田　有功　　　</v>
          </cell>
          <cell r="C383">
            <v>969470</v>
          </cell>
          <cell r="D383">
            <v>1080300</v>
          </cell>
          <cell r="E383">
            <v>2049770</v>
          </cell>
          <cell r="F383">
            <v>4540900</v>
          </cell>
          <cell r="G383">
            <v>6590670</v>
          </cell>
          <cell r="H383">
            <v>970220</v>
          </cell>
        </row>
        <row r="384">
          <cell r="A384" t="str">
            <v>0516</v>
          </cell>
          <cell r="B384" t="str">
            <v>藤山　直大　　　</v>
          </cell>
          <cell r="C384">
            <v>1217230</v>
          </cell>
          <cell r="D384">
            <v>1079290</v>
          </cell>
          <cell r="E384">
            <v>2296520</v>
          </cell>
          <cell r="F384">
            <v>5278508</v>
          </cell>
          <cell r="G384">
            <v>7575028</v>
          </cell>
          <cell r="H384">
            <v>955400</v>
          </cell>
        </row>
        <row r="385">
          <cell r="A385" t="str">
            <v>1511</v>
          </cell>
          <cell r="B385" t="str">
            <v>松本　輝雄　　　</v>
          </cell>
          <cell r="C385">
            <v>895680</v>
          </cell>
          <cell r="D385">
            <v>1079010</v>
          </cell>
          <cell r="E385">
            <v>1974690</v>
          </cell>
          <cell r="F385">
            <v>4484314</v>
          </cell>
          <cell r="G385">
            <v>6459004</v>
          </cell>
          <cell r="H385">
            <v>965360</v>
          </cell>
        </row>
        <row r="386">
          <cell r="A386" t="str">
            <v>1741</v>
          </cell>
          <cell r="B386" t="str">
            <v>松本　功一　　　</v>
          </cell>
          <cell r="C386">
            <v>960520</v>
          </cell>
          <cell r="D386">
            <v>1078970</v>
          </cell>
          <cell r="E386">
            <v>2039490</v>
          </cell>
          <cell r="F386">
            <v>3621003</v>
          </cell>
          <cell r="G386">
            <v>5660493</v>
          </cell>
          <cell r="H386">
            <v>951970</v>
          </cell>
        </row>
        <row r="387">
          <cell r="A387" t="str">
            <v>0965</v>
          </cell>
          <cell r="B387" t="str">
            <v>井口　健一郎　　</v>
          </cell>
          <cell r="C387">
            <v>977860</v>
          </cell>
          <cell r="D387">
            <v>1078830</v>
          </cell>
          <cell r="E387">
            <v>2056690</v>
          </cell>
          <cell r="F387">
            <v>4889248</v>
          </cell>
          <cell r="G387">
            <v>6945938</v>
          </cell>
          <cell r="H387">
            <v>1012150</v>
          </cell>
        </row>
        <row r="388">
          <cell r="A388" t="str">
            <v>1471</v>
          </cell>
          <cell r="B388" t="str">
            <v>大城　昭夫　　　</v>
          </cell>
          <cell r="C388">
            <v>983560</v>
          </cell>
          <cell r="D388">
            <v>1076800</v>
          </cell>
          <cell r="E388">
            <v>2060360</v>
          </cell>
          <cell r="F388">
            <v>4548377</v>
          </cell>
          <cell r="G388">
            <v>6608737</v>
          </cell>
          <cell r="H388">
            <v>970830</v>
          </cell>
        </row>
        <row r="389">
          <cell r="A389" t="str">
            <v>1742</v>
          </cell>
          <cell r="B389" t="str">
            <v>宮川　和也　　　</v>
          </cell>
          <cell r="C389">
            <v>930250</v>
          </cell>
          <cell r="D389">
            <v>1076560</v>
          </cell>
          <cell r="E389">
            <v>2006810</v>
          </cell>
          <cell r="F389">
            <v>4321064</v>
          </cell>
          <cell r="G389">
            <v>6327874</v>
          </cell>
          <cell r="H389">
            <v>929750</v>
          </cell>
        </row>
        <row r="390">
          <cell r="A390" t="str">
            <v>1600</v>
          </cell>
          <cell r="B390" t="str">
            <v>川端　俊彦　　　</v>
          </cell>
          <cell r="C390">
            <v>961710</v>
          </cell>
          <cell r="D390">
            <v>1076280</v>
          </cell>
          <cell r="E390">
            <v>2037990</v>
          </cell>
          <cell r="F390">
            <v>4911814</v>
          </cell>
          <cell r="G390">
            <v>6949804</v>
          </cell>
          <cell r="H390">
            <v>986290</v>
          </cell>
        </row>
        <row r="391">
          <cell r="A391" t="str">
            <v>1095</v>
          </cell>
          <cell r="B391" t="str">
            <v>野崎　光男　　　</v>
          </cell>
          <cell r="C391">
            <v>918540</v>
          </cell>
          <cell r="D391">
            <v>1075770</v>
          </cell>
          <cell r="E391">
            <v>1994310</v>
          </cell>
          <cell r="F391">
            <v>4829745</v>
          </cell>
          <cell r="G391">
            <v>6824055</v>
          </cell>
          <cell r="H391">
            <v>986970</v>
          </cell>
        </row>
        <row r="392">
          <cell r="A392" t="str">
            <v>1729</v>
          </cell>
          <cell r="B392" t="str">
            <v>坪田　元明　　　</v>
          </cell>
          <cell r="C392">
            <v>939940</v>
          </cell>
          <cell r="D392">
            <v>1075740</v>
          </cell>
          <cell r="E392">
            <v>2015680</v>
          </cell>
          <cell r="F392">
            <v>4536689</v>
          </cell>
          <cell r="G392">
            <v>6552369</v>
          </cell>
          <cell r="H392">
            <v>1002870</v>
          </cell>
        </row>
        <row r="393">
          <cell r="A393" t="str">
            <v>2083</v>
          </cell>
          <cell r="B393" t="str">
            <v>松田　伸之　　　</v>
          </cell>
          <cell r="C393">
            <v>789700</v>
          </cell>
          <cell r="D393">
            <v>1074430</v>
          </cell>
          <cell r="E393">
            <v>1864130</v>
          </cell>
          <cell r="F393">
            <v>4069464</v>
          </cell>
          <cell r="G393">
            <v>5933594</v>
          </cell>
          <cell r="H393">
            <v>927880</v>
          </cell>
        </row>
        <row r="394">
          <cell r="A394" t="str">
            <v>2086</v>
          </cell>
          <cell r="B394" t="str">
            <v>山根　聡　　　　</v>
          </cell>
          <cell r="C394">
            <v>867350</v>
          </cell>
          <cell r="D394">
            <v>1074430</v>
          </cell>
          <cell r="E394">
            <v>1941780</v>
          </cell>
          <cell r="F394">
            <v>4372573</v>
          </cell>
          <cell r="G394">
            <v>6314353</v>
          </cell>
          <cell r="H394">
            <v>982330</v>
          </cell>
        </row>
        <row r="395">
          <cell r="A395" t="str">
            <v>1488</v>
          </cell>
          <cell r="B395" t="str">
            <v>佐藤　義彰　　　</v>
          </cell>
          <cell r="C395">
            <v>976520</v>
          </cell>
          <cell r="D395">
            <v>1074200</v>
          </cell>
          <cell r="E395">
            <v>2050720</v>
          </cell>
          <cell r="F395">
            <v>3945307</v>
          </cell>
          <cell r="G395">
            <v>5996027</v>
          </cell>
          <cell r="H395">
            <v>1039080</v>
          </cell>
        </row>
        <row r="396">
          <cell r="A396" t="str">
            <v>1462</v>
          </cell>
          <cell r="B396" t="str">
            <v>新井　茂鉄　　　</v>
          </cell>
          <cell r="C396">
            <v>970090</v>
          </cell>
          <cell r="D396">
            <v>1072490</v>
          </cell>
          <cell r="E396">
            <v>2042580</v>
          </cell>
          <cell r="F396">
            <v>4646810</v>
          </cell>
          <cell r="G396">
            <v>6689390</v>
          </cell>
          <cell r="H396">
            <v>999260</v>
          </cell>
        </row>
        <row r="397">
          <cell r="A397" t="str">
            <v>0455</v>
          </cell>
          <cell r="B397" t="str">
            <v>柴田　雅明　　　</v>
          </cell>
          <cell r="C397">
            <v>915270</v>
          </cell>
          <cell r="D397">
            <v>1071690</v>
          </cell>
          <cell r="E397">
            <v>1986960</v>
          </cell>
          <cell r="F397">
            <v>4955300</v>
          </cell>
          <cell r="G397">
            <v>6942260</v>
          </cell>
          <cell r="H397">
            <v>983230</v>
          </cell>
        </row>
        <row r="398">
          <cell r="A398" t="str">
            <v>1263</v>
          </cell>
          <cell r="B398" t="str">
            <v>中沢　武　　　　</v>
          </cell>
          <cell r="C398">
            <v>940850</v>
          </cell>
          <cell r="D398">
            <v>1070740</v>
          </cell>
          <cell r="E398">
            <v>2011590</v>
          </cell>
          <cell r="F398">
            <v>4264617</v>
          </cell>
          <cell r="G398">
            <v>6276207</v>
          </cell>
          <cell r="H398">
            <v>896410</v>
          </cell>
        </row>
        <row r="399">
          <cell r="A399" t="str">
            <v>1486</v>
          </cell>
          <cell r="B399" t="str">
            <v>桜井　陽治　　　</v>
          </cell>
          <cell r="C399">
            <v>949540</v>
          </cell>
          <cell r="D399">
            <v>1068140</v>
          </cell>
          <cell r="E399">
            <v>2017680</v>
          </cell>
          <cell r="F399">
            <v>4339318</v>
          </cell>
          <cell r="G399">
            <v>6356998</v>
          </cell>
          <cell r="H399">
            <v>1018050</v>
          </cell>
        </row>
        <row r="400">
          <cell r="A400" t="str">
            <v>1725</v>
          </cell>
          <cell r="B400" t="str">
            <v>白浜　英雄　　　</v>
          </cell>
          <cell r="C400">
            <v>988190</v>
          </cell>
          <cell r="D400">
            <v>1068140</v>
          </cell>
          <cell r="E400">
            <v>2056330</v>
          </cell>
          <cell r="F400">
            <v>4207862</v>
          </cell>
          <cell r="G400">
            <v>6264192</v>
          </cell>
          <cell r="H400">
            <v>978820</v>
          </cell>
        </row>
        <row r="401">
          <cell r="A401" t="str">
            <v>1453</v>
          </cell>
          <cell r="B401" t="str">
            <v>藤村　輝信　　　</v>
          </cell>
          <cell r="C401">
            <v>948230</v>
          </cell>
          <cell r="D401">
            <v>1066480</v>
          </cell>
          <cell r="E401">
            <v>2014710</v>
          </cell>
          <cell r="F401">
            <v>4411370</v>
          </cell>
          <cell r="G401">
            <v>6426080</v>
          </cell>
          <cell r="H401">
            <v>977320</v>
          </cell>
        </row>
        <row r="402">
          <cell r="A402" t="str">
            <v>0998</v>
          </cell>
          <cell r="B402" t="str">
            <v>堀口　伸之　　　</v>
          </cell>
          <cell r="C402">
            <v>855210</v>
          </cell>
          <cell r="D402">
            <v>1066210</v>
          </cell>
          <cell r="E402">
            <v>1921420</v>
          </cell>
          <cell r="F402">
            <v>4224573</v>
          </cell>
          <cell r="G402">
            <v>6145993</v>
          </cell>
          <cell r="H402">
            <v>938270</v>
          </cell>
        </row>
        <row r="403">
          <cell r="A403" t="str">
            <v>1325</v>
          </cell>
          <cell r="B403" t="str">
            <v>竹田　信治　　　</v>
          </cell>
          <cell r="C403">
            <v>880880</v>
          </cell>
          <cell r="D403">
            <v>1066200</v>
          </cell>
          <cell r="E403">
            <v>1947080</v>
          </cell>
          <cell r="F403">
            <v>4543102</v>
          </cell>
          <cell r="G403">
            <v>6490182</v>
          </cell>
          <cell r="H403">
            <v>963130</v>
          </cell>
        </row>
        <row r="404">
          <cell r="A404" t="str">
            <v>1468</v>
          </cell>
          <cell r="B404" t="str">
            <v>井ノ口　彰　　　</v>
          </cell>
          <cell r="C404">
            <v>935510</v>
          </cell>
          <cell r="D404">
            <v>1065710</v>
          </cell>
          <cell r="E404">
            <v>2001220</v>
          </cell>
          <cell r="F404">
            <v>4383364</v>
          </cell>
          <cell r="G404">
            <v>6384584</v>
          </cell>
          <cell r="H404">
            <v>1030230</v>
          </cell>
        </row>
        <row r="405">
          <cell r="A405" t="str">
            <v>1730</v>
          </cell>
          <cell r="B405" t="str">
            <v>仲野　正雄　　　</v>
          </cell>
          <cell r="C405">
            <v>945060</v>
          </cell>
          <cell r="D405">
            <v>1063230</v>
          </cell>
          <cell r="E405">
            <v>2008290</v>
          </cell>
          <cell r="F405">
            <v>4365860</v>
          </cell>
          <cell r="G405">
            <v>6374150</v>
          </cell>
          <cell r="H405">
            <v>990780</v>
          </cell>
        </row>
        <row r="406">
          <cell r="A406" t="str">
            <v>1714</v>
          </cell>
          <cell r="B406" t="str">
            <v>岡本　隆夫　　　</v>
          </cell>
          <cell r="C406">
            <v>945060</v>
          </cell>
          <cell r="D406">
            <v>1063230</v>
          </cell>
          <cell r="E406">
            <v>2008290</v>
          </cell>
          <cell r="F406">
            <v>4579912</v>
          </cell>
          <cell r="G406">
            <v>6588202</v>
          </cell>
          <cell r="H406">
            <v>1013380</v>
          </cell>
        </row>
        <row r="407">
          <cell r="A407" t="str">
            <v>1144</v>
          </cell>
          <cell r="B407" t="str">
            <v>大島　正美　　　</v>
          </cell>
          <cell r="C407">
            <v>902530</v>
          </cell>
          <cell r="D407">
            <v>1063090</v>
          </cell>
          <cell r="E407">
            <v>1965620</v>
          </cell>
          <cell r="F407">
            <v>4476577</v>
          </cell>
          <cell r="G407">
            <v>6442197</v>
          </cell>
          <cell r="H407">
            <v>893820</v>
          </cell>
        </row>
        <row r="408">
          <cell r="A408" t="str">
            <v>0338</v>
          </cell>
          <cell r="B408" t="str">
            <v>杉村　次男　　　</v>
          </cell>
          <cell r="C408">
            <v>988480</v>
          </cell>
          <cell r="D408">
            <v>1062170</v>
          </cell>
          <cell r="E408">
            <v>2050650</v>
          </cell>
          <cell r="F408">
            <v>4404421</v>
          </cell>
          <cell r="G408">
            <v>6455071</v>
          </cell>
          <cell r="H408">
            <v>1038410</v>
          </cell>
        </row>
        <row r="409">
          <cell r="A409" t="str">
            <v>0390</v>
          </cell>
          <cell r="B409" t="str">
            <v>長谷川　勉　　　</v>
          </cell>
          <cell r="C409">
            <v>915500</v>
          </cell>
          <cell r="D409">
            <v>1062130</v>
          </cell>
          <cell r="E409">
            <v>1977630</v>
          </cell>
          <cell r="F409">
            <v>4374351</v>
          </cell>
          <cell r="G409">
            <v>6351981</v>
          </cell>
          <cell r="H409">
            <v>986970</v>
          </cell>
        </row>
        <row r="410">
          <cell r="A410" t="str">
            <v>1724</v>
          </cell>
          <cell r="B410" t="str">
            <v>佐々木　司　　　</v>
          </cell>
          <cell r="C410">
            <v>940850</v>
          </cell>
          <cell r="D410">
            <v>1061110</v>
          </cell>
          <cell r="E410">
            <v>2001960</v>
          </cell>
          <cell r="F410">
            <v>1281874</v>
          </cell>
          <cell r="G410">
            <v>3283834</v>
          </cell>
          <cell r="H410">
            <v>984690</v>
          </cell>
        </row>
        <row r="411">
          <cell r="A411" t="str">
            <v>1304</v>
          </cell>
          <cell r="B411" t="str">
            <v>尾形　幸喜　　　</v>
          </cell>
          <cell r="C411">
            <v>906790</v>
          </cell>
          <cell r="D411">
            <v>1061110</v>
          </cell>
          <cell r="E411">
            <v>1967900</v>
          </cell>
          <cell r="F411">
            <v>3766058</v>
          </cell>
          <cell r="G411">
            <v>5733958</v>
          </cell>
          <cell r="H411">
            <v>1020400</v>
          </cell>
        </row>
        <row r="412">
          <cell r="A412" t="str">
            <v>1655</v>
          </cell>
          <cell r="B412" t="str">
            <v>隅　昇巳智　　　</v>
          </cell>
          <cell r="C412">
            <v>845570</v>
          </cell>
          <cell r="D412">
            <v>1060970</v>
          </cell>
          <cell r="E412">
            <v>1906540</v>
          </cell>
          <cell r="F412">
            <v>4669121</v>
          </cell>
          <cell r="G412">
            <v>6575661</v>
          </cell>
          <cell r="H412">
            <v>987520</v>
          </cell>
        </row>
        <row r="413">
          <cell r="A413" t="str">
            <v>0636</v>
          </cell>
          <cell r="B413" t="str">
            <v>本田　優　　　　</v>
          </cell>
          <cell r="C413">
            <v>896930</v>
          </cell>
          <cell r="D413">
            <v>1060680</v>
          </cell>
          <cell r="E413">
            <v>1957610</v>
          </cell>
          <cell r="F413">
            <v>4411559</v>
          </cell>
          <cell r="G413">
            <v>6369169</v>
          </cell>
          <cell r="H413">
            <v>971990</v>
          </cell>
        </row>
        <row r="414">
          <cell r="A414" t="str">
            <v>2300</v>
          </cell>
          <cell r="B414" t="str">
            <v>松尾　順治　　　</v>
          </cell>
          <cell r="C414">
            <v>877710</v>
          </cell>
          <cell r="D414">
            <v>1060540</v>
          </cell>
          <cell r="E414">
            <v>1938250</v>
          </cell>
          <cell r="F414">
            <v>3966822</v>
          </cell>
          <cell r="G414">
            <v>5905072</v>
          </cell>
          <cell r="H414">
            <v>920280</v>
          </cell>
        </row>
        <row r="415">
          <cell r="A415" t="str">
            <v>1503</v>
          </cell>
          <cell r="B415" t="str">
            <v>西口　雅彦　　　</v>
          </cell>
          <cell r="C415">
            <v>931670</v>
          </cell>
          <cell r="D415">
            <v>1060320</v>
          </cell>
          <cell r="E415">
            <v>1991990</v>
          </cell>
          <cell r="F415">
            <v>4383284</v>
          </cell>
          <cell r="G415">
            <v>6375274</v>
          </cell>
          <cell r="H415">
            <v>1025100</v>
          </cell>
        </row>
        <row r="416">
          <cell r="A416" t="str">
            <v>1700</v>
          </cell>
          <cell r="B416" t="str">
            <v>島田　博　　　　</v>
          </cell>
          <cell r="C416">
            <v>966460</v>
          </cell>
          <cell r="D416">
            <v>1060270</v>
          </cell>
          <cell r="E416">
            <v>2026730</v>
          </cell>
          <cell r="F416">
            <v>4110298</v>
          </cell>
          <cell r="G416">
            <v>6137028</v>
          </cell>
          <cell r="H416">
            <v>921360</v>
          </cell>
        </row>
        <row r="417">
          <cell r="A417" t="str">
            <v>1077</v>
          </cell>
          <cell r="B417" t="str">
            <v>本田　守　　　　</v>
          </cell>
          <cell r="C417">
            <v>967430</v>
          </cell>
          <cell r="D417">
            <v>1059810</v>
          </cell>
          <cell r="E417">
            <v>2027240</v>
          </cell>
          <cell r="F417">
            <v>4501695</v>
          </cell>
          <cell r="G417">
            <v>6528935</v>
          </cell>
          <cell r="H417">
            <v>987580</v>
          </cell>
        </row>
        <row r="418">
          <cell r="A418" t="str">
            <v>1886</v>
          </cell>
          <cell r="B418" t="str">
            <v>金岡　幸宏　　　</v>
          </cell>
          <cell r="C418">
            <v>932530</v>
          </cell>
          <cell r="D418">
            <v>1059370</v>
          </cell>
          <cell r="E418">
            <v>1991900</v>
          </cell>
          <cell r="F418">
            <v>4170961</v>
          </cell>
          <cell r="G418">
            <v>6162861</v>
          </cell>
          <cell r="H418">
            <v>982190</v>
          </cell>
        </row>
        <row r="419">
          <cell r="A419" t="str">
            <v>1642</v>
          </cell>
          <cell r="B419" t="str">
            <v>森　啓治　　　　</v>
          </cell>
          <cell r="C419">
            <v>873060</v>
          </cell>
          <cell r="D419">
            <v>1056660</v>
          </cell>
          <cell r="E419">
            <v>1929720</v>
          </cell>
          <cell r="F419">
            <v>4261473</v>
          </cell>
          <cell r="G419">
            <v>6191193</v>
          </cell>
          <cell r="H419">
            <v>918210</v>
          </cell>
        </row>
        <row r="420">
          <cell r="A420" t="str">
            <v>1009</v>
          </cell>
          <cell r="B420" t="str">
            <v>遠藤　光雄　　　</v>
          </cell>
          <cell r="C420">
            <v>847270</v>
          </cell>
          <cell r="D420">
            <v>1056660</v>
          </cell>
          <cell r="E420">
            <v>1903930</v>
          </cell>
          <cell r="F420">
            <v>4404083</v>
          </cell>
          <cell r="G420">
            <v>6308013</v>
          </cell>
          <cell r="H420">
            <v>951870</v>
          </cell>
        </row>
        <row r="421">
          <cell r="A421" t="str">
            <v>1452</v>
          </cell>
          <cell r="B421" t="str">
            <v>西岡　哲志　　　</v>
          </cell>
          <cell r="C421">
            <v>943740</v>
          </cell>
          <cell r="D421">
            <v>1056660</v>
          </cell>
          <cell r="E421">
            <v>2000400</v>
          </cell>
          <cell r="F421">
            <v>4476583</v>
          </cell>
          <cell r="G421">
            <v>6476983</v>
          </cell>
          <cell r="H421">
            <v>968330</v>
          </cell>
        </row>
        <row r="422">
          <cell r="A422" t="str">
            <v>1313</v>
          </cell>
          <cell r="B422" t="str">
            <v>小林　徳夫　　　</v>
          </cell>
          <cell r="C422">
            <v>885630</v>
          </cell>
          <cell r="D422">
            <v>1055710</v>
          </cell>
          <cell r="E422">
            <v>1941340</v>
          </cell>
          <cell r="F422">
            <v>4280783</v>
          </cell>
          <cell r="G422">
            <v>6222123</v>
          </cell>
          <cell r="H422">
            <v>967440</v>
          </cell>
        </row>
        <row r="423">
          <cell r="A423" t="str">
            <v>1308</v>
          </cell>
          <cell r="B423" t="str">
            <v>川合　伸一　　　</v>
          </cell>
          <cell r="C423">
            <v>978850</v>
          </cell>
          <cell r="D423">
            <v>1053420</v>
          </cell>
          <cell r="E423">
            <v>2032270</v>
          </cell>
          <cell r="F423">
            <v>4369398</v>
          </cell>
          <cell r="G423">
            <v>6401668</v>
          </cell>
          <cell r="H423">
            <v>947080</v>
          </cell>
        </row>
        <row r="424">
          <cell r="A424" t="str">
            <v>2156</v>
          </cell>
          <cell r="B424" t="str">
            <v>柴田　隆幸　　　</v>
          </cell>
          <cell r="C424">
            <v>867580</v>
          </cell>
          <cell r="D424">
            <v>1053420</v>
          </cell>
          <cell r="E424">
            <v>1921000</v>
          </cell>
          <cell r="F424">
            <v>4220291</v>
          </cell>
          <cell r="G424">
            <v>6141291</v>
          </cell>
          <cell r="H424">
            <v>965360</v>
          </cell>
        </row>
        <row r="425">
          <cell r="A425" t="str">
            <v>1914</v>
          </cell>
          <cell r="B425" t="str">
            <v>三河　明彦　　　</v>
          </cell>
          <cell r="C425">
            <v>968110</v>
          </cell>
          <cell r="D425">
            <v>1051770</v>
          </cell>
          <cell r="E425">
            <v>2019880</v>
          </cell>
          <cell r="F425">
            <v>4204452</v>
          </cell>
          <cell r="G425">
            <v>6224332</v>
          </cell>
          <cell r="H425">
            <v>985350</v>
          </cell>
        </row>
        <row r="426">
          <cell r="A426" t="str">
            <v>2581</v>
          </cell>
          <cell r="B426" t="str">
            <v>関谷　勝彦　　　</v>
          </cell>
          <cell r="C426">
            <v>872580</v>
          </cell>
          <cell r="D426">
            <v>1051040</v>
          </cell>
          <cell r="E426">
            <v>1923620</v>
          </cell>
          <cell r="F426">
            <v>4190773</v>
          </cell>
          <cell r="G426">
            <v>6114393</v>
          </cell>
          <cell r="H426">
            <v>848590</v>
          </cell>
        </row>
        <row r="427">
          <cell r="A427" t="str">
            <v>1855</v>
          </cell>
          <cell r="B427" t="str">
            <v>福谷　重俊　　　</v>
          </cell>
          <cell r="C427">
            <v>915440</v>
          </cell>
          <cell r="D427">
            <v>1050870</v>
          </cell>
          <cell r="E427">
            <v>1966310</v>
          </cell>
          <cell r="F427">
            <v>4467988</v>
          </cell>
          <cell r="G427">
            <v>6434298</v>
          </cell>
          <cell r="H427">
            <v>978820</v>
          </cell>
        </row>
        <row r="428">
          <cell r="A428" t="str">
            <v>1816</v>
          </cell>
          <cell r="B428" t="str">
            <v>青陽　和志　　　</v>
          </cell>
          <cell r="C428">
            <v>971510</v>
          </cell>
          <cell r="D428">
            <v>1050870</v>
          </cell>
          <cell r="E428">
            <v>2022380</v>
          </cell>
          <cell r="F428">
            <v>4384971</v>
          </cell>
          <cell r="G428">
            <v>6407351</v>
          </cell>
          <cell r="H428">
            <v>978820</v>
          </cell>
        </row>
        <row r="429">
          <cell r="A429" t="str">
            <v>3412</v>
          </cell>
          <cell r="B429" t="str">
            <v>麻生川　敬子　　</v>
          </cell>
          <cell r="C429">
            <v>940600</v>
          </cell>
          <cell r="D429">
            <v>1049460</v>
          </cell>
          <cell r="E429">
            <v>1990060</v>
          </cell>
          <cell r="F429">
            <v>4177556</v>
          </cell>
          <cell r="G429">
            <v>6167616</v>
          </cell>
          <cell r="H429">
            <v>962990</v>
          </cell>
        </row>
        <row r="430">
          <cell r="A430" t="str">
            <v>1352</v>
          </cell>
          <cell r="B430" t="str">
            <v>森岡　正則　　　</v>
          </cell>
          <cell r="C430">
            <v>957230</v>
          </cell>
          <cell r="D430">
            <v>1045970</v>
          </cell>
          <cell r="E430">
            <v>2003200</v>
          </cell>
          <cell r="F430">
            <v>4144147</v>
          </cell>
          <cell r="G430">
            <v>6147347</v>
          </cell>
          <cell r="H430">
            <v>974330</v>
          </cell>
        </row>
        <row r="431">
          <cell r="A431" t="str">
            <v>1746</v>
          </cell>
          <cell r="B431" t="str">
            <v>桑野　勝昭　　　</v>
          </cell>
          <cell r="C431">
            <v>945060</v>
          </cell>
          <cell r="D431">
            <v>1045970</v>
          </cell>
          <cell r="E431">
            <v>1991030</v>
          </cell>
          <cell r="F431">
            <v>4432083</v>
          </cell>
          <cell r="G431">
            <v>6423113</v>
          </cell>
          <cell r="H431">
            <v>974330</v>
          </cell>
        </row>
        <row r="432">
          <cell r="A432" t="str">
            <v>1901</v>
          </cell>
          <cell r="B432" t="str">
            <v>徳丸　聡　　　　</v>
          </cell>
          <cell r="C432">
            <v>930250</v>
          </cell>
          <cell r="D432">
            <v>1041950</v>
          </cell>
          <cell r="E432">
            <v>1972200</v>
          </cell>
          <cell r="F432">
            <v>4285744</v>
          </cell>
          <cell r="G432">
            <v>6257944</v>
          </cell>
          <cell r="H432">
            <v>954850</v>
          </cell>
        </row>
        <row r="433">
          <cell r="A433" t="str">
            <v>1508</v>
          </cell>
          <cell r="B433" t="str">
            <v>堀江　和一　　　</v>
          </cell>
          <cell r="C433">
            <v>893890</v>
          </cell>
          <cell r="D433">
            <v>1041470</v>
          </cell>
          <cell r="E433">
            <v>1935360</v>
          </cell>
          <cell r="F433">
            <v>4428625</v>
          </cell>
          <cell r="G433">
            <v>6363985</v>
          </cell>
          <cell r="H433">
            <v>976610</v>
          </cell>
        </row>
        <row r="434">
          <cell r="A434" t="str">
            <v>1340</v>
          </cell>
          <cell r="B434" t="str">
            <v>藤井　康尊　　　</v>
          </cell>
          <cell r="C434">
            <v>930330</v>
          </cell>
          <cell r="D434">
            <v>1040880</v>
          </cell>
          <cell r="E434">
            <v>1971210</v>
          </cell>
          <cell r="F434">
            <v>4368158</v>
          </cell>
          <cell r="G434">
            <v>6339368</v>
          </cell>
          <cell r="H434">
            <v>970220</v>
          </cell>
        </row>
        <row r="435">
          <cell r="A435" t="str">
            <v>2154</v>
          </cell>
          <cell r="B435" t="str">
            <v>浜屋　光弘　　　</v>
          </cell>
          <cell r="C435">
            <v>976520</v>
          </cell>
          <cell r="D435">
            <v>1040880</v>
          </cell>
          <cell r="E435">
            <v>2017400</v>
          </cell>
          <cell r="F435">
            <v>4521238</v>
          </cell>
          <cell r="G435">
            <v>6538638</v>
          </cell>
          <cell r="H435">
            <v>954960</v>
          </cell>
        </row>
        <row r="436">
          <cell r="A436" t="str">
            <v>1464</v>
          </cell>
          <cell r="B436" t="str">
            <v>荒谷　俊樹　　　</v>
          </cell>
          <cell r="C436">
            <v>862900</v>
          </cell>
          <cell r="D436">
            <v>1040680</v>
          </cell>
          <cell r="E436">
            <v>1903580</v>
          </cell>
          <cell r="F436">
            <v>4290002</v>
          </cell>
          <cell r="G436">
            <v>6193582</v>
          </cell>
          <cell r="H436">
            <v>1001020</v>
          </cell>
        </row>
        <row r="437">
          <cell r="A437" t="str">
            <v>1875</v>
          </cell>
          <cell r="B437" t="str">
            <v>尾野　正人　　　</v>
          </cell>
          <cell r="C437">
            <v>940700</v>
          </cell>
          <cell r="D437">
            <v>1040400</v>
          </cell>
          <cell r="E437">
            <v>1981100</v>
          </cell>
          <cell r="F437">
            <v>4861221</v>
          </cell>
          <cell r="G437">
            <v>6842321</v>
          </cell>
          <cell r="H437">
            <v>946700</v>
          </cell>
        </row>
        <row r="438">
          <cell r="A438" t="str">
            <v>0843</v>
          </cell>
          <cell r="B438" t="str">
            <v>平田　誠也　　　</v>
          </cell>
          <cell r="C438">
            <v>946330</v>
          </cell>
          <cell r="D438">
            <v>1039980</v>
          </cell>
          <cell r="E438">
            <v>1986310</v>
          </cell>
          <cell r="F438">
            <v>4445879</v>
          </cell>
          <cell r="G438">
            <v>6432189</v>
          </cell>
          <cell r="H438">
            <v>945090</v>
          </cell>
        </row>
        <row r="439">
          <cell r="A439" t="str">
            <v>0572</v>
          </cell>
          <cell r="B439" t="str">
            <v>片山　吉正　　　</v>
          </cell>
          <cell r="C439">
            <v>971420</v>
          </cell>
          <cell r="D439">
            <v>1039370</v>
          </cell>
          <cell r="E439">
            <v>2010790</v>
          </cell>
          <cell r="F439">
            <v>4352664</v>
          </cell>
          <cell r="G439">
            <v>6363454</v>
          </cell>
          <cell r="H439">
            <v>988530</v>
          </cell>
        </row>
        <row r="440">
          <cell r="A440" t="str">
            <v>1159</v>
          </cell>
          <cell r="B440" t="str">
            <v>高橋　寿一　　　</v>
          </cell>
          <cell r="C440">
            <v>911210</v>
          </cell>
          <cell r="D440">
            <v>1038510</v>
          </cell>
          <cell r="E440">
            <v>1949720</v>
          </cell>
          <cell r="F440">
            <v>4483733</v>
          </cell>
          <cell r="G440">
            <v>6433453</v>
          </cell>
          <cell r="H440">
            <v>1027300</v>
          </cell>
        </row>
        <row r="441">
          <cell r="A441" t="str">
            <v>0329</v>
          </cell>
          <cell r="B441" t="str">
            <v>綱本　美利　　　</v>
          </cell>
          <cell r="C441">
            <v>899420</v>
          </cell>
          <cell r="D441">
            <v>1038390</v>
          </cell>
          <cell r="E441">
            <v>1937810</v>
          </cell>
          <cell r="F441">
            <v>4705620</v>
          </cell>
          <cell r="G441">
            <v>6643430</v>
          </cell>
          <cell r="H441">
            <v>973830</v>
          </cell>
        </row>
        <row r="442">
          <cell r="A442" t="str">
            <v>0144</v>
          </cell>
          <cell r="B442" t="str">
            <v>芦田　行雄　　　</v>
          </cell>
          <cell r="C442">
            <v>906500</v>
          </cell>
          <cell r="D442">
            <v>1037610</v>
          </cell>
          <cell r="E442">
            <v>1944110</v>
          </cell>
          <cell r="F442">
            <v>3991980</v>
          </cell>
          <cell r="G442">
            <v>5936090</v>
          </cell>
          <cell r="H442">
            <v>867490</v>
          </cell>
        </row>
        <row r="443">
          <cell r="A443" t="str">
            <v>2068</v>
          </cell>
          <cell r="B443" t="str">
            <v>尾崎　貞和　　　</v>
          </cell>
          <cell r="C443">
            <v>845930</v>
          </cell>
          <cell r="D443">
            <v>1035720</v>
          </cell>
          <cell r="E443">
            <v>1881650</v>
          </cell>
          <cell r="F443">
            <v>4771580</v>
          </cell>
          <cell r="G443">
            <v>6653230</v>
          </cell>
          <cell r="H443">
            <v>965070</v>
          </cell>
        </row>
        <row r="444">
          <cell r="A444" t="str">
            <v>2063</v>
          </cell>
          <cell r="B444" t="str">
            <v>今泉　康爾　　　</v>
          </cell>
          <cell r="C444">
            <v>762750</v>
          </cell>
          <cell r="D444">
            <v>1035720</v>
          </cell>
          <cell r="E444">
            <v>1798470</v>
          </cell>
          <cell r="F444">
            <v>3803102</v>
          </cell>
          <cell r="G444">
            <v>5601572</v>
          </cell>
          <cell r="H444">
            <v>911420</v>
          </cell>
        </row>
        <row r="445">
          <cell r="A445" t="str">
            <v>1192</v>
          </cell>
          <cell r="B445" t="str">
            <v>早川　浩一　　　</v>
          </cell>
          <cell r="C445">
            <v>926420</v>
          </cell>
          <cell r="D445">
            <v>1035000</v>
          </cell>
          <cell r="E445">
            <v>1961420</v>
          </cell>
          <cell r="F445">
            <v>4368555</v>
          </cell>
          <cell r="G445">
            <v>6329975</v>
          </cell>
          <cell r="H445">
            <v>897830</v>
          </cell>
        </row>
        <row r="446">
          <cell r="A446" t="str">
            <v>1320</v>
          </cell>
          <cell r="B446" t="str">
            <v>杉山　誠　　　　</v>
          </cell>
          <cell r="C446">
            <v>918100</v>
          </cell>
          <cell r="D446">
            <v>1033810</v>
          </cell>
          <cell r="E446">
            <v>1951910</v>
          </cell>
          <cell r="F446">
            <v>3841243</v>
          </cell>
          <cell r="G446">
            <v>5793153</v>
          </cell>
          <cell r="H446">
            <v>985350</v>
          </cell>
        </row>
        <row r="447">
          <cell r="A447" t="str">
            <v>0709</v>
          </cell>
          <cell r="B447" t="str">
            <v>中嶋　一雄　　　</v>
          </cell>
          <cell r="C447">
            <v>1025920</v>
          </cell>
          <cell r="D447">
            <v>1033190</v>
          </cell>
          <cell r="E447">
            <v>2059110</v>
          </cell>
          <cell r="F447">
            <v>4743923</v>
          </cell>
          <cell r="G447">
            <v>6803033</v>
          </cell>
          <cell r="H447">
            <v>934440</v>
          </cell>
        </row>
        <row r="448">
          <cell r="A448" t="str">
            <v>1734</v>
          </cell>
          <cell r="B448" t="str">
            <v>野村　和義　　　</v>
          </cell>
          <cell r="C448">
            <v>830670</v>
          </cell>
          <cell r="D448">
            <v>1032910</v>
          </cell>
          <cell r="E448">
            <v>1863580</v>
          </cell>
          <cell r="F448">
            <v>4035499</v>
          </cell>
          <cell r="G448">
            <v>5899079</v>
          </cell>
          <cell r="H448">
            <v>898060</v>
          </cell>
        </row>
        <row r="449">
          <cell r="A449" t="str">
            <v>0829</v>
          </cell>
          <cell r="B449" t="str">
            <v>北畠　通顕　　　</v>
          </cell>
          <cell r="C449">
            <v>798860</v>
          </cell>
          <cell r="D449">
            <v>1028910</v>
          </cell>
          <cell r="E449">
            <v>1827770</v>
          </cell>
          <cell r="F449">
            <v>4998459</v>
          </cell>
          <cell r="G449">
            <v>6826229</v>
          </cell>
          <cell r="H449">
            <v>942890</v>
          </cell>
        </row>
        <row r="450">
          <cell r="A450" t="str">
            <v>1912</v>
          </cell>
          <cell r="B450" t="str">
            <v>松浦　隆　　　　</v>
          </cell>
          <cell r="C450">
            <v>913590</v>
          </cell>
          <cell r="D450">
            <v>1028910</v>
          </cell>
          <cell r="E450">
            <v>1942500</v>
          </cell>
          <cell r="F450">
            <v>4295135</v>
          </cell>
          <cell r="G450">
            <v>6237635</v>
          </cell>
          <cell r="H450">
            <v>942890</v>
          </cell>
        </row>
        <row r="451">
          <cell r="A451" t="str">
            <v>1716</v>
          </cell>
          <cell r="B451" t="str">
            <v>金治　清守　　　</v>
          </cell>
          <cell r="C451">
            <v>897580</v>
          </cell>
          <cell r="D451">
            <v>1028910</v>
          </cell>
          <cell r="E451">
            <v>1926490</v>
          </cell>
          <cell r="F451">
            <v>3896822</v>
          </cell>
          <cell r="G451">
            <v>5823312</v>
          </cell>
          <cell r="H451">
            <v>942890</v>
          </cell>
        </row>
        <row r="452">
          <cell r="A452" t="str">
            <v>1911</v>
          </cell>
          <cell r="B452" t="str">
            <v>古米　永芳　　　</v>
          </cell>
          <cell r="C452">
            <v>894400</v>
          </cell>
          <cell r="D452">
            <v>1026360</v>
          </cell>
          <cell r="E452">
            <v>1920760</v>
          </cell>
          <cell r="F452">
            <v>4864857</v>
          </cell>
          <cell r="G452">
            <v>6785617</v>
          </cell>
          <cell r="H452">
            <v>972830</v>
          </cell>
        </row>
        <row r="453">
          <cell r="A453" t="str">
            <v>0367</v>
          </cell>
          <cell r="B453" t="str">
            <v>山本　裕吉　　　</v>
          </cell>
          <cell r="C453">
            <v>924300</v>
          </cell>
          <cell r="D453">
            <v>1026000</v>
          </cell>
          <cell r="E453">
            <v>1950300</v>
          </cell>
          <cell r="F453">
            <v>4915020</v>
          </cell>
          <cell r="G453">
            <v>6865320</v>
          </cell>
          <cell r="H453">
            <v>933600</v>
          </cell>
        </row>
        <row r="454">
          <cell r="A454" t="str">
            <v>1065</v>
          </cell>
          <cell r="B454" t="str">
            <v>添田　安彦　　　</v>
          </cell>
          <cell r="C454">
            <v>997700</v>
          </cell>
          <cell r="D454">
            <v>1025370</v>
          </cell>
          <cell r="E454">
            <v>2023070</v>
          </cell>
          <cell r="F454">
            <v>4810190</v>
          </cell>
          <cell r="G454">
            <v>6833260</v>
          </cell>
          <cell r="H454">
            <v>1007250</v>
          </cell>
        </row>
        <row r="455">
          <cell r="A455" t="str">
            <v>1794</v>
          </cell>
          <cell r="B455" t="str">
            <v>熊谷　勇治　　　</v>
          </cell>
          <cell r="C455">
            <v>880920</v>
          </cell>
          <cell r="D455">
            <v>1024020</v>
          </cell>
          <cell r="E455">
            <v>1904940</v>
          </cell>
          <cell r="F455">
            <v>4334483</v>
          </cell>
          <cell r="G455">
            <v>6239423</v>
          </cell>
          <cell r="H455">
            <v>905210</v>
          </cell>
        </row>
        <row r="456">
          <cell r="A456" t="str">
            <v>1292</v>
          </cell>
          <cell r="B456" t="str">
            <v>若海　俊一　　　</v>
          </cell>
          <cell r="C456">
            <v>880240</v>
          </cell>
          <cell r="D456">
            <v>1023860</v>
          </cell>
          <cell r="E456">
            <v>1904100</v>
          </cell>
          <cell r="F456">
            <v>4391214</v>
          </cell>
          <cell r="G456">
            <v>6295314</v>
          </cell>
          <cell r="H456">
            <v>905090</v>
          </cell>
        </row>
        <row r="457">
          <cell r="A457" t="str">
            <v>0996</v>
          </cell>
          <cell r="B457" t="str">
            <v>塚田　高久　　　</v>
          </cell>
          <cell r="C457">
            <v>861980</v>
          </cell>
          <cell r="D457">
            <v>1023860</v>
          </cell>
          <cell r="E457">
            <v>1885840</v>
          </cell>
          <cell r="F457">
            <v>4729274</v>
          </cell>
          <cell r="G457">
            <v>6615114</v>
          </cell>
          <cell r="H457">
            <v>938270</v>
          </cell>
        </row>
        <row r="458">
          <cell r="A458" t="str">
            <v>1260</v>
          </cell>
          <cell r="B458" t="str">
            <v>加藤　高治　　　</v>
          </cell>
          <cell r="C458">
            <v>857130</v>
          </cell>
          <cell r="D458">
            <v>1023770</v>
          </cell>
          <cell r="E458">
            <v>1880900</v>
          </cell>
          <cell r="F458">
            <v>4438580</v>
          </cell>
          <cell r="G458">
            <v>6319480</v>
          </cell>
          <cell r="H458">
            <v>926760</v>
          </cell>
        </row>
        <row r="459">
          <cell r="A459" t="str">
            <v>1908</v>
          </cell>
          <cell r="B459" t="str">
            <v>福間　成二　　　</v>
          </cell>
          <cell r="C459">
            <v>840740</v>
          </cell>
          <cell r="D459">
            <v>1023710</v>
          </cell>
          <cell r="E459">
            <v>1864450</v>
          </cell>
          <cell r="F459">
            <v>3889411</v>
          </cell>
          <cell r="G459">
            <v>5753861</v>
          </cell>
          <cell r="H459">
            <v>901620</v>
          </cell>
        </row>
        <row r="460">
          <cell r="A460" t="str">
            <v>1310</v>
          </cell>
          <cell r="B460" t="str">
            <v>古賀　慎典　　　</v>
          </cell>
          <cell r="C460">
            <v>912420</v>
          </cell>
          <cell r="D460">
            <v>1021630</v>
          </cell>
          <cell r="E460">
            <v>1934050</v>
          </cell>
          <cell r="F460">
            <v>3694036</v>
          </cell>
          <cell r="G460">
            <v>5628086</v>
          </cell>
          <cell r="H460">
            <v>950750</v>
          </cell>
        </row>
        <row r="461">
          <cell r="A461" t="str">
            <v>1301</v>
          </cell>
          <cell r="B461" t="str">
            <v>上島　孝夫　　　</v>
          </cell>
          <cell r="C461">
            <v>826980</v>
          </cell>
          <cell r="D461">
            <v>1020260</v>
          </cell>
          <cell r="E461">
            <v>1847240</v>
          </cell>
          <cell r="F461">
            <v>4033808</v>
          </cell>
          <cell r="G461">
            <v>5881048</v>
          </cell>
          <cell r="H461">
            <v>947290</v>
          </cell>
        </row>
        <row r="462">
          <cell r="A462" t="str">
            <v>3084</v>
          </cell>
          <cell r="B462" t="str">
            <v>関　久登三　　　</v>
          </cell>
          <cell r="C462">
            <v>816090</v>
          </cell>
          <cell r="D462">
            <v>1012540</v>
          </cell>
          <cell r="E462">
            <v>1828630</v>
          </cell>
          <cell r="F462">
            <v>3902967</v>
          </cell>
          <cell r="G462">
            <v>5731597</v>
          </cell>
          <cell r="H462">
            <v>927880</v>
          </cell>
        </row>
        <row r="463">
          <cell r="A463" t="str">
            <v>1885</v>
          </cell>
          <cell r="B463" t="str">
            <v>岡本　俊二　　　</v>
          </cell>
          <cell r="C463">
            <v>869470</v>
          </cell>
          <cell r="D463">
            <v>1012540</v>
          </cell>
          <cell r="E463">
            <v>1882010</v>
          </cell>
          <cell r="F463">
            <v>3986870</v>
          </cell>
          <cell r="G463">
            <v>5868880</v>
          </cell>
          <cell r="H463">
            <v>947950</v>
          </cell>
        </row>
        <row r="464">
          <cell r="A464" t="str">
            <v>1517</v>
          </cell>
          <cell r="B464" t="str">
            <v>山口　清矩　　　</v>
          </cell>
          <cell r="C464">
            <v>840050</v>
          </cell>
          <cell r="D464">
            <v>1012520</v>
          </cell>
          <cell r="E464">
            <v>1852570</v>
          </cell>
          <cell r="F464">
            <v>4457600</v>
          </cell>
          <cell r="G464">
            <v>6310170</v>
          </cell>
          <cell r="H464">
            <v>898060</v>
          </cell>
        </row>
        <row r="465">
          <cell r="A465" t="str">
            <v>1715</v>
          </cell>
          <cell r="B465" t="str">
            <v>柏原　伸行　　　</v>
          </cell>
          <cell r="C465">
            <v>880780</v>
          </cell>
          <cell r="D465">
            <v>1011650</v>
          </cell>
          <cell r="E465">
            <v>1892430</v>
          </cell>
          <cell r="F465">
            <v>3065806</v>
          </cell>
          <cell r="G465">
            <v>4958236</v>
          </cell>
          <cell r="H465">
            <v>942890</v>
          </cell>
        </row>
        <row r="466">
          <cell r="A466" t="str">
            <v>1092</v>
          </cell>
          <cell r="B466" t="str">
            <v>河原　和寛　　　</v>
          </cell>
          <cell r="C466">
            <v>923220</v>
          </cell>
          <cell r="D466">
            <v>1010830</v>
          </cell>
          <cell r="E466">
            <v>1934050</v>
          </cell>
          <cell r="F466">
            <v>4663020</v>
          </cell>
          <cell r="G466">
            <v>6597070</v>
          </cell>
          <cell r="H466">
            <v>943200</v>
          </cell>
        </row>
        <row r="467">
          <cell r="A467" t="str">
            <v>2719</v>
          </cell>
          <cell r="B467" t="str">
            <v>藤原　信悟　　　</v>
          </cell>
          <cell r="C467">
            <v>892080</v>
          </cell>
          <cell r="D467">
            <v>1010250</v>
          </cell>
          <cell r="E467">
            <v>1902330</v>
          </cell>
          <cell r="F467">
            <v>4494037</v>
          </cell>
          <cell r="G467">
            <v>6396367</v>
          </cell>
          <cell r="H467">
            <v>948880</v>
          </cell>
        </row>
        <row r="468">
          <cell r="A468" t="str">
            <v>0316</v>
          </cell>
          <cell r="B468" t="str">
            <v>田口　兼雄　　　</v>
          </cell>
          <cell r="C468">
            <v>1110370</v>
          </cell>
          <cell r="D468">
            <v>1009840</v>
          </cell>
          <cell r="E468">
            <v>2120210</v>
          </cell>
          <cell r="F468">
            <v>5134328</v>
          </cell>
          <cell r="G468">
            <v>7254538</v>
          </cell>
          <cell r="H468">
            <v>1056720</v>
          </cell>
        </row>
        <row r="469">
          <cell r="A469" t="str">
            <v>1360</v>
          </cell>
          <cell r="B469" t="str">
            <v>宗　敦志　　　　</v>
          </cell>
          <cell r="C469">
            <v>812900</v>
          </cell>
          <cell r="D469">
            <v>1009480</v>
          </cell>
          <cell r="E469">
            <v>1822380</v>
          </cell>
          <cell r="F469">
            <v>4285658</v>
          </cell>
          <cell r="G469">
            <v>6108038</v>
          </cell>
          <cell r="H469">
            <v>923940</v>
          </cell>
        </row>
        <row r="470">
          <cell r="A470" t="str">
            <v>1514</v>
          </cell>
          <cell r="B470" t="str">
            <v>森　栄興　　　　</v>
          </cell>
          <cell r="C470">
            <v>911130</v>
          </cell>
          <cell r="D470">
            <v>1007810</v>
          </cell>
          <cell r="E470">
            <v>1918940</v>
          </cell>
          <cell r="F470">
            <v>4475941</v>
          </cell>
          <cell r="G470">
            <v>6394881</v>
          </cell>
          <cell r="H470">
            <v>1013380</v>
          </cell>
        </row>
        <row r="471">
          <cell r="A471" t="str">
            <v>0458</v>
          </cell>
          <cell r="B471" t="str">
            <v>真木田　修　　　</v>
          </cell>
          <cell r="C471">
            <v>969320</v>
          </cell>
          <cell r="D471">
            <v>1007800</v>
          </cell>
          <cell r="E471">
            <v>1977120</v>
          </cell>
          <cell r="F471">
            <v>4643192</v>
          </cell>
          <cell r="G471">
            <v>6620312</v>
          </cell>
          <cell r="H471">
            <v>973790</v>
          </cell>
        </row>
        <row r="472">
          <cell r="A472" t="str">
            <v>2078</v>
          </cell>
          <cell r="B472" t="str">
            <v>谷口　信哉　　　</v>
          </cell>
          <cell r="C472">
            <v>834060</v>
          </cell>
          <cell r="D472">
            <v>1006750</v>
          </cell>
          <cell r="E472">
            <v>1840810</v>
          </cell>
          <cell r="F472">
            <v>3939305</v>
          </cell>
          <cell r="G472">
            <v>5780115</v>
          </cell>
          <cell r="H472">
            <v>846450</v>
          </cell>
        </row>
        <row r="473">
          <cell r="A473" t="str">
            <v>2586</v>
          </cell>
          <cell r="B473" t="str">
            <v>宮田　宗平　　　</v>
          </cell>
          <cell r="C473">
            <v>880780</v>
          </cell>
          <cell r="D473">
            <v>1006750</v>
          </cell>
          <cell r="E473">
            <v>1887530</v>
          </cell>
          <cell r="F473">
            <v>3667761</v>
          </cell>
          <cell r="G473">
            <v>5555291</v>
          </cell>
          <cell r="H473">
            <v>976000</v>
          </cell>
        </row>
        <row r="474">
          <cell r="A474" t="str">
            <v>2308</v>
          </cell>
          <cell r="B474" t="str">
            <v>柴田　一英　　　</v>
          </cell>
          <cell r="C474">
            <v>792130</v>
          </cell>
          <cell r="D474">
            <v>1004390</v>
          </cell>
          <cell r="E474">
            <v>1796520</v>
          </cell>
          <cell r="F474">
            <v>4247700</v>
          </cell>
          <cell r="G474">
            <v>6044220</v>
          </cell>
          <cell r="H474">
            <v>742510</v>
          </cell>
        </row>
        <row r="475">
          <cell r="A475" t="str">
            <v>1931</v>
          </cell>
          <cell r="B475" t="str">
            <v>東　哲博　　　　</v>
          </cell>
          <cell r="C475">
            <v>831080</v>
          </cell>
          <cell r="D475">
            <v>1004390</v>
          </cell>
          <cell r="E475">
            <v>1835470</v>
          </cell>
          <cell r="F475">
            <v>4044051</v>
          </cell>
          <cell r="G475">
            <v>5879521</v>
          </cell>
          <cell r="H475">
            <v>936860</v>
          </cell>
        </row>
        <row r="476">
          <cell r="A476" t="str">
            <v>1894</v>
          </cell>
          <cell r="B476" t="str">
            <v>大源　周作　　　</v>
          </cell>
          <cell r="C476">
            <v>831080</v>
          </cell>
          <cell r="D476">
            <v>1004390</v>
          </cell>
          <cell r="E476">
            <v>1835470</v>
          </cell>
          <cell r="F476">
            <v>4315148</v>
          </cell>
          <cell r="G476">
            <v>6150618</v>
          </cell>
          <cell r="H476">
            <v>936860</v>
          </cell>
        </row>
        <row r="477">
          <cell r="A477" t="str">
            <v>1740</v>
          </cell>
          <cell r="B477" t="str">
            <v>松島　昭仁　　　</v>
          </cell>
          <cell r="C477">
            <v>804800</v>
          </cell>
          <cell r="D477">
            <v>1003180</v>
          </cell>
          <cell r="E477">
            <v>1807980</v>
          </cell>
          <cell r="F477">
            <v>4043530</v>
          </cell>
          <cell r="G477">
            <v>5851510</v>
          </cell>
          <cell r="H477">
            <v>783010</v>
          </cell>
        </row>
        <row r="478">
          <cell r="A478" t="str">
            <v>1745</v>
          </cell>
          <cell r="B478" t="str">
            <v>吉川　信博　　　</v>
          </cell>
          <cell r="C478">
            <v>794920</v>
          </cell>
          <cell r="D478">
            <v>1003140</v>
          </cell>
          <cell r="E478">
            <v>1798060</v>
          </cell>
          <cell r="F478">
            <v>4433026</v>
          </cell>
          <cell r="G478">
            <v>6231086</v>
          </cell>
          <cell r="H478">
            <v>1008440</v>
          </cell>
        </row>
        <row r="479">
          <cell r="A479" t="str">
            <v>1480</v>
          </cell>
          <cell r="B479" t="str">
            <v>木下　裕志　　　</v>
          </cell>
          <cell r="C479">
            <v>940570</v>
          </cell>
          <cell r="D479">
            <v>1003080</v>
          </cell>
          <cell r="E479">
            <v>1943650</v>
          </cell>
          <cell r="F479">
            <v>4198955</v>
          </cell>
          <cell r="G479">
            <v>6142605</v>
          </cell>
          <cell r="H479">
            <v>954020</v>
          </cell>
        </row>
        <row r="480">
          <cell r="A480" t="str">
            <v>0167</v>
          </cell>
          <cell r="B480" t="str">
            <v>大和　利夫　　　</v>
          </cell>
          <cell r="C480">
            <v>1021490</v>
          </cell>
          <cell r="D480">
            <v>1002090</v>
          </cell>
          <cell r="E480">
            <v>2023580</v>
          </cell>
          <cell r="F480">
            <v>4305239</v>
          </cell>
          <cell r="G480">
            <v>6328819</v>
          </cell>
          <cell r="H480">
            <v>895390</v>
          </cell>
        </row>
        <row r="481">
          <cell r="A481" t="str">
            <v>1490</v>
          </cell>
          <cell r="B481" t="str">
            <v>下永　正幸　　　</v>
          </cell>
          <cell r="C481">
            <v>838560</v>
          </cell>
          <cell r="D481">
            <v>1000810</v>
          </cell>
          <cell r="E481">
            <v>1839370</v>
          </cell>
          <cell r="F481">
            <v>4484446</v>
          </cell>
          <cell r="G481">
            <v>6323816</v>
          </cell>
          <cell r="H481">
            <v>918210</v>
          </cell>
        </row>
        <row r="482">
          <cell r="A482" t="str">
            <v>0920</v>
          </cell>
          <cell r="B482" t="str">
            <v>前出　暹　　　　</v>
          </cell>
          <cell r="C482">
            <v>1019960</v>
          </cell>
          <cell r="D482">
            <v>999520</v>
          </cell>
          <cell r="E482">
            <v>2019480</v>
          </cell>
          <cell r="F482">
            <v>4362334</v>
          </cell>
          <cell r="G482">
            <v>6381814</v>
          </cell>
          <cell r="H482">
            <v>846770</v>
          </cell>
        </row>
        <row r="483">
          <cell r="A483" t="str">
            <v>2079</v>
          </cell>
          <cell r="B483" t="str">
            <v>久光　知明　　　</v>
          </cell>
          <cell r="C483">
            <v>866750</v>
          </cell>
          <cell r="D483">
            <v>999480</v>
          </cell>
          <cell r="E483">
            <v>1866230</v>
          </cell>
          <cell r="F483">
            <v>3618417</v>
          </cell>
          <cell r="G483">
            <v>5484647</v>
          </cell>
          <cell r="H483">
            <v>915920</v>
          </cell>
        </row>
        <row r="484">
          <cell r="A484" t="str">
            <v>1472</v>
          </cell>
          <cell r="B484" t="str">
            <v>岡田　哲　　　　</v>
          </cell>
          <cell r="C484">
            <v>858590</v>
          </cell>
          <cell r="D484">
            <v>999360</v>
          </cell>
          <cell r="E484">
            <v>1857950</v>
          </cell>
          <cell r="F484">
            <v>3632939</v>
          </cell>
          <cell r="G484">
            <v>5490889</v>
          </cell>
          <cell r="H484">
            <v>951870</v>
          </cell>
        </row>
        <row r="485">
          <cell r="A485" t="str">
            <v>1455</v>
          </cell>
          <cell r="B485" t="str">
            <v>馬場　浩次　　　</v>
          </cell>
          <cell r="C485">
            <v>896850</v>
          </cell>
          <cell r="D485">
            <v>999220</v>
          </cell>
          <cell r="E485">
            <v>1896070</v>
          </cell>
          <cell r="F485">
            <v>4303963</v>
          </cell>
          <cell r="G485">
            <v>6200033</v>
          </cell>
          <cell r="H485">
            <v>916750</v>
          </cell>
        </row>
        <row r="486">
          <cell r="A486" t="str">
            <v>2317</v>
          </cell>
          <cell r="B486" t="str">
            <v>及川　儀昭　　　</v>
          </cell>
          <cell r="C486">
            <v>841230</v>
          </cell>
          <cell r="D486">
            <v>999000</v>
          </cell>
          <cell r="E486">
            <v>1840230</v>
          </cell>
          <cell r="F486">
            <v>4132740</v>
          </cell>
          <cell r="G486">
            <v>5972970</v>
          </cell>
          <cell r="H486">
            <v>931610</v>
          </cell>
        </row>
        <row r="487">
          <cell r="A487" t="str">
            <v>1489</v>
          </cell>
          <cell r="B487" t="str">
            <v>篠原　忠義　　　</v>
          </cell>
          <cell r="C487">
            <v>952810</v>
          </cell>
          <cell r="D487">
            <v>996080</v>
          </cell>
          <cell r="E487">
            <v>1948890</v>
          </cell>
          <cell r="F487">
            <v>4530919</v>
          </cell>
          <cell r="G487">
            <v>6479809</v>
          </cell>
          <cell r="H487">
            <v>913880</v>
          </cell>
        </row>
        <row r="488">
          <cell r="A488" t="str">
            <v>2306</v>
          </cell>
          <cell r="B488" t="str">
            <v>村岡　顕　　　　</v>
          </cell>
          <cell r="C488">
            <v>823470</v>
          </cell>
          <cell r="D488">
            <v>994830</v>
          </cell>
          <cell r="E488">
            <v>1818300</v>
          </cell>
          <cell r="F488">
            <v>3958444</v>
          </cell>
          <cell r="G488">
            <v>5776744</v>
          </cell>
          <cell r="H488">
            <v>825770</v>
          </cell>
        </row>
        <row r="489">
          <cell r="A489" t="str">
            <v>2260</v>
          </cell>
          <cell r="B489" t="str">
            <v>上田　太郎　　　</v>
          </cell>
          <cell r="C489">
            <v>772940</v>
          </cell>
          <cell r="D489">
            <v>994590</v>
          </cell>
          <cell r="E489">
            <v>1767530</v>
          </cell>
          <cell r="F489">
            <v>4164921</v>
          </cell>
          <cell r="G489">
            <v>5932451</v>
          </cell>
          <cell r="H489">
            <v>965070</v>
          </cell>
        </row>
        <row r="490">
          <cell r="A490" t="str">
            <v>2761</v>
          </cell>
          <cell r="B490" t="str">
            <v>小田桐　佳也　　</v>
          </cell>
          <cell r="C490">
            <v>795610</v>
          </cell>
          <cell r="D490">
            <v>994590</v>
          </cell>
          <cell r="E490">
            <v>1790200</v>
          </cell>
          <cell r="F490">
            <v>4105073</v>
          </cell>
          <cell r="G490">
            <v>5895273</v>
          </cell>
          <cell r="H490">
            <v>879190</v>
          </cell>
        </row>
        <row r="491">
          <cell r="A491" t="str">
            <v>1346</v>
          </cell>
          <cell r="B491" t="str">
            <v>松本　孝　　　　</v>
          </cell>
          <cell r="C491">
            <v>740930</v>
          </cell>
          <cell r="D491">
            <v>994450</v>
          </cell>
          <cell r="E491">
            <v>1735380</v>
          </cell>
          <cell r="F491">
            <v>4145420</v>
          </cell>
          <cell r="G491">
            <v>5880800</v>
          </cell>
          <cell r="H491">
            <v>961310</v>
          </cell>
        </row>
        <row r="492">
          <cell r="A492" t="str">
            <v>0903</v>
          </cell>
          <cell r="B492" t="str">
            <v>大貫　和文　　　</v>
          </cell>
          <cell r="C492">
            <v>1025020</v>
          </cell>
          <cell r="D492">
            <v>994060</v>
          </cell>
          <cell r="E492">
            <v>2019080</v>
          </cell>
          <cell r="F492">
            <v>4679117</v>
          </cell>
          <cell r="G492">
            <v>6698197</v>
          </cell>
          <cell r="H492">
            <v>855010</v>
          </cell>
        </row>
        <row r="493">
          <cell r="A493" t="str">
            <v>1297</v>
          </cell>
          <cell r="B493" t="str">
            <v>安達　杉雄　　　</v>
          </cell>
          <cell r="C493">
            <v>833020</v>
          </cell>
          <cell r="D493">
            <v>992090</v>
          </cell>
          <cell r="E493">
            <v>1825110</v>
          </cell>
          <cell r="F493">
            <v>3997318</v>
          </cell>
          <cell r="G493">
            <v>5822428</v>
          </cell>
          <cell r="H493">
            <v>922420</v>
          </cell>
        </row>
        <row r="494">
          <cell r="A494" t="str">
            <v>1905</v>
          </cell>
          <cell r="B494" t="str">
            <v>長野　弘之　　　</v>
          </cell>
          <cell r="C494">
            <v>913590</v>
          </cell>
          <cell r="D494">
            <v>991370</v>
          </cell>
          <cell r="E494">
            <v>1904960</v>
          </cell>
          <cell r="F494">
            <v>4125699</v>
          </cell>
          <cell r="G494">
            <v>6030659</v>
          </cell>
          <cell r="H494">
            <v>959340</v>
          </cell>
        </row>
        <row r="495">
          <cell r="A495" t="str">
            <v>0525</v>
          </cell>
          <cell r="B495" t="str">
            <v>南里　弘幸　　　</v>
          </cell>
          <cell r="C495">
            <v>944160</v>
          </cell>
          <cell r="D495">
            <v>991070</v>
          </cell>
          <cell r="E495">
            <v>1935230</v>
          </cell>
          <cell r="F495">
            <v>4216149</v>
          </cell>
          <cell r="G495">
            <v>6151379</v>
          </cell>
          <cell r="H495">
            <v>1038480</v>
          </cell>
        </row>
        <row r="496">
          <cell r="A496" t="str">
            <v>2082</v>
          </cell>
          <cell r="B496" t="str">
            <v>松岡　豊　　　　</v>
          </cell>
          <cell r="C496">
            <v>808470</v>
          </cell>
          <cell r="D496">
            <v>988590</v>
          </cell>
          <cell r="E496">
            <v>1797060</v>
          </cell>
          <cell r="F496">
            <v>4240430</v>
          </cell>
          <cell r="G496">
            <v>6037490</v>
          </cell>
          <cell r="H496">
            <v>927880</v>
          </cell>
        </row>
        <row r="497">
          <cell r="A497" t="str">
            <v>2301</v>
          </cell>
          <cell r="B497" t="str">
            <v>永瀬　正文　　　</v>
          </cell>
          <cell r="C497">
            <v>884950</v>
          </cell>
          <cell r="D497">
            <v>988230</v>
          </cell>
          <cell r="E497">
            <v>1873180</v>
          </cell>
          <cell r="F497">
            <v>3645419</v>
          </cell>
          <cell r="G497">
            <v>5518599</v>
          </cell>
          <cell r="H497">
            <v>869010</v>
          </cell>
        </row>
        <row r="498">
          <cell r="A498" t="str">
            <v>1616</v>
          </cell>
          <cell r="B498" t="str">
            <v>白川　美江子　　</v>
          </cell>
          <cell r="C498">
            <v>905980</v>
          </cell>
          <cell r="D498">
            <v>987020</v>
          </cell>
          <cell r="E498">
            <v>1893000</v>
          </cell>
          <cell r="F498">
            <v>4009707</v>
          </cell>
          <cell r="G498">
            <v>5902707</v>
          </cell>
          <cell r="H498">
            <v>918470</v>
          </cell>
        </row>
        <row r="499">
          <cell r="A499" t="str">
            <v>1174</v>
          </cell>
          <cell r="B499" t="str">
            <v>古川　一孝　　　</v>
          </cell>
          <cell r="C499">
            <v>884130</v>
          </cell>
          <cell r="D499">
            <v>983830</v>
          </cell>
          <cell r="E499">
            <v>1867960</v>
          </cell>
          <cell r="F499">
            <v>4299317</v>
          </cell>
          <cell r="G499">
            <v>6167277</v>
          </cell>
          <cell r="H499">
            <v>985480</v>
          </cell>
        </row>
        <row r="500">
          <cell r="A500" t="str">
            <v>1493</v>
          </cell>
          <cell r="B500" t="str">
            <v>鈴木　篤美　　　</v>
          </cell>
          <cell r="C500">
            <v>798110</v>
          </cell>
          <cell r="D500">
            <v>980880</v>
          </cell>
          <cell r="E500">
            <v>1778990</v>
          </cell>
          <cell r="F500">
            <v>3787245</v>
          </cell>
          <cell r="G500">
            <v>5566235</v>
          </cell>
          <cell r="H500">
            <v>767840</v>
          </cell>
        </row>
        <row r="501">
          <cell r="A501" t="str">
            <v>0583</v>
          </cell>
          <cell r="B501" t="str">
            <v>佐田　俊治　　　</v>
          </cell>
          <cell r="C501">
            <v>846580</v>
          </cell>
          <cell r="D501">
            <v>979220</v>
          </cell>
          <cell r="E501">
            <v>1825800</v>
          </cell>
          <cell r="F501">
            <v>4377218</v>
          </cell>
          <cell r="G501">
            <v>6203018</v>
          </cell>
          <cell r="H501">
            <v>891030</v>
          </cell>
        </row>
        <row r="502">
          <cell r="A502" t="str">
            <v>0567</v>
          </cell>
          <cell r="B502" t="str">
            <v>笹原　繁徳　　　</v>
          </cell>
          <cell r="C502">
            <v>877610</v>
          </cell>
          <cell r="D502">
            <v>976970</v>
          </cell>
          <cell r="E502">
            <v>1854580</v>
          </cell>
          <cell r="F502">
            <v>4142930</v>
          </cell>
          <cell r="G502">
            <v>5997510</v>
          </cell>
          <cell r="H502">
            <v>877300</v>
          </cell>
        </row>
        <row r="503">
          <cell r="A503" t="str">
            <v>2074</v>
          </cell>
          <cell r="B503" t="str">
            <v>島本　勝則　　　</v>
          </cell>
          <cell r="C503">
            <v>835220</v>
          </cell>
          <cell r="D503">
            <v>976870</v>
          </cell>
          <cell r="E503">
            <v>1812090</v>
          </cell>
          <cell r="F503">
            <v>4109910</v>
          </cell>
          <cell r="G503">
            <v>5922000</v>
          </cell>
          <cell r="H503">
            <v>858590</v>
          </cell>
        </row>
        <row r="504">
          <cell r="A504" t="str">
            <v>0990</v>
          </cell>
          <cell r="B504" t="str">
            <v>新崎　雅之　　　</v>
          </cell>
          <cell r="C504">
            <v>833330</v>
          </cell>
          <cell r="D504">
            <v>975070</v>
          </cell>
          <cell r="E504">
            <v>1808400</v>
          </cell>
          <cell r="F504">
            <v>4237299</v>
          </cell>
          <cell r="G504">
            <v>6045699</v>
          </cell>
          <cell r="H504">
            <v>835920</v>
          </cell>
        </row>
        <row r="505">
          <cell r="A505" t="str">
            <v>0304</v>
          </cell>
          <cell r="B505" t="str">
            <v>島田　路子　　　</v>
          </cell>
          <cell r="C505">
            <v>876210</v>
          </cell>
          <cell r="D505">
            <v>972330</v>
          </cell>
          <cell r="E505">
            <v>1848540</v>
          </cell>
          <cell r="F505">
            <v>3820750</v>
          </cell>
          <cell r="G505">
            <v>5669290</v>
          </cell>
          <cell r="H505">
            <v>917180</v>
          </cell>
        </row>
        <row r="506">
          <cell r="A506" t="str">
            <v>0152</v>
          </cell>
          <cell r="B506" t="str">
            <v>黒谷　三郎　　　</v>
          </cell>
          <cell r="C506">
            <v>901200</v>
          </cell>
          <cell r="D506">
            <v>970700</v>
          </cell>
          <cell r="E506">
            <v>1871900</v>
          </cell>
          <cell r="F506">
            <v>4181775</v>
          </cell>
          <cell r="G506">
            <v>6053675</v>
          </cell>
          <cell r="H506">
            <v>904650</v>
          </cell>
        </row>
        <row r="507">
          <cell r="A507" t="str">
            <v>1637</v>
          </cell>
          <cell r="B507" t="str">
            <v>山口　一美　　　</v>
          </cell>
          <cell r="C507">
            <v>836710</v>
          </cell>
          <cell r="D507">
            <v>969430</v>
          </cell>
          <cell r="E507">
            <v>1806140</v>
          </cell>
          <cell r="F507">
            <v>5046673</v>
          </cell>
          <cell r="G507">
            <v>6852813</v>
          </cell>
          <cell r="H507">
            <v>854790</v>
          </cell>
        </row>
        <row r="508">
          <cell r="A508" t="str">
            <v>0584</v>
          </cell>
          <cell r="B508" t="str">
            <v>堤　庄司　　　　</v>
          </cell>
          <cell r="C508">
            <v>807710</v>
          </cell>
          <cell r="D508">
            <v>965940</v>
          </cell>
          <cell r="E508">
            <v>1773650</v>
          </cell>
          <cell r="F508">
            <v>4244104</v>
          </cell>
          <cell r="G508">
            <v>6017754</v>
          </cell>
          <cell r="H508">
            <v>816900</v>
          </cell>
        </row>
        <row r="509">
          <cell r="A509" t="str">
            <v>2302</v>
          </cell>
          <cell r="B509" t="str">
            <v>葉山　雅彦　　　</v>
          </cell>
          <cell r="C509">
            <v>802990</v>
          </cell>
          <cell r="D509">
            <v>963950</v>
          </cell>
          <cell r="E509">
            <v>1766940</v>
          </cell>
          <cell r="F509">
            <v>3497244</v>
          </cell>
          <cell r="G509">
            <v>5264184</v>
          </cell>
          <cell r="H509">
            <v>863450</v>
          </cell>
        </row>
        <row r="510">
          <cell r="A510" t="str">
            <v>3434</v>
          </cell>
          <cell r="B510" t="str">
            <v>南　宣吉　　　　</v>
          </cell>
          <cell r="C510">
            <v>734180</v>
          </cell>
          <cell r="D510">
            <v>961900</v>
          </cell>
          <cell r="E510">
            <v>1696080</v>
          </cell>
          <cell r="F510">
            <v>4007629</v>
          </cell>
          <cell r="G510">
            <v>5703709</v>
          </cell>
          <cell r="H510">
            <v>860690</v>
          </cell>
        </row>
        <row r="511">
          <cell r="A511" t="str">
            <v>2087</v>
          </cell>
          <cell r="B511" t="str">
            <v>吉村　雅之　　　</v>
          </cell>
          <cell r="C511">
            <v>797560</v>
          </cell>
          <cell r="D511">
            <v>955220</v>
          </cell>
          <cell r="E511">
            <v>1752780</v>
          </cell>
          <cell r="F511">
            <v>3706143</v>
          </cell>
          <cell r="G511">
            <v>5458923</v>
          </cell>
          <cell r="H511">
            <v>910440</v>
          </cell>
        </row>
        <row r="512">
          <cell r="A512" t="str">
            <v>2016</v>
          </cell>
          <cell r="B512" t="str">
            <v>田中　悟　　　　</v>
          </cell>
          <cell r="C512">
            <v>814010</v>
          </cell>
          <cell r="D512">
            <v>955220</v>
          </cell>
          <cell r="E512">
            <v>1769230</v>
          </cell>
          <cell r="F512">
            <v>3384799</v>
          </cell>
          <cell r="G512">
            <v>5154029</v>
          </cell>
          <cell r="H512">
            <v>875360</v>
          </cell>
        </row>
        <row r="513">
          <cell r="A513" t="str">
            <v>1363</v>
          </cell>
          <cell r="B513" t="str">
            <v>篠崎　恵　　　　</v>
          </cell>
          <cell r="C513">
            <v>769540</v>
          </cell>
          <cell r="D513">
            <v>955220</v>
          </cell>
          <cell r="E513">
            <v>1724760</v>
          </cell>
          <cell r="F513">
            <v>3981941</v>
          </cell>
          <cell r="G513">
            <v>5706701</v>
          </cell>
          <cell r="H513">
            <v>803130</v>
          </cell>
        </row>
        <row r="514">
          <cell r="A514" t="str">
            <v>2070</v>
          </cell>
          <cell r="B514" t="str">
            <v>金光　高正　　　</v>
          </cell>
          <cell r="C514">
            <v>763500</v>
          </cell>
          <cell r="D514">
            <v>955220</v>
          </cell>
          <cell r="E514">
            <v>1718720</v>
          </cell>
          <cell r="F514">
            <v>3947681</v>
          </cell>
          <cell r="G514">
            <v>5666401</v>
          </cell>
          <cell r="H514">
            <v>875360</v>
          </cell>
        </row>
        <row r="515">
          <cell r="A515" t="str">
            <v>0570</v>
          </cell>
          <cell r="B515" t="str">
            <v>松島　清仁　　　</v>
          </cell>
          <cell r="C515">
            <v>829210</v>
          </cell>
          <cell r="D515">
            <v>954630</v>
          </cell>
          <cell r="E515">
            <v>1783840</v>
          </cell>
          <cell r="F515">
            <v>4304976</v>
          </cell>
          <cell r="G515">
            <v>6088816</v>
          </cell>
          <cell r="H515">
            <v>981390</v>
          </cell>
        </row>
        <row r="516">
          <cell r="A516" t="str">
            <v>1273</v>
          </cell>
          <cell r="B516" t="str">
            <v>三宅　健二　　　</v>
          </cell>
          <cell r="C516">
            <v>871380</v>
          </cell>
          <cell r="D516">
            <v>953200</v>
          </cell>
          <cell r="E516">
            <v>1824580</v>
          </cell>
          <cell r="F516">
            <v>4276544</v>
          </cell>
          <cell r="G516">
            <v>6101124</v>
          </cell>
          <cell r="H516">
            <v>880990</v>
          </cell>
        </row>
        <row r="517">
          <cell r="A517" t="str">
            <v>3438</v>
          </cell>
          <cell r="B517" t="str">
            <v>中西　達也　　　</v>
          </cell>
          <cell r="C517">
            <v>800910</v>
          </cell>
          <cell r="D517">
            <v>952760</v>
          </cell>
          <cell r="E517">
            <v>1753670</v>
          </cell>
          <cell r="F517">
            <v>4560203</v>
          </cell>
          <cell r="G517">
            <v>6313873</v>
          </cell>
          <cell r="H517">
            <v>868590</v>
          </cell>
        </row>
        <row r="518">
          <cell r="A518" t="str">
            <v>1699</v>
          </cell>
          <cell r="B518" t="str">
            <v>菊池　勇　　　　</v>
          </cell>
          <cell r="C518">
            <v>844260</v>
          </cell>
          <cell r="D518">
            <v>952630</v>
          </cell>
          <cell r="E518">
            <v>1796890</v>
          </cell>
          <cell r="F518">
            <v>4370772</v>
          </cell>
          <cell r="G518">
            <v>6167662</v>
          </cell>
          <cell r="H518">
            <v>853120</v>
          </cell>
        </row>
        <row r="519">
          <cell r="A519" t="str">
            <v>2443</v>
          </cell>
          <cell r="B519" t="str">
            <v>増田　隆　　　　</v>
          </cell>
          <cell r="C519">
            <v>826950</v>
          </cell>
          <cell r="D519">
            <v>952290</v>
          </cell>
          <cell r="E519">
            <v>1779240</v>
          </cell>
          <cell r="F519">
            <v>4241968</v>
          </cell>
          <cell r="G519">
            <v>6021208</v>
          </cell>
          <cell r="H519">
            <v>863820</v>
          </cell>
        </row>
        <row r="520">
          <cell r="A520" t="str">
            <v>0104</v>
          </cell>
          <cell r="B520" t="str">
            <v>片山　隆　　　　</v>
          </cell>
          <cell r="C520">
            <v>805990</v>
          </cell>
          <cell r="D520">
            <v>952150</v>
          </cell>
          <cell r="E520">
            <v>1758140</v>
          </cell>
          <cell r="F520">
            <v>3939469</v>
          </cell>
          <cell r="G520">
            <v>5697609</v>
          </cell>
          <cell r="H520">
            <v>861030</v>
          </cell>
        </row>
        <row r="521">
          <cell r="A521" t="str">
            <v>1844</v>
          </cell>
          <cell r="B521" t="str">
            <v>中棹　康勝　　　</v>
          </cell>
          <cell r="C521">
            <v>779910</v>
          </cell>
          <cell r="D521">
            <v>951220</v>
          </cell>
          <cell r="E521">
            <v>1731130</v>
          </cell>
          <cell r="F521">
            <v>4047916</v>
          </cell>
          <cell r="G521">
            <v>5779046</v>
          </cell>
          <cell r="H521">
            <v>853070</v>
          </cell>
        </row>
        <row r="522">
          <cell r="A522" t="str">
            <v>1496</v>
          </cell>
          <cell r="B522" t="str">
            <v>高橋　今朝男　　</v>
          </cell>
          <cell r="C522">
            <v>859230</v>
          </cell>
          <cell r="D522">
            <v>950110</v>
          </cell>
          <cell r="E522">
            <v>1809340</v>
          </cell>
          <cell r="F522">
            <v>4188658</v>
          </cell>
          <cell r="G522">
            <v>5997998</v>
          </cell>
          <cell r="H522">
            <v>929270</v>
          </cell>
        </row>
        <row r="523">
          <cell r="A523" t="str">
            <v>2598</v>
          </cell>
          <cell r="B523" t="str">
            <v>丹　光浩　　　　</v>
          </cell>
          <cell r="C523">
            <v>839700</v>
          </cell>
          <cell r="D523">
            <v>948800</v>
          </cell>
          <cell r="E523">
            <v>1788500</v>
          </cell>
          <cell r="F523">
            <v>4558922</v>
          </cell>
          <cell r="G523">
            <v>6347422</v>
          </cell>
          <cell r="H523">
            <v>833900</v>
          </cell>
        </row>
        <row r="524">
          <cell r="A524" t="str">
            <v>2199</v>
          </cell>
          <cell r="B524" t="str">
            <v>木俣　泰典　　　</v>
          </cell>
          <cell r="C524">
            <v>812800</v>
          </cell>
          <cell r="D524">
            <v>948400</v>
          </cell>
          <cell r="E524">
            <v>1761200</v>
          </cell>
          <cell r="F524">
            <v>3627420</v>
          </cell>
          <cell r="G524">
            <v>5388620</v>
          </cell>
          <cell r="H524">
            <v>835800</v>
          </cell>
        </row>
        <row r="525">
          <cell r="A525" t="str">
            <v>1303</v>
          </cell>
          <cell r="B525" t="str">
            <v>鵜山　信義　　　</v>
          </cell>
          <cell r="C525">
            <v>834110</v>
          </cell>
          <cell r="D525">
            <v>945440</v>
          </cell>
          <cell r="E525">
            <v>1779550</v>
          </cell>
          <cell r="F525">
            <v>3704883</v>
          </cell>
          <cell r="G525">
            <v>5484433</v>
          </cell>
          <cell r="H525">
            <v>774210</v>
          </cell>
        </row>
        <row r="526">
          <cell r="A526" t="str">
            <v>1322</v>
          </cell>
          <cell r="B526" t="str">
            <v>高月　清　　　　</v>
          </cell>
          <cell r="C526">
            <v>886760</v>
          </cell>
          <cell r="D526">
            <v>945380</v>
          </cell>
          <cell r="E526">
            <v>1832140</v>
          </cell>
          <cell r="F526">
            <v>3982315</v>
          </cell>
          <cell r="G526">
            <v>5814455</v>
          </cell>
          <cell r="H526">
            <v>912130</v>
          </cell>
        </row>
        <row r="527">
          <cell r="A527" t="str">
            <v>1444</v>
          </cell>
          <cell r="B527" t="str">
            <v>橋本　有史　　　</v>
          </cell>
          <cell r="C527">
            <v>863550</v>
          </cell>
          <cell r="D527">
            <v>945150</v>
          </cell>
          <cell r="E527">
            <v>1808700</v>
          </cell>
          <cell r="F527">
            <v>4168147</v>
          </cell>
          <cell r="G527">
            <v>5976847</v>
          </cell>
          <cell r="H527">
            <v>933770</v>
          </cell>
        </row>
        <row r="528">
          <cell r="A528" t="str">
            <v>0399</v>
          </cell>
          <cell r="B528" t="str">
            <v>早藤　憲治　　　</v>
          </cell>
          <cell r="C528">
            <v>800020</v>
          </cell>
          <cell r="D528">
            <v>944920</v>
          </cell>
          <cell r="E528">
            <v>1744940</v>
          </cell>
          <cell r="F528">
            <v>4407528</v>
          </cell>
          <cell r="G528">
            <v>6152468</v>
          </cell>
          <cell r="H528">
            <v>898130</v>
          </cell>
        </row>
        <row r="529">
          <cell r="A529" t="str">
            <v>1082</v>
          </cell>
          <cell r="B529" t="str">
            <v>古賀　清晴　　　</v>
          </cell>
          <cell r="C529">
            <v>813260</v>
          </cell>
          <cell r="D529">
            <v>943840</v>
          </cell>
          <cell r="E529">
            <v>1757100</v>
          </cell>
          <cell r="F529">
            <v>4230611</v>
          </cell>
          <cell r="G529">
            <v>5987711</v>
          </cell>
          <cell r="H529">
            <v>847820</v>
          </cell>
        </row>
        <row r="530">
          <cell r="A530" t="str">
            <v>1836</v>
          </cell>
          <cell r="B530" t="str">
            <v>板垣　文雄　　　</v>
          </cell>
          <cell r="C530">
            <v>841670</v>
          </cell>
          <cell r="D530">
            <v>942980</v>
          </cell>
          <cell r="E530">
            <v>1784650</v>
          </cell>
          <cell r="F530">
            <v>4819402</v>
          </cell>
          <cell r="G530">
            <v>6604052</v>
          </cell>
          <cell r="H530">
            <v>858060</v>
          </cell>
        </row>
        <row r="531">
          <cell r="A531" t="str">
            <v>1157</v>
          </cell>
          <cell r="B531" t="str">
            <v>杉原　伸一　　　</v>
          </cell>
          <cell r="C531">
            <v>807350</v>
          </cell>
          <cell r="D531">
            <v>940380</v>
          </cell>
          <cell r="E531">
            <v>1747730</v>
          </cell>
          <cell r="F531">
            <v>3930464</v>
          </cell>
          <cell r="G531">
            <v>5678194</v>
          </cell>
          <cell r="H531">
            <v>794520</v>
          </cell>
        </row>
        <row r="532">
          <cell r="A532" t="str">
            <v>1626</v>
          </cell>
          <cell r="B532" t="str">
            <v>伊藤　武　　　　</v>
          </cell>
          <cell r="C532">
            <v>919350</v>
          </cell>
          <cell r="D532">
            <v>940260</v>
          </cell>
          <cell r="E532">
            <v>1859610</v>
          </cell>
          <cell r="F532">
            <v>3990606</v>
          </cell>
          <cell r="G532">
            <v>5850216</v>
          </cell>
          <cell r="H532">
            <v>812410</v>
          </cell>
        </row>
        <row r="533">
          <cell r="A533" t="str">
            <v>2189</v>
          </cell>
          <cell r="B533" t="str">
            <v>秋本　寛之　　　</v>
          </cell>
          <cell r="C533">
            <v>843030</v>
          </cell>
          <cell r="D533">
            <v>938000</v>
          </cell>
          <cell r="E533">
            <v>1781030</v>
          </cell>
          <cell r="F533">
            <v>4016835</v>
          </cell>
          <cell r="G533">
            <v>5797865</v>
          </cell>
          <cell r="H533">
            <v>800420</v>
          </cell>
        </row>
        <row r="534">
          <cell r="A534" t="str">
            <v>1732</v>
          </cell>
          <cell r="B534" t="str">
            <v>布川　博　　　　</v>
          </cell>
          <cell r="C534">
            <v>913590</v>
          </cell>
          <cell r="D534">
            <v>936830</v>
          </cell>
          <cell r="E534">
            <v>1850420</v>
          </cell>
          <cell r="F534">
            <v>4332034</v>
          </cell>
          <cell r="G534">
            <v>6182454</v>
          </cell>
          <cell r="H534">
            <v>922570</v>
          </cell>
        </row>
        <row r="535">
          <cell r="A535" t="str">
            <v>1709</v>
          </cell>
          <cell r="B535" t="str">
            <v>野尻　孝　　　　</v>
          </cell>
          <cell r="C535">
            <v>808870</v>
          </cell>
          <cell r="D535">
            <v>934010</v>
          </cell>
          <cell r="E535">
            <v>1742880</v>
          </cell>
          <cell r="F535">
            <v>4061510</v>
          </cell>
          <cell r="G535">
            <v>5804390</v>
          </cell>
          <cell r="H535">
            <v>856920</v>
          </cell>
        </row>
        <row r="536">
          <cell r="A536" t="str">
            <v>2547</v>
          </cell>
          <cell r="B536" t="str">
            <v>森元　敏郎　　　</v>
          </cell>
          <cell r="C536">
            <v>821460</v>
          </cell>
          <cell r="D536">
            <v>932750</v>
          </cell>
          <cell r="E536">
            <v>1754210</v>
          </cell>
          <cell r="F536">
            <v>3540144</v>
          </cell>
          <cell r="G536">
            <v>5294354</v>
          </cell>
          <cell r="H536">
            <v>845070</v>
          </cell>
        </row>
        <row r="537">
          <cell r="A537" t="str">
            <v>1736</v>
          </cell>
          <cell r="B537" t="str">
            <v>福田　肇　　　　</v>
          </cell>
          <cell r="C537">
            <v>803580</v>
          </cell>
          <cell r="D537">
            <v>931210</v>
          </cell>
          <cell r="E537">
            <v>1734790</v>
          </cell>
          <cell r="F537">
            <v>4264423</v>
          </cell>
          <cell r="G537">
            <v>5999213</v>
          </cell>
          <cell r="H537">
            <v>985350</v>
          </cell>
        </row>
        <row r="538">
          <cell r="A538" t="str">
            <v>1314</v>
          </cell>
          <cell r="B538" t="str">
            <v>酒井　学　　　　</v>
          </cell>
          <cell r="C538">
            <v>896480</v>
          </cell>
          <cell r="D538">
            <v>930330</v>
          </cell>
          <cell r="E538">
            <v>1826810</v>
          </cell>
          <cell r="F538">
            <v>4341763</v>
          </cell>
          <cell r="G538">
            <v>6168573</v>
          </cell>
          <cell r="H538">
            <v>920650</v>
          </cell>
        </row>
        <row r="539">
          <cell r="A539" t="str">
            <v>1193</v>
          </cell>
          <cell r="B539" t="str">
            <v>星野　正義　　　</v>
          </cell>
          <cell r="C539">
            <v>922270</v>
          </cell>
          <cell r="D539">
            <v>930060</v>
          </cell>
          <cell r="E539">
            <v>1852330</v>
          </cell>
          <cell r="F539">
            <v>4769695</v>
          </cell>
          <cell r="G539">
            <v>6622025</v>
          </cell>
          <cell r="H539">
            <v>898670</v>
          </cell>
        </row>
        <row r="540">
          <cell r="A540" t="str">
            <v>1445</v>
          </cell>
          <cell r="B540" t="str">
            <v>浜田　忠男　　　</v>
          </cell>
          <cell r="C540">
            <v>769460</v>
          </cell>
          <cell r="D540">
            <v>924590</v>
          </cell>
          <cell r="E540">
            <v>1694050</v>
          </cell>
          <cell r="F540">
            <v>3826050</v>
          </cell>
          <cell r="G540">
            <v>5520100</v>
          </cell>
          <cell r="H540">
            <v>826340</v>
          </cell>
        </row>
        <row r="541">
          <cell r="A541" t="str">
            <v>2060</v>
          </cell>
          <cell r="B541" t="str">
            <v>綾部　直樹　　　</v>
          </cell>
          <cell r="C541">
            <v>872580</v>
          </cell>
          <cell r="D541">
            <v>923360</v>
          </cell>
          <cell r="E541">
            <v>1795940</v>
          </cell>
          <cell r="F541">
            <v>3867838</v>
          </cell>
          <cell r="G541">
            <v>5663778</v>
          </cell>
          <cell r="H541">
            <v>732690</v>
          </cell>
        </row>
        <row r="542">
          <cell r="A542" t="str">
            <v>1136</v>
          </cell>
          <cell r="B542" t="str">
            <v>清水　康弘　　　</v>
          </cell>
          <cell r="C542">
            <v>822140</v>
          </cell>
          <cell r="D542">
            <v>921750</v>
          </cell>
          <cell r="E542">
            <v>1743890</v>
          </cell>
          <cell r="F542">
            <v>4551221</v>
          </cell>
          <cell r="G542">
            <v>6295111</v>
          </cell>
          <cell r="H542">
            <v>840310</v>
          </cell>
        </row>
        <row r="543">
          <cell r="A543" t="str">
            <v>2210</v>
          </cell>
          <cell r="B543" t="str">
            <v>中尾　晴比古　　</v>
          </cell>
          <cell r="C543">
            <v>795610</v>
          </cell>
          <cell r="D543">
            <v>921190</v>
          </cell>
          <cell r="E543">
            <v>1716800</v>
          </cell>
          <cell r="F543">
            <v>3358782</v>
          </cell>
          <cell r="G543">
            <v>5075582</v>
          </cell>
          <cell r="H543">
            <v>835610</v>
          </cell>
        </row>
        <row r="544">
          <cell r="A544" t="str">
            <v>1919</v>
          </cell>
          <cell r="B544" t="str">
            <v>山崎　悦司　　　</v>
          </cell>
          <cell r="C544">
            <v>762380</v>
          </cell>
          <cell r="D544">
            <v>920960</v>
          </cell>
          <cell r="E544">
            <v>1683340</v>
          </cell>
          <cell r="F544">
            <v>3486546</v>
          </cell>
          <cell r="G544">
            <v>5169886</v>
          </cell>
          <cell r="H544">
            <v>831870</v>
          </cell>
        </row>
        <row r="545">
          <cell r="A545" t="str">
            <v>2200</v>
          </cell>
          <cell r="B545" t="str">
            <v>小林　昇　　　　</v>
          </cell>
          <cell r="C545">
            <v>811060</v>
          </cell>
          <cell r="D545">
            <v>919030</v>
          </cell>
          <cell r="E545">
            <v>1730090</v>
          </cell>
          <cell r="F545">
            <v>3980455</v>
          </cell>
          <cell r="G545">
            <v>5710545</v>
          </cell>
          <cell r="H545">
            <v>823800</v>
          </cell>
        </row>
        <row r="546">
          <cell r="A546" t="str">
            <v>2206</v>
          </cell>
          <cell r="B546" t="str">
            <v>田中　宣司　　　</v>
          </cell>
          <cell r="C546">
            <v>791960</v>
          </cell>
          <cell r="D546">
            <v>917400</v>
          </cell>
          <cell r="E546">
            <v>1709360</v>
          </cell>
          <cell r="F546">
            <v>3769234</v>
          </cell>
          <cell r="G546">
            <v>5478594</v>
          </cell>
          <cell r="H546">
            <v>872630</v>
          </cell>
        </row>
        <row r="547">
          <cell r="A547" t="str">
            <v>2561</v>
          </cell>
          <cell r="B547" t="str">
            <v>三浦　高嗣　　　</v>
          </cell>
          <cell r="C547">
            <v>799470</v>
          </cell>
          <cell r="D547">
            <v>917300</v>
          </cell>
          <cell r="E547">
            <v>1716770</v>
          </cell>
          <cell r="F547">
            <v>4020910</v>
          </cell>
          <cell r="G547">
            <v>5737680</v>
          </cell>
          <cell r="H547">
            <v>872540</v>
          </cell>
        </row>
        <row r="548">
          <cell r="A548" t="str">
            <v>2890</v>
          </cell>
          <cell r="B548" t="str">
            <v>浜田　朋昭　　　</v>
          </cell>
          <cell r="C548">
            <v>819350</v>
          </cell>
          <cell r="D548">
            <v>917180</v>
          </cell>
          <cell r="E548">
            <v>1736530</v>
          </cell>
          <cell r="F548">
            <v>4174249</v>
          </cell>
          <cell r="G548">
            <v>5910779</v>
          </cell>
          <cell r="H548">
            <v>848200</v>
          </cell>
        </row>
        <row r="549">
          <cell r="A549" t="str">
            <v>2076</v>
          </cell>
          <cell r="B549" t="str">
            <v>田口　晃　　　　</v>
          </cell>
          <cell r="C549">
            <v>810460</v>
          </cell>
          <cell r="D549">
            <v>915420</v>
          </cell>
          <cell r="E549">
            <v>1725880</v>
          </cell>
          <cell r="F549">
            <v>4016345</v>
          </cell>
          <cell r="G549">
            <v>5742225</v>
          </cell>
          <cell r="H549">
            <v>830380</v>
          </cell>
        </row>
        <row r="550">
          <cell r="A550" t="str">
            <v>2072</v>
          </cell>
          <cell r="B550" t="str">
            <v>桜井　敏　　　　</v>
          </cell>
          <cell r="C550">
            <v>810750</v>
          </cell>
          <cell r="D550">
            <v>913680</v>
          </cell>
          <cell r="E550">
            <v>1724430</v>
          </cell>
          <cell r="F550">
            <v>3454357</v>
          </cell>
          <cell r="G550">
            <v>5178787</v>
          </cell>
          <cell r="H550">
            <v>830330</v>
          </cell>
        </row>
        <row r="551">
          <cell r="A551" t="str">
            <v>1261</v>
          </cell>
          <cell r="B551" t="str">
            <v>三井　健司　　　</v>
          </cell>
          <cell r="C551">
            <v>755820</v>
          </cell>
          <cell r="D551">
            <v>912310</v>
          </cell>
          <cell r="E551">
            <v>1668130</v>
          </cell>
          <cell r="F551">
            <v>4487101</v>
          </cell>
          <cell r="G551">
            <v>6155231</v>
          </cell>
          <cell r="H551">
            <v>842310</v>
          </cell>
        </row>
        <row r="552">
          <cell r="A552" t="str">
            <v>2420</v>
          </cell>
          <cell r="B552" t="str">
            <v>佐々井　孝　　　</v>
          </cell>
          <cell r="C552">
            <v>807100</v>
          </cell>
          <cell r="D552">
            <v>912050</v>
          </cell>
          <cell r="E552">
            <v>1719150</v>
          </cell>
          <cell r="F552">
            <v>4129551</v>
          </cell>
          <cell r="G552">
            <v>5848701</v>
          </cell>
          <cell r="H552">
            <v>852720</v>
          </cell>
        </row>
        <row r="553">
          <cell r="A553" t="str">
            <v>2272</v>
          </cell>
          <cell r="B553" t="str">
            <v>永野　淳　　　　</v>
          </cell>
          <cell r="C553">
            <v>807990</v>
          </cell>
          <cell r="D553">
            <v>911650</v>
          </cell>
          <cell r="E553">
            <v>1719640</v>
          </cell>
          <cell r="F553">
            <v>3582914</v>
          </cell>
          <cell r="G553">
            <v>5302554</v>
          </cell>
          <cell r="H553">
            <v>827460</v>
          </cell>
        </row>
        <row r="554">
          <cell r="A554" t="str">
            <v>1357</v>
          </cell>
          <cell r="B554" t="str">
            <v>宇都宮　孝二　　</v>
          </cell>
          <cell r="C554">
            <v>814010</v>
          </cell>
          <cell r="D554">
            <v>911530</v>
          </cell>
          <cell r="E554">
            <v>1725540</v>
          </cell>
          <cell r="F554">
            <v>3878841</v>
          </cell>
          <cell r="G554">
            <v>5604381</v>
          </cell>
          <cell r="H554">
            <v>826850</v>
          </cell>
        </row>
        <row r="555">
          <cell r="A555" t="str">
            <v>1636</v>
          </cell>
          <cell r="B555" t="str">
            <v>岡本　一郎　　　</v>
          </cell>
          <cell r="C555">
            <v>795310</v>
          </cell>
          <cell r="D555">
            <v>910580</v>
          </cell>
          <cell r="E555">
            <v>1705890</v>
          </cell>
          <cell r="F555">
            <v>4452919</v>
          </cell>
          <cell r="G555">
            <v>6158809</v>
          </cell>
          <cell r="H555">
            <v>897940</v>
          </cell>
        </row>
        <row r="556">
          <cell r="A556" t="str">
            <v>2065</v>
          </cell>
          <cell r="B556" t="str">
            <v>上田　美治　　　</v>
          </cell>
          <cell r="C556">
            <v>807400</v>
          </cell>
          <cell r="D556">
            <v>909970</v>
          </cell>
          <cell r="E556">
            <v>1717370</v>
          </cell>
          <cell r="F556">
            <v>4073429</v>
          </cell>
          <cell r="G556">
            <v>5790799</v>
          </cell>
          <cell r="H556">
            <v>826940</v>
          </cell>
        </row>
        <row r="557">
          <cell r="A557" t="str">
            <v>2728</v>
          </cell>
          <cell r="B557" t="str">
            <v>岩尾　邦彦　　　</v>
          </cell>
          <cell r="C557">
            <v>785000</v>
          </cell>
          <cell r="D557">
            <v>909740</v>
          </cell>
          <cell r="E557">
            <v>1694740</v>
          </cell>
          <cell r="F557">
            <v>3829830</v>
          </cell>
          <cell r="G557">
            <v>5524570</v>
          </cell>
          <cell r="H557">
            <v>776300</v>
          </cell>
        </row>
        <row r="558">
          <cell r="A558" t="str">
            <v>2265</v>
          </cell>
          <cell r="B558" t="str">
            <v>崎野　龍二　　　</v>
          </cell>
          <cell r="C558">
            <v>751410</v>
          </cell>
          <cell r="D558">
            <v>909530</v>
          </cell>
          <cell r="E558">
            <v>1660940</v>
          </cell>
          <cell r="F558">
            <v>3519441</v>
          </cell>
          <cell r="G558">
            <v>5180381</v>
          </cell>
          <cell r="H558">
            <v>839400</v>
          </cell>
        </row>
        <row r="559">
          <cell r="A559" t="str">
            <v>2263</v>
          </cell>
          <cell r="B559" t="str">
            <v>吉良　文生　　　</v>
          </cell>
          <cell r="C559">
            <v>792600</v>
          </cell>
          <cell r="D559">
            <v>909530</v>
          </cell>
          <cell r="E559">
            <v>1702130</v>
          </cell>
          <cell r="F559">
            <v>4079066</v>
          </cell>
          <cell r="G559">
            <v>5781196</v>
          </cell>
          <cell r="H559">
            <v>801550</v>
          </cell>
        </row>
        <row r="560">
          <cell r="A560" t="str">
            <v>2203</v>
          </cell>
          <cell r="B560" t="str">
            <v>関　光彦　　　　</v>
          </cell>
          <cell r="C560">
            <v>791650</v>
          </cell>
          <cell r="D560">
            <v>907640</v>
          </cell>
          <cell r="E560">
            <v>1699290</v>
          </cell>
          <cell r="F560">
            <v>3505000</v>
          </cell>
          <cell r="G560">
            <v>5204290</v>
          </cell>
          <cell r="H560">
            <v>823310</v>
          </cell>
        </row>
        <row r="561">
          <cell r="A561" t="str">
            <v>2061</v>
          </cell>
          <cell r="B561" t="str">
            <v>池田　佳生　　　</v>
          </cell>
          <cell r="C561">
            <v>756960</v>
          </cell>
          <cell r="D561">
            <v>907050</v>
          </cell>
          <cell r="E561">
            <v>1664010</v>
          </cell>
          <cell r="F561">
            <v>4043921</v>
          </cell>
          <cell r="G561">
            <v>5707931</v>
          </cell>
          <cell r="H561">
            <v>832190</v>
          </cell>
        </row>
        <row r="562">
          <cell r="A562" t="str">
            <v>2062</v>
          </cell>
          <cell r="B562" t="str">
            <v>石井　昭二　　　</v>
          </cell>
          <cell r="C562">
            <v>763550</v>
          </cell>
          <cell r="D562">
            <v>907050</v>
          </cell>
          <cell r="E562">
            <v>1670600</v>
          </cell>
          <cell r="F562">
            <v>4017968</v>
          </cell>
          <cell r="G562">
            <v>5688568</v>
          </cell>
          <cell r="H562">
            <v>875360</v>
          </cell>
        </row>
        <row r="563">
          <cell r="A563" t="str">
            <v>0190</v>
          </cell>
          <cell r="B563" t="str">
            <v>森崎　直人　　　</v>
          </cell>
          <cell r="C563">
            <v>759680</v>
          </cell>
          <cell r="D563">
            <v>905590</v>
          </cell>
          <cell r="E563">
            <v>1665270</v>
          </cell>
          <cell r="F563">
            <v>4658639</v>
          </cell>
          <cell r="G563">
            <v>6323909</v>
          </cell>
          <cell r="H563">
            <v>875430</v>
          </cell>
        </row>
        <row r="564">
          <cell r="A564" t="str">
            <v>1889</v>
          </cell>
          <cell r="B564" t="str">
            <v>黒澤　静一　　　</v>
          </cell>
          <cell r="C564">
            <v>833220</v>
          </cell>
          <cell r="D564">
            <v>905290</v>
          </cell>
          <cell r="E564">
            <v>1738510</v>
          </cell>
          <cell r="F564">
            <v>4294647</v>
          </cell>
          <cell r="G564">
            <v>6033157</v>
          </cell>
          <cell r="H564">
            <v>943150</v>
          </cell>
        </row>
        <row r="565">
          <cell r="A565" t="str">
            <v>2921</v>
          </cell>
          <cell r="B565" t="str">
            <v>西岡　誠一　　　</v>
          </cell>
          <cell r="C565">
            <v>754050</v>
          </cell>
          <cell r="D565">
            <v>902820</v>
          </cell>
          <cell r="E565">
            <v>1656870</v>
          </cell>
          <cell r="F565">
            <v>3171499</v>
          </cell>
          <cell r="G565">
            <v>4828369</v>
          </cell>
          <cell r="H565">
            <v>804110</v>
          </cell>
        </row>
        <row r="566">
          <cell r="A566" t="str">
            <v>2192</v>
          </cell>
          <cell r="B566" t="str">
            <v>新垣　信也　　　</v>
          </cell>
          <cell r="C566">
            <v>816100</v>
          </cell>
          <cell r="D566">
            <v>902680</v>
          </cell>
          <cell r="E566">
            <v>1718780</v>
          </cell>
          <cell r="F566">
            <v>3957587</v>
          </cell>
          <cell r="G566">
            <v>5676367</v>
          </cell>
          <cell r="H566">
            <v>761770</v>
          </cell>
        </row>
        <row r="567">
          <cell r="A567" t="str">
            <v>2360</v>
          </cell>
          <cell r="B567" t="str">
            <v>岡本　泰郎　　　</v>
          </cell>
          <cell r="C567">
            <v>769720</v>
          </cell>
          <cell r="D567">
            <v>901760</v>
          </cell>
          <cell r="E567">
            <v>1671480</v>
          </cell>
          <cell r="F567">
            <v>3254371</v>
          </cell>
          <cell r="G567">
            <v>4925851</v>
          </cell>
          <cell r="H567">
            <v>806350</v>
          </cell>
        </row>
        <row r="568">
          <cell r="A568" t="str">
            <v>1272</v>
          </cell>
          <cell r="B568" t="str">
            <v>小山　文男　　　</v>
          </cell>
          <cell r="C568">
            <v>798720</v>
          </cell>
          <cell r="D568">
            <v>899980</v>
          </cell>
          <cell r="E568">
            <v>1698700</v>
          </cell>
          <cell r="F568">
            <v>3788204</v>
          </cell>
          <cell r="G568">
            <v>5486904</v>
          </cell>
          <cell r="H568">
            <v>818930</v>
          </cell>
        </row>
        <row r="569">
          <cell r="A569" t="str">
            <v>2277</v>
          </cell>
          <cell r="B569" t="str">
            <v>藤城　克也　　　</v>
          </cell>
          <cell r="C569">
            <v>793620</v>
          </cell>
          <cell r="D569">
            <v>899880</v>
          </cell>
          <cell r="E569">
            <v>1693500</v>
          </cell>
          <cell r="F569">
            <v>3944434</v>
          </cell>
          <cell r="G569">
            <v>5637934</v>
          </cell>
          <cell r="H569">
            <v>816770</v>
          </cell>
        </row>
        <row r="570">
          <cell r="A570" t="str">
            <v>2266</v>
          </cell>
          <cell r="B570" t="str">
            <v>佐藤　光雄　　　</v>
          </cell>
          <cell r="C570">
            <v>793620</v>
          </cell>
          <cell r="D570">
            <v>899880</v>
          </cell>
          <cell r="E570">
            <v>1693500</v>
          </cell>
          <cell r="F570">
            <v>4071102</v>
          </cell>
          <cell r="G570">
            <v>5764602</v>
          </cell>
          <cell r="H570">
            <v>816770</v>
          </cell>
        </row>
        <row r="571">
          <cell r="A571" t="str">
            <v>1151</v>
          </cell>
          <cell r="B571" t="str">
            <v>木原　明彦　　　</v>
          </cell>
          <cell r="C571">
            <v>787590</v>
          </cell>
          <cell r="D571">
            <v>899240</v>
          </cell>
          <cell r="E571">
            <v>1686830</v>
          </cell>
          <cell r="F571">
            <v>4294805</v>
          </cell>
          <cell r="G571">
            <v>5981635</v>
          </cell>
          <cell r="H571">
            <v>813800</v>
          </cell>
        </row>
        <row r="572">
          <cell r="A572" t="str">
            <v>0101</v>
          </cell>
          <cell r="B572" t="str">
            <v>近藤　正　　　　</v>
          </cell>
          <cell r="C572">
            <v>825130</v>
          </cell>
          <cell r="D572">
            <v>899200</v>
          </cell>
          <cell r="E572">
            <v>1724330</v>
          </cell>
          <cell r="F572">
            <v>3753600</v>
          </cell>
          <cell r="G572">
            <v>5477930</v>
          </cell>
          <cell r="H572">
            <v>826370</v>
          </cell>
        </row>
        <row r="573">
          <cell r="A573" t="str">
            <v>2554</v>
          </cell>
          <cell r="B573" t="str">
            <v>三好　英二　　　</v>
          </cell>
          <cell r="C573">
            <v>772940</v>
          </cell>
          <cell r="D573">
            <v>898820</v>
          </cell>
          <cell r="E573">
            <v>1671760</v>
          </cell>
          <cell r="F573">
            <v>4030939</v>
          </cell>
          <cell r="G573">
            <v>5702699</v>
          </cell>
          <cell r="H573">
            <v>855240</v>
          </cell>
        </row>
        <row r="574">
          <cell r="A574" t="str">
            <v>1353</v>
          </cell>
          <cell r="B574" t="str">
            <v>森田　政直　　　</v>
          </cell>
          <cell r="C574">
            <v>748700</v>
          </cell>
          <cell r="D574">
            <v>897150</v>
          </cell>
          <cell r="E574">
            <v>1645850</v>
          </cell>
          <cell r="F574">
            <v>4043800</v>
          </cell>
          <cell r="G574">
            <v>5689650</v>
          </cell>
          <cell r="H574">
            <v>879070</v>
          </cell>
        </row>
        <row r="575">
          <cell r="A575" t="str">
            <v>2364</v>
          </cell>
          <cell r="B575" t="str">
            <v>唐川　誠樹　　　</v>
          </cell>
          <cell r="C575">
            <v>775820</v>
          </cell>
          <cell r="D575">
            <v>896640</v>
          </cell>
          <cell r="E575">
            <v>1672460</v>
          </cell>
          <cell r="F575">
            <v>3906804</v>
          </cell>
          <cell r="G575">
            <v>5579264</v>
          </cell>
          <cell r="H575">
            <v>800450</v>
          </cell>
        </row>
        <row r="576">
          <cell r="A576" t="str">
            <v>2441</v>
          </cell>
          <cell r="B576" t="str">
            <v>武田　廣　　　　</v>
          </cell>
          <cell r="C576">
            <v>792770</v>
          </cell>
          <cell r="D576">
            <v>895980</v>
          </cell>
          <cell r="E576">
            <v>1688750</v>
          </cell>
          <cell r="F576">
            <v>3202360</v>
          </cell>
          <cell r="G576">
            <v>4891110</v>
          </cell>
          <cell r="H576">
            <v>812750</v>
          </cell>
        </row>
        <row r="577">
          <cell r="A577" t="str">
            <v>2217</v>
          </cell>
          <cell r="B577" t="str">
            <v>村上　能章　　　</v>
          </cell>
          <cell r="C577">
            <v>780860</v>
          </cell>
          <cell r="D577">
            <v>894200</v>
          </cell>
          <cell r="E577">
            <v>1675060</v>
          </cell>
          <cell r="F577">
            <v>3576478</v>
          </cell>
          <cell r="G577">
            <v>5251538</v>
          </cell>
          <cell r="H577">
            <v>754610</v>
          </cell>
        </row>
        <row r="578">
          <cell r="A578" t="str">
            <v>1645</v>
          </cell>
          <cell r="B578" t="str">
            <v>小松　幹夫　　　</v>
          </cell>
          <cell r="C578">
            <v>816830</v>
          </cell>
          <cell r="D578">
            <v>894110</v>
          </cell>
          <cell r="E578">
            <v>1710940</v>
          </cell>
          <cell r="F578">
            <v>3959824</v>
          </cell>
          <cell r="G578">
            <v>5670764</v>
          </cell>
          <cell r="H578">
            <v>821700</v>
          </cell>
        </row>
        <row r="579">
          <cell r="A579" t="str">
            <v>0303</v>
          </cell>
          <cell r="B579" t="str">
            <v>七種　妙子　　　</v>
          </cell>
          <cell r="C579">
            <v>813660</v>
          </cell>
          <cell r="D579">
            <v>893240</v>
          </cell>
          <cell r="E579">
            <v>1706900</v>
          </cell>
          <cell r="F579">
            <v>3812403</v>
          </cell>
          <cell r="G579">
            <v>5519303</v>
          </cell>
          <cell r="H579">
            <v>774130</v>
          </cell>
        </row>
        <row r="580">
          <cell r="A580" t="str">
            <v>2369</v>
          </cell>
          <cell r="B580" t="str">
            <v>田岡　由光　　　</v>
          </cell>
          <cell r="C580">
            <v>772150</v>
          </cell>
          <cell r="D580">
            <v>892640</v>
          </cell>
          <cell r="E580">
            <v>1664790</v>
          </cell>
          <cell r="F580">
            <v>3493608</v>
          </cell>
          <cell r="G580">
            <v>5158398</v>
          </cell>
          <cell r="H580">
            <v>808740</v>
          </cell>
        </row>
        <row r="581">
          <cell r="A581" t="str">
            <v>1696</v>
          </cell>
          <cell r="B581" t="str">
            <v>市川　博　　　　</v>
          </cell>
          <cell r="C581">
            <v>739510</v>
          </cell>
          <cell r="D581">
            <v>892560</v>
          </cell>
          <cell r="E581">
            <v>1632070</v>
          </cell>
          <cell r="F581">
            <v>4216860</v>
          </cell>
          <cell r="G581">
            <v>5848930</v>
          </cell>
          <cell r="H581">
            <v>812180</v>
          </cell>
        </row>
        <row r="582">
          <cell r="A582" t="str">
            <v>0469</v>
          </cell>
          <cell r="B582" t="str">
            <v>高井　喜啓　　　</v>
          </cell>
          <cell r="C582">
            <v>807230</v>
          </cell>
          <cell r="D582">
            <v>892370</v>
          </cell>
          <cell r="E582">
            <v>1699600</v>
          </cell>
          <cell r="F582">
            <v>4351053</v>
          </cell>
          <cell r="G582">
            <v>6050653</v>
          </cell>
          <cell r="H582">
            <v>815190</v>
          </cell>
        </row>
        <row r="583">
          <cell r="A583" t="str">
            <v>2138</v>
          </cell>
          <cell r="B583" t="str">
            <v>甲斐　宗武　　　</v>
          </cell>
          <cell r="C583">
            <v>763820</v>
          </cell>
          <cell r="D583">
            <v>891400</v>
          </cell>
          <cell r="E583">
            <v>1655220</v>
          </cell>
          <cell r="F583">
            <v>3828500</v>
          </cell>
          <cell r="G583">
            <v>5483720</v>
          </cell>
          <cell r="H583">
            <v>823800</v>
          </cell>
        </row>
        <row r="584">
          <cell r="A584" t="str">
            <v>2209</v>
          </cell>
          <cell r="B584" t="str">
            <v>谷口　建次　　　</v>
          </cell>
          <cell r="C584">
            <v>731690</v>
          </cell>
          <cell r="D584">
            <v>890430</v>
          </cell>
          <cell r="E584">
            <v>1622120</v>
          </cell>
          <cell r="F584">
            <v>3773790</v>
          </cell>
          <cell r="G584">
            <v>5395910</v>
          </cell>
          <cell r="H584">
            <v>797100</v>
          </cell>
        </row>
        <row r="585">
          <cell r="A585" t="str">
            <v>2596</v>
          </cell>
          <cell r="B585" t="str">
            <v>松岡　喜一郎　　</v>
          </cell>
          <cell r="C585">
            <v>808690</v>
          </cell>
          <cell r="D585">
            <v>890340</v>
          </cell>
          <cell r="E585">
            <v>1699030</v>
          </cell>
          <cell r="F585">
            <v>3576779</v>
          </cell>
          <cell r="G585">
            <v>5275809</v>
          </cell>
          <cell r="H585">
            <v>807620</v>
          </cell>
        </row>
        <row r="586">
          <cell r="A586" t="str">
            <v>2198</v>
          </cell>
          <cell r="B586" t="str">
            <v>片桐　省司　　　</v>
          </cell>
          <cell r="C586">
            <v>783600</v>
          </cell>
          <cell r="D586">
            <v>889320</v>
          </cell>
          <cell r="E586">
            <v>1672920</v>
          </cell>
          <cell r="F586">
            <v>3802972</v>
          </cell>
          <cell r="G586">
            <v>5475892</v>
          </cell>
          <cell r="H586">
            <v>818560</v>
          </cell>
        </row>
        <row r="587">
          <cell r="A587" t="str">
            <v>1944</v>
          </cell>
          <cell r="B587" t="str">
            <v>西村　裕　　　　</v>
          </cell>
          <cell r="C587">
            <v>737750</v>
          </cell>
          <cell r="D587">
            <v>888630</v>
          </cell>
          <cell r="E587">
            <v>1626380</v>
          </cell>
          <cell r="F587">
            <v>3969797</v>
          </cell>
          <cell r="G587">
            <v>5596177</v>
          </cell>
          <cell r="H587">
            <v>805100</v>
          </cell>
        </row>
        <row r="588">
          <cell r="A588" t="str">
            <v>1739</v>
          </cell>
          <cell r="B588" t="str">
            <v>松尾　修　　　　</v>
          </cell>
          <cell r="C588">
            <v>912760</v>
          </cell>
          <cell r="D588">
            <v>888170</v>
          </cell>
          <cell r="E588">
            <v>1800930</v>
          </cell>
          <cell r="F588">
            <v>4095659</v>
          </cell>
          <cell r="G588">
            <v>5896589</v>
          </cell>
          <cell r="H588">
            <v>938470</v>
          </cell>
        </row>
        <row r="589">
          <cell r="A589" t="str">
            <v>1902</v>
          </cell>
          <cell r="B589" t="str">
            <v>鳥川　慎策　　　</v>
          </cell>
          <cell r="C589">
            <v>788320</v>
          </cell>
          <cell r="D589">
            <v>887680</v>
          </cell>
          <cell r="E589">
            <v>1676000</v>
          </cell>
          <cell r="F589">
            <v>4115994</v>
          </cell>
          <cell r="G589">
            <v>5791994</v>
          </cell>
          <cell r="H589">
            <v>830670</v>
          </cell>
        </row>
        <row r="590">
          <cell r="A590" t="str">
            <v>1526</v>
          </cell>
          <cell r="B590" t="str">
            <v>残間　和博　　　</v>
          </cell>
          <cell r="C590">
            <v>765140</v>
          </cell>
          <cell r="D590">
            <v>887140</v>
          </cell>
          <cell r="E590">
            <v>1652280</v>
          </cell>
          <cell r="F590">
            <v>3821072</v>
          </cell>
          <cell r="G590">
            <v>5473352</v>
          </cell>
          <cell r="H590">
            <v>793030</v>
          </cell>
        </row>
        <row r="591">
          <cell r="A591" t="str">
            <v>1808</v>
          </cell>
          <cell r="B591" t="str">
            <v>河橋　譲二　　　</v>
          </cell>
          <cell r="C591">
            <v>786830</v>
          </cell>
          <cell r="D591">
            <v>886350</v>
          </cell>
          <cell r="E591">
            <v>1673180</v>
          </cell>
          <cell r="F591">
            <v>4334184</v>
          </cell>
          <cell r="G591">
            <v>6007364</v>
          </cell>
          <cell r="H591">
            <v>842460</v>
          </cell>
        </row>
        <row r="592">
          <cell r="A592" t="str">
            <v>3435</v>
          </cell>
          <cell r="B592" t="str">
            <v>寺村　典之　　　</v>
          </cell>
          <cell r="C592">
            <v>724660</v>
          </cell>
          <cell r="D592">
            <v>886210</v>
          </cell>
          <cell r="E592">
            <v>1610870</v>
          </cell>
          <cell r="F592">
            <v>3875927</v>
          </cell>
          <cell r="G592">
            <v>5486797</v>
          </cell>
          <cell r="H592">
            <v>807900</v>
          </cell>
        </row>
        <row r="593">
          <cell r="A593" t="str">
            <v>2077</v>
          </cell>
          <cell r="B593" t="str">
            <v>多田　昌弘　　　</v>
          </cell>
          <cell r="C593">
            <v>789720</v>
          </cell>
          <cell r="D593">
            <v>885620</v>
          </cell>
          <cell r="E593">
            <v>1675340</v>
          </cell>
          <cell r="F593">
            <v>3463470</v>
          </cell>
          <cell r="G593">
            <v>5138810</v>
          </cell>
          <cell r="H593">
            <v>805860</v>
          </cell>
        </row>
        <row r="594">
          <cell r="A594" t="str">
            <v>1470</v>
          </cell>
          <cell r="B594" t="str">
            <v>遠藤　聡　　　　</v>
          </cell>
          <cell r="C594">
            <v>780860</v>
          </cell>
          <cell r="D594">
            <v>884920</v>
          </cell>
          <cell r="E594">
            <v>1665780</v>
          </cell>
          <cell r="F594">
            <v>3779236</v>
          </cell>
          <cell r="G594">
            <v>5445016</v>
          </cell>
          <cell r="H594">
            <v>805220</v>
          </cell>
        </row>
        <row r="595">
          <cell r="A595" t="str">
            <v>2376</v>
          </cell>
          <cell r="B595" t="str">
            <v>平田　雅史　　　</v>
          </cell>
          <cell r="C595">
            <v>734230</v>
          </cell>
          <cell r="D595">
            <v>884610</v>
          </cell>
          <cell r="E595">
            <v>1618840</v>
          </cell>
          <cell r="F595">
            <v>3683981</v>
          </cell>
          <cell r="G595">
            <v>5302821</v>
          </cell>
          <cell r="H595">
            <v>777490</v>
          </cell>
        </row>
        <row r="596">
          <cell r="A596" t="str">
            <v>2197</v>
          </cell>
          <cell r="B596" t="str">
            <v>岡内　秀樹　　　</v>
          </cell>
          <cell r="C596">
            <v>783670</v>
          </cell>
          <cell r="D596">
            <v>883960</v>
          </cell>
          <cell r="E596">
            <v>1667630</v>
          </cell>
          <cell r="F596">
            <v>4064077</v>
          </cell>
          <cell r="G596">
            <v>5731707</v>
          </cell>
          <cell r="H596">
            <v>803330</v>
          </cell>
        </row>
        <row r="597">
          <cell r="A597" t="str">
            <v>0132</v>
          </cell>
          <cell r="B597" t="str">
            <v>柳田　行雄　　　</v>
          </cell>
          <cell r="C597">
            <v>914770</v>
          </cell>
          <cell r="D597">
            <v>883900</v>
          </cell>
          <cell r="E597">
            <v>1798670</v>
          </cell>
          <cell r="F597">
            <v>4135230</v>
          </cell>
          <cell r="G597">
            <v>5933900</v>
          </cell>
          <cell r="H597">
            <v>801520</v>
          </cell>
        </row>
        <row r="598">
          <cell r="A598" t="str">
            <v>2220</v>
          </cell>
          <cell r="B598" t="str">
            <v>森本　洋　　　　</v>
          </cell>
          <cell r="C598">
            <v>783060</v>
          </cell>
          <cell r="D598">
            <v>883820</v>
          </cell>
          <cell r="E598">
            <v>1666880</v>
          </cell>
          <cell r="F598">
            <v>3667267</v>
          </cell>
          <cell r="G598">
            <v>5334147</v>
          </cell>
          <cell r="H598">
            <v>802670</v>
          </cell>
        </row>
        <row r="599">
          <cell r="A599" t="str">
            <v>2270</v>
          </cell>
          <cell r="B599" t="str">
            <v>玉理　元浩　　　</v>
          </cell>
          <cell r="C599">
            <v>758270</v>
          </cell>
          <cell r="D599">
            <v>883250</v>
          </cell>
          <cell r="E599">
            <v>1641520</v>
          </cell>
          <cell r="F599">
            <v>3717230</v>
          </cell>
          <cell r="G599">
            <v>5358750</v>
          </cell>
          <cell r="H599">
            <v>778400</v>
          </cell>
        </row>
        <row r="600">
          <cell r="A600" t="str">
            <v>2015</v>
          </cell>
          <cell r="B600" t="str">
            <v>武井　宏之　　　</v>
          </cell>
          <cell r="C600">
            <v>773170</v>
          </cell>
          <cell r="D600">
            <v>882560</v>
          </cell>
          <cell r="E600">
            <v>1655730</v>
          </cell>
          <cell r="F600">
            <v>3721525</v>
          </cell>
          <cell r="G600">
            <v>5377255</v>
          </cell>
          <cell r="H600">
            <v>733760</v>
          </cell>
        </row>
        <row r="601">
          <cell r="A601" t="str">
            <v>1678</v>
          </cell>
          <cell r="B601" t="str">
            <v>井上　義雄　　　</v>
          </cell>
          <cell r="C601">
            <v>795590</v>
          </cell>
          <cell r="D601">
            <v>881400</v>
          </cell>
          <cell r="E601">
            <v>1676990</v>
          </cell>
          <cell r="F601">
            <v>4226700</v>
          </cell>
          <cell r="G601">
            <v>5903690</v>
          </cell>
          <cell r="H601">
            <v>803540</v>
          </cell>
        </row>
        <row r="602">
          <cell r="A602" t="str">
            <v>1941</v>
          </cell>
          <cell r="B602" t="str">
            <v>清水　克己　　　</v>
          </cell>
          <cell r="C602">
            <v>743070</v>
          </cell>
          <cell r="D602">
            <v>881020</v>
          </cell>
          <cell r="E602">
            <v>1624090</v>
          </cell>
          <cell r="F602">
            <v>4084768</v>
          </cell>
          <cell r="G602">
            <v>5708858</v>
          </cell>
          <cell r="H602">
            <v>776560</v>
          </cell>
        </row>
        <row r="603">
          <cell r="A603" t="str">
            <v>2362</v>
          </cell>
          <cell r="B603" t="str">
            <v>海堀　昌三　　　</v>
          </cell>
          <cell r="C603">
            <v>752280</v>
          </cell>
          <cell r="D603">
            <v>881020</v>
          </cell>
          <cell r="E603">
            <v>1633300</v>
          </cell>
          <cell r="F603">
            <v>3767131</v>
          </cell>
          <cell r="G603">
            <v>5400431</v>
          </cell>
          <cell r="H603">
            <v>799650</v>
          </cell>
        </row>
        <row r="604">
          <cell r="A604" t="str">
            <v>2267</v>
          </cell>
          <cell r="B604" t="str">
            <v>重松　詳章　　　</v>
          </cell>
          <cell r="C604">
            <v>786770</v>
          </cell>
          <cell r="D604">
            <v>880430</v>
          </cell>
          <cell r="E604">
            <v>1667200</v>
          </cell>
          <cell r="F604">
            <v>3959795</v>
          </cell>
          <cell r="G604">
            <v>5626995</v>
          </cell>
          <cell r="H604">
            <v>794710</v>
          </cell>
        </row>
        <row r="605">
          <cell r="A605" t="str">
            <v>2583</v>
          </cell>
          <cell r="B605" t="str">
            <v>豊田　賀一　　　</v>
          </cell>
          <cell r="C605">
            <v>731840</v>
          </cell>
          <cell r="D605">
            <v>879250</v>
          </cell>
          <cell r="E605">
            <v>1611090</v>
          </cell>
          <cell r="F605">
            <v>2961453</v>
          </cell>
          <cell r="G605">
            <v>4572543</v>
          </cell>
          <cell r="H605">
            <v>774370</v>
          </cell>
        </row>
        <row r="606">
          <cell r="A606" t="str">
            <v>2262</v>
          </cell>
          <cell r="B606" t="str">
            <v>荻野　照雄　　　</v>
          </cell>
          <cell r="C606">
            <v>744510</v>
          </cell>
          <cell r="D606">
            <v>876540</v>
          </cell>
          <cell r="E606">
            <v>1621050</v>
          </cell>
          <cell r="F606">
            <v>3661587</v>
          </cell>
          <cell r="G606">
            <v>5282637</v>
          </cell>
          <cell r="H606">
            <v>795110</v>
          </cell>
        </row>
        <row r="607">
          <cell r="A607" t="str">
            <v>0472</v>
          </cell>
          <cell r="B607" t="str">
            <v>福永　浩三　　　</v>
          </cell>
          <cell r="C607">
            <v>831280</v>
          </cell>
          <cell r="D607">
            <v>875850</v>
          </cell>
          <cell r="E607">
            <v>1707130</v>
          </cell>
          <cell r="F607">
            <v>4194680</v>
          </cell>
          <cell r="G607">
            <v>5901810</v>
          </cell>
          <cell r="H607">
            <v>620290</v>
          </cell>
        </row>
        <row r="608">
          <cell r="A608" t="str">
            <v>2359</v>
          </cell>
          <cell r="B608" t="str">
            <v>大脇　藤人　　　</v>
          </cell>
          <cell r="C608">
            <v>734230</v>
          </cell>
          <cell r="D608">
            <v>875480</v>
          </cell>
          <cell r="E608">
            <v>1609710</v>
          </cell>
          <cell r="F608">
            <v>3433949</v>
          </cell>
          <cell r="G608">
            <v>5043659</v>
          </cell>
          <cell r="H608">
            <v>814710</v>
          </cell>
        </row>
        <row r="609">
          <cell r="A609" t="str">
            <v>1518</v>
          </cell>
          <cell r="B609" t="str">
            <v>山本　博　　　　</v>
          </cell>
          <cell r="C609">
            <v>803580</v>
          </cell>
          <cell r="D609">
            <v>875220</v>
          </cell>
          <cell r="E609">
            <v>1678800</v>
          </cell>
          <cell r="F609">
            <v>3830970</v>
          </cell>
          <cell r="G609">
            <v>5509770</v>
          </cell>
          <cell r="H609">
            <v>889650</v>
          </cell>
        </row>
        <row r="610">
          <cell r="A610" t="str">
            <v>2582</v>
          </cell>
          <cell r="B610" t="str">
            <v>多田　智　　　　</v>
          </cell>
          <cell r="C610">
            <v>711350</v>
          </cell>
          <cell r="D610">
            <v>874440</v>
          </cell>
          <cell r="E610">
            <v>1585790</v>
          </cell>
          <cell r="F610">
            <v>3976289</v>
          </cell>
          <cell r="G610">
            <v>5562079</v>
          </cell>
          <cell r="H610">
            <v>808400</v>
          </cell>
        </row>
        <row r="611">
          <cell r="A611" t="str">
            <v>1887</v>
          </cell>
          <cell r="B611" t="str">
            <v>川上　博　　　　</v>
          </cell>
          <cell r="C611">
            <v>772160</v>
          </cell>
          <cell r="D611">
            <v>873890</v>
          </cell>
          <cell r="E611">
            <v>1646050</v>
          </cell>
          <cell r="F611">
            <v>3782438</v>
          </cell>
          <cell r="G611">
            <v>5428488</v>
          </cell>
          <cell r="H611">
            <v>832190</v>
          </cell>
        </row>
        <row r="612">
          <cell r="A612" t="str">
            <v>2370</v>
          </cell>
          <cell r="B612" t="str">
            <v>高杉　正史　　　</v>
          </cell>
          <cell r="C612">
            <v>773520</v>
          </cell>
          <cell r="D612">
            <v>872820</v>
          </cell>
          <cell r="E612">
            <v>1646340</v>
          </cell>
          <cell r="F612">
            <v>3770219</v>
          </cell>
          <cell r="G612">
            <v>5416559</v>
          </cell>
          <cell r="H612">
            <v>806930</v>
          </cell>
        </row>
        <row r="613">
          <cell r="A613" t="str">
            <v>1873</v>
          </cell>
          <cell r="B613" t="str">
            <v>村上　幸三　　　</v>
          </cell>
          <cell r="C613">
            <v>774960</v>
          </cell>
          <cell r="D613">
            <v>872170</v>
          </cell>
          <cell r="E613">
            <v>1647130</v>
          </cell>
          <cell r="F613">
            <v>3530119</v>
          </cell>
          <cell r="G613">
            <v>5177249</v>
          </cell>
          <cell r="H613">
            <v>736020</v>
          </cell>
        </row>
        <row r="614">
          <cell r="A614" t="str">
            <v>1006</v>
          </cell>
          <cell r="B614" t="str">
            <v>谷口　佳一　　　</v>
          </cell>
          <cell r="C614">
            <v>743420</v>
          </cell>
          <cell r="D614">
            <v>871830</v>
          </cell>
          <cell r="E614">
            <v>1615250</v>
          </cell>
          <cell r="F614">
            <v>4031381</v>
          </cell>
          <cell r="G614">
            <v>5646631</v>
          </cell>
          <cell r="H614">
            <v>803440</v>
          </cell>
        </row>
        <row r="615">
          <cell r="A615" t="str">
            <v>1519</v>
          </cell>
          <cell r="B615" t="str">
            <v>吉岡　茂夫　　　</v>
          </cell>
          <cell r="C615">
            <v>722820</v>
          </cell>
          <cell r="D615">
            <v>871230</v>
          </cell>
          <cell r="E615">
            <v>1594050</v>
          </cell>
          <cell r="F615">
            <v>4073459</v>
          </cell>
          <cell r="G615">
            <v>5667509</v>
          </cell>
          <cell r="H615">
            <v>803330</v>
          </cell>
        </row>
        <row r="616">
          <cell r="A616" t="str">
            <v>2142</v>
          </cell>
          <cell r="B616" t="str">
            <v>河崎　美保子　　</v>
          </cell>
          <cell r="C616">
            <v>744920</v>
          </cell>
          <cell r="D616">
            <v>870730</v>
          </cell>
          <cell r="E616">
            <v>1615650</v>
          </cell>
          <cell r="F616">
            <v>3792958</v>
          </cell>
          <cell r="G616">
            <v>5408608</v>
          </cell>
          <cell r="H616">
            <v>811940</v>
          </cell>
        </row>
        <row r="617">
          <cell r="A617" t="str">
            <v>2470</v>
          </cell>
          <cell r="B617" t="str">
            <v>楠本　寛　　　　</v>
          </cell>
          <cell r="C617">
            <v>773940</v>
          </cell>
          <cell r="D617">
            <v>869380</v>
          </cell>
          <cell r="E617">
            <v>1643320</v>
          </cell>
          <cell r="F617">
            <v>3364218</v>
          </cell>
          <cell r="G617">
            <v>5007538</v>
          </cell>
          <cell r="H617">
            <v>790050</v>
          </cell>
        </row>
        <row r="618">
          <cell r="A618" t="str">
            <v>0479</v>
          </cell>
          <cell r="B618" t="str">
            <v>木村　節夫　　　</v>
          </cell>
          <cell r="C618">
            <v>807800</v>
          </cell>
          <cell r="D618">
            <v>869050</v>
          </cell>
          <cell r="E618">
            <v>1676850</v>
          </cell>
          <cell r="F618">
            <v>4060753</v>
          </cell>
          <cell r="G618">
            <v>5737603</v>
          </cell>
          <cell r="H618">
            <v>784710</v>
          </cell>
        </row>
        <row r="619">
          <cell r="A619" t="str">
            <v>1751</v>
          </cell>
          <cell r="B619" t="str">
            <v>菊川　恵造　　　</v>
          </cell>
          <cell r="C619">
            <v>689040</v>
          </cell>
          <cell r="D619">
            <v>868770</v>
          </cell>
          <cell r="E619">
            <v>1557810</v>
          </cell>
          <cell r="F619">
            <v>3750104</v>
          </cell>
          <cell r="G619">
            <v>5307914</v>
          </cell>
          <cell r="H619">
            <v>765630</v>
          </cell>
        </row>
        <row r="620">
          <cell r="A620" t="str">
            <v>1351</v>
          </cell>
          <cell r="B620" t="str">
            <v>森　剛敬　　　　</v>
          </cell>
          <cell r="C620">
            <v>927500</v>
          </cell>
          <cell r="D620">
            <v>868220</v>
          </cell>
          <cell r="E620">
            <v>1795720</v>
          </cell>
          <cell r="F620">
            <v>4181368</v>
          </cell>
          <cell r="G620">
            <v>5977088</v>
          </cell>
          <cell r="H620">
            <v>971200</v>
          </cell>
        </row>
        <row r="621">
          <cell r="A621" t="str">
            <v>2900</v>
          </cell>
          <cell r="B621" t="str">
            <v>佐藤　直己　　　</v>
          </cell>
          <cell r="C621">
            <v>780240</v>
          </cell>
          <cell r="D621">
            <v>867730</v>
          </cell>
          <cell r="E621">
            <v>1647970</v>
          </cell>
          <cell r="F621">
            <v>3915428</v>
          </cell>
          <cell r="G621">
            <v>5563398</v>
          </cell>
          <cell r="H621">
            <v>753070</v>
          </cell>
        </row>
        <row r="622">
          <cell r="A622" t="str">
            <v>2741</v>
          </cell>
          <cell r="B622" t="str">
            <v>池田　信次　　　</v>
          </cell>
          <cell r="C622">
            <v>755900</v>
          </cell>
          <cell r="D622">
            <v>867700</v>
          </cell>
          <cell r="E622">
            <v>1623600</v>
          </cell>
          <cell r="F622">
            <v>3437272</v>
          </cell>
          <cell r="G622">
            <v>5060872</v>
          </cell>
          <cell r="H622">
            <v>764690</v>
          </cell>
        </row>
        <row r="623">
          <cell r="A623" t="str">
            <v>2353</v>
          </cell>
          <cell r="B623" t="str">
            <v>安達　友秋　　　</v>
          </cell>
          <cell r="C623">
            <v>783120</v>
          </cell>
          <cell r="D623">
            <v>867700</v>
          </cell>
          <cell r="E623">
            <v>1650820</v>
          </cell>
          <cell r="F623">
            <v>3447565</v>
          </cell>
          <cell r="G623">
            <v>5098385</v>
          </cell>
          <cell r="H623">
            <v>823270</v>
          </cell>
        </row>
        <row r="624">
          <cell r="A624" t="str">
            <v>3251</v>
          </cell>
          <cell r="B624" t="str">
            <v>林崎　巖　　　　</v>
          </cell>
          <cell r="C624">
            <v>689730</v>
          </cell>
          <cell r="D624">
            <v>866980</v>
          </cell>
          <cell r="E624">
            <v>1556710</v>
          </cell>
          <cell r="F624">
            <v>3402153</v>
          </cell>
          <cell r="G624">
            <v>4958863</v>
          </cell>
          <cell r="H624">
            <v>676400</v>
          </cell>
        </row>
        <row r="625">
          <cell r="A625" t="str">
            <v>2014</v>
          </cell>
          <cell r="B625" t="str">
            <v>小林　忠治　　　</v>
          </cell>
          <cell r="C625">
            <v>762910</v>
          </cell>
          <cell r="D625">
            <v>865610</v>
          </cell>
          <cell r="E625">
            <v>1628520</v>
          </cell>
          <cell r="F625">
            <v>4884390</v>
          </cell>
          <cell r="G625">
            <v>6512910</v>
          </cell>
          <cell r="H625">
            <v>776940</v>
          </cell>
        </row>
        <row r="626">
          <cell r="A626" t="str">
            <v>0343</v>
          </cell>
          <cell r="B626" t="str">
            <v>小林　勝　　　　</v>
          </cell>
          <cell r="C626">
            <v>775790</v>
          </cell>
          <cell r="D626">
            <v>864900</v>
          </cell>
          <cell r="E626">
            <v>1640690</v>
          </cell>
          <cell r="F626">
            <v>3889488</v>
          </cell>
          <cell r="G626">
            <v>5530178</v>
          </cell>
          <cell r="H626">
            <v>792760</v>
          </cell>
        </row>
        <row r="627">
          <cell r="A627" t="str">
            <v>0955</v>
          </cell>
          <cell r="B627" t="str">
            <v>川上　正雄　　　</v>
          </cell>
          <cell r="C627">
            <v>741790</v>
          </cell>
          <cell r="D627">
            <v>864460</v>
          </cell>
          <cell r="E627">
            <v>1606250</v>
          </cell>
          <cell r="F627">
            <v>3481100</v>
          </cell>
          <cell r="G627">
            <v>5087350</v>
          </cell>
          <cell r="H627">
            <v>853350</v>
          </cell>
        </row>
        <row r="628">
          <cell r="A628" t="str">
            <v>3088</v>
          </cell>
          <cell r="B628" t="str">
            <v>寺岡　修二　　　</v>
          </cell>
          <cell r="C628">
            <v>732990</v>
          </cell>
          <cell r="D628">
            <v>864460</v>
          </cell>
          <cell r="E628">
            <v>1597450</v>
          </cell>
          <cell r="F628">
            <v>4682560</v>
          </cell>
          <cell r="G628">
            <v>6280010</v>
          </cell>
          <cell r="H628">
            <v>788820</v>
          </cell>
        </row>
        <row r="629">
          <cell r="A629" t="str">
            <v>0241</v>
          </cell>
          <cell r="B629" t="str">
            <v>木下　力雄　　　</v>
          </cell>
          <cell r="C629">
            <v>726800</v>
          </cell>
          <cell r="D629">
            <v>863990</v>
          </cell>
          <cell r="E629">
            <v>1590790</v>
          </cell>
          <cell r="F629">
            <v>3914742</v>
          </cell>
          <cell r="G629">
            <v>5505532</v>
          </cell>
          <cell r="H629">
            <v>618380</v>
          </cell>
        </row>
        <row r="630">
          <cell r="A630" t="str">
            <v>2361</v>
          </cell>
          <cell r="B630" t="str">
            <v>尾崎　秀樹　　　</v>
          </cell>
          <cell r="C630">
            <v>748020</v>
          </cell>
          <cell r="D630">
            <v>863730</v>
          </cell>
          <cell r="E630">
            <v>1611750</v>
          </cell>
          <cell r="F630">
            <v>3740140</v>
          </cell>
          <cell r="G630">
            <v>5351890</v>
          </cell>
          <cell r="H630">
            <v>784430</v>
          </cell>
        </row>
        <row r="631">
          <cell r="A631" t="str">
            <v>1922</v>
          </cell>
          <cell r="B631" t="str">
            <v>吉山　進一　　　</v>
          </cell>
          <cell r="C631">
            <v>755540</v>
          </cell>
          <cell r="D631">
            <v>861250</v>
          </cell>
          <cell r="E631">
            <v>1616790</v>
          </cell>
          <cell r="F631">
            <v>4022919</v>
          </cell>
          <cell r="G631">
            <v>5639709</v>
          </cell>
          <cell r="H631">
            <v>779610</v>
          </cell>
        </row>
        <row r="632">
          <cell r="A632" t="str">
            <v>2067</v>
          </cell>
          <cell r="B632" t="str">
            <v>岡崎　敏彦　　　</v>
          </cell>
          <cell r="C632">
            <v>776530</v>
          </cell>
          <cell r="D632">
            <v>860860</v>
          </cell>
          <cell r="E632">
            <v>1637390</v>
          </cell>
          <cell r="F632">
            <v>3565770</v>
          </cell>
          <cell r="G632">
            <v>5203160</v>
          </cell>
          <cell r="H632">
            <v>757000</v>
          </cell>
        </row>
        <row r="633">
          <cell r="A633" t="str">
            <v>2196</v>
          </cell>
          <cell r="B633" t="str">
            <v>内　貴文　　　　</v>
          </cell>
          <cell r="C633">
            <v>790440</v>
          </cell>
          <cell r="D633">
            <v>860830</v>
          </cell>
          <cell r="E633">
            <v>1651270</v>
          </cell>
          <cell r="F633">
            <v>3747040</v>
          </cell>
          <cell r="G633">
            <v>5398310</v>
          </cell>
          <cell r="H633">
            <v>796030</v>
          </cell>
        </row>
        <row r="634">
          <cell r="A634" t="str">
            <v>2216</v>
          </cell>
          <cell r="B634" t="str">
            <v>堀内　元義　　　</v>
          </cell>
          <cell r="C634">
            <v>776390</v>
          </cell>
          <cell r="D634">
            <v>860110</v>
          </cell>
          <cell r="E634">
            <v>1636500</v>
          </cell>
          <cell r="F634">
            <v>3662340</v>
          </cell>
          <cell r="G634">
            <v>5298840</v>
          </cell>
          <cell r="H634">
            <v>755810</v>
          </cell>
        </row>
        <row r="635">
          <cell r="A635" t="str">
            <v>1822</v>
          </cell>
          <cell r="B635" t="str">
            <v>奥井　敏夫　　　</v>
          </cell>
          <cell r="C635">
            <v>773340</v>
          </cell>
          <cell r="D635">
            <v>859720</v>
          </cell>
          <cell r="E635">
            <v>1633060</v>
          </cell>
          <cell r="F635">
            <v>3954354</v>
          </cell>
          <cell r="G635">
            <v>5587414</v>
          </cell>
          <cell r="H635">
            <v>793310</v>
          </cell>
        </row>
        <row r="636">
          <cell r="A636" t="str">
            <v>2461</v>
          </cell>
          <cell r="B636" t="str">
            <v>占部　秀紀　　　</v>
          </cell>
          <cell r="C636">
            <v>742150</v>
          </cell>
          <cell r="D636">
            <v>858990</v>
          </cell>
          <cell r="E636">
            <v>1601140</v>
          </cell>
          <cell r="F636">
            <v>3731249</v>
          </cell>
          <cell r="G636">
            <v>5332389</v>
          </cell>
          <cell r="H636">
            <v>720380</v>
          </cell>
        </row>
        <row r="637">
          <cell r="A637" t="str">
            <v>2013</v>
          </cell>
          <cell r="B637" t="str">
            <v>岩崎　忠夫　　　</v>
          </cell>
          <cell r="C637">
            <v>742520</v>
          </cell>
          <cell r="D637">
            <v>858410</v>
          </cell>
          <cell r="E637">
            <v>1600930</v>
          </cell>
          <cell r="F637">
            <v>4298725</v>
          </cell>
          <cell r="G637">
            <v>5899655</v>
          </cell>
          <cell r="H637">
            <v>781120</v>
          </cell>
        </row>
        <row r="638">
          <cell r="A638" t="str">
            <v>1804</v>
          </cell>
          <cell r="B638" t="str">
            <v>黒川　賢治　　　</v>
          </cell>
          <cell r="C638">
            <v>700410</v>
          </cell>
          <cell r="D638">
            <v>857980</v>
          </cell>
          <cell r="E638">
            <v>1558390</v>
          </cell>
          <cell r="F638">
            <v>3861428</v>
          </cell>
          <cell r="G638">
            <v>5419818</v>
          </cell>
          <cell r="H638">
            <v>779690</v>
          </cell>
        </row>
        <row r="639">
          <cell r="A639" t="str">
            <v>2502</v>
          </cell>
          <cell r="B639" t="str">
            <v>米倉　壽人　　　</v>
          </cell>
          <cell r="C639">
            <v>700410</v>
          </cell>
          <cell r="D639">
            <v>857980</v>
          </cell>
          <cell r="E639">
            <v>1558390</v>
          </cell>
          <cell r="F639">
            <v>3120108</v>
          </cell>
          <cell r="G639">
            <v>4678498</v>
          </cell>
          <cell r="H639">
            <v>793430</v>
          </cell>
        </row>
        <row r="640">
          <cell r="A640" t="str">
            <v>1721</v>
          </cell>
          <cell r="B640" t="str">
            <v>小西　康己　　　</v>
          </cell>
          <cell r="C640">
            <v>808950</v>
          </cell>
          <cell r="D640">
            <v>856890</v>
          </cell>
          <cell r="E640">
            <v>1665840</v>
          </cell>
          <cell r="F640">
            <v>4141440</v>
          </cell>
          <cell r="G640">
            <v>5807280</v>
          </cell>
          <cell r="H640">
            <v>924900</v>
          </cell>
        </row>
        <row r="641">
          <cell r="A641" t="str">
            <v>2559</v>
          </cell>
          <cell r="B641" t="str">
            <v>帰山　藤人　　　</v>
          </cell>
          <cell r="C641">
            <v>765520</v>
          </cell>
          <cell r="D641">
            <v>856600</v>
          </cell>
          <cell r="E641">
            <v>1622120</v>
          </cell>
          <cell r="F641">
            <v>3782394</v>
          </cell>
          <cell r="G641">
            <v>5404514</v>
          </cell>
          <cell r="H641">
            <v>804550</v>
          </cell>
        </row>
        <row r="642">
          <cell r="A642" t="str">
            <v>0220</v>
          </cell>
          <cell r="B642" t="str">
            <v>片瀬　幹男　　　</v>
          </cell>
          <cell r="C642">
            <v>1054380</v>
          </cell>
          <cell r="D642">
            <v>855560</v>
          </cell>
          <cell r="E642">
            <v>1909940</v>
          </cell>
          <cell r="F642">
            <v>4741391</v>
          </cell>
          <cell r="G642">
            <v>6651331</v>
          </cell>
          <cell r="H642">
            <v>786280</v>
          </cell>
        </row>
        <row r="643">
          <cell r="A643" t="str">
            <v>2652</v>
          </cell>
          <cell r="B643" t="str">
            <v>星野　剛　　　　</v>
          </cell>
          <cell r="C643">
            <v>625820</v>
          </cell>
          <cell r="D643">
            <v>855260</v>
          </cell>
          <cell r="E643">
            <v>1481080</v>
          </cell>
          <cell r="F643">
            <v>3420353</v>
          </cell>
          <cell r="G643">
            <v>4901433</v>
          </cell>
          <cell r="H643">
            <v>719740</v>
          </cell>
        </row>
        <row r="644">
          <cell r="A644" t="str">
            <v>2202</v>
          </cell>
          <cell r="B644" t="str">
            <v>作田　暢生　　　</v>
          </cell>
          <cell r="C644">
            <v>757050</v>
          </cell>
          <cell r="D644">
            <v>855150</v>
          </cell>
          <cell r="E644">
            <v>1612200</v>
          </cell>
          <cell r="F644">
            <v>3097366</v>
          </cell>
          <cell r="G644">
            <v>4709566</v>
          </cell>
          <cell r="H644">
            <v>811590</v>
          </cell>
        </row>
        <row r="645">
          <cell r="A645" t="str">
            <v>2207</v>
          </cell>
          <cell r="B645" t="str">
            <v>田中　廣通　　　</v>
          </cell>
          <cell r="C645">
            <v>780120</v>
          </cell>
          <cell r="D645">
            <v>855150</v>
          </cell>
          <cell r="E645">
            <v>1635270</v>
          </cell>
          <cell r="F645">
            <v>3800763</v>
          </cell>
          <cell r="G645">
            <v>5436033</v>
          </cell>
          <cell r="H645">
            <v>844820</v>
          </cell>
        </row>
        <row r="646">
          <cell r="A646" t="str">
            <v>1835</v>
          </cell>
          <cell r="B646" t="str">
            <v>増村　貞次　　　</v>
          </cell>
          <cell r="C646">
            <v>746390</v>
          </cell>
          <cell r="D646">
            <v>854710</v>
          </cell>
          <cell r="E646">
            <v>1601100</v>
          </cell>
          <cell r="F646">
            <v>4302708</v>
          </cell>
          <cell r="G646">
            <v>5903808</v>
          </cell>
          <cell r="H646">
            <v>746000</v>
          </cell>
        </row>
        <row r="647">
          <cell r="A647" t="str">
            <v>3234</v>
          </cell>
          <cell r="B647" t="str">
            <v>梅津　義美　　　</v>
          </cell>
          <cell r="C647">
            <v>694450</v>
          </cell>
          <cell r="D647">
            <v>854680</v>
          </cell>
          <cell r="E647">
            <v>1549130</v>
          </cell>
          <cell r="F647">
            <v>3418614</v>
          </cell>
          <cell r="G647">
            <v>4967744</v>
          </cell>
          <cell r="H647">
            <v>789900</v>
          </cell>
        </row>
        <row r="648">
          <cell r="A648" t="str">
            <v>2219</v>
          </cell>
          <cell r="B648" t="str">
            <v>吉村　和昭　　　</v>
          </cell>
          <cell r="C648">
            <v>743070</v>
          </cell>
          <cell r="D648">
            <v>854530</v>
          </cell>
          <cell r="E648">
            <v>1597600</v>
          </cell>
          <cell r="F648">
            <v>3077118</v>
          </cell>
          <cell r="G648">
            <v>4674718</v>
          </cell>
          <cell r="H648">
            <v>762810</v>
          </cell>
        </row>
        <row r="649">
          <cell r="A649" t="str">
            <v>3086</v>
          </cell>
          <cell r="B649" t="str">
            <v>北原　正俊　　　</v>
          </cell>
          <cell r="C649">
            <v>744790</v>
          </cell>
          <cell r="D649">
            <v>854200</v>
          </cell>
          <cell r="E649">
            <v>1598990</v>
          </cell>
          <cell r="F649">
            <v>3395954</v>
          </cell>
          <cell r="G649">
            <v>4994944</v>
          </cell>
          <cell r="H649">
            <v>797700</v>
          </cell>
        </row>
        <row r="650">
          <cell r="A650" t="str">
            <v>2367</v>
          </cell>
          <cell r="B650" t="str">
            <v>小林　卓朗　　　</v>
          </cell>
          <cell r="C650">
            <v>741160</v>
          </cell>
          <cell r="D650">
            <v>852410</v>
          </cell>
          <cell r="E650">
            <v>1593570</v>
          </cell>
          <cell r="F650">
            <v>3759639</v>
          </cell>
          <cell r="G650">
            <v>5353209</v>
          </cell>
          <cell r="H650">
            <v>749580</v>
          </cell>
        </row>
        <row r="651">
          <cell r="A651" t="str">
            <v>2218</v>
          </cell>
          <cell r="B651" t="str">
            <v>山中　康英　　　</v>
          </cell>
          <cell r="C651">
            <v>743160</v>
          </cell>
          <cell r="D651">
            <v>851810</v>
          </cell>
          <cell r="E651">
            <v>1594970</v>
          </cell>
          <cell r="F651">
            <v>3262936</v>
          </cell>
          <cell r="G651">
            <v>4857906</v>
          </cell>
          <cell r="H651">
            <v>732080</v>
          </cell>
        </row>
        <row r="652">
          <cell r="A652" t="str">
            <v>2059</v>
          </cell>
          <cell r="B652" t="str">
            <v>秋岡　照久　　　</v>
          </cell>
          <cell r="C652">
            <v>789720</v>
          </cell>
          <cell r="D652">
            <v>851280</v>
          </cell>
          <cell r="E652">
            <v>1641000</v>
          </cell>
          <cell r="F652">
            <v>3479028</v>
          </cell>
          <cell r="G652">
            <v>5120028</v>
          </cell>
          <cell r="H652">
            <v>776080</v>
          </cell>
        </row>
        <row r="653">
          <cell r="A653" t="str">
            <v>2355</v>
          </cell>
          <cell r="B653" t="str">
            <v>今井　寛時　　　</v>
          </cell>
          <cell r="C653">
            <v>723770</v>
          </cell>
          <cell r="D653">
            <v>850720</v>
          </cell>
          <cell r="E653">
            <v>1574490</v>
          </cell>
          <cell r="F653">
            <v>2959853</v>
          </cell>
          <cell r="G653">
            <v>4534343</v>
          </cell>
          <cell r="H653">
            <v>747700</v>
          </cell>
        </row>
        <row r="654">
          <cell r="A654" t="str">
            <v>0995</v>
          </cell>
          <cell r="B654" t="str">
            <v>田中　博　　　　</v>
          </cell>
          <cell r="C654">
            <v>768690</v>
          </cell>
          <cell r="D654">
            <v>850150</v>
          </cell>
          <cell r="E654">
            <v>1618840</v>
          </cell>
          <cell r="F654">
            <v>4131046</v>
          </cell>
          <cell r="G654">
            <v>5749886</v>
          </cell>
          <cell r="H654">
            <v>811180</v>
          </cell>
        </row>
        <row r="655">
          <cell r="A655" t="str">
            <v>1898</v>
          </cell>
          <cell r="B655" t="str">
            <v>丹野　幸男　　　</v>
          </cell>
          <cell r="C655">
            <v>759790</v>
          </cell>
          <cell r="D655">
            <v>849370</v>
          </cell>
          <cell r="E655">
            <v>1609160</v>
          </cell>
          <cell r="F655">
            <v>3354551</v>
          </cell>
          <cell r="G655">
            <v>4963711</v>
          </cell>
          <cell r="H655">
            <v>796560</v>
          </cell>
        </row>
        <row r="656">
          <cell r="A656" t="str">
            <v>2379</v>
          </cell>
          <cell r="B656" t="str">
            <v>宮西　一仁　　　</v>
          </cell>
          <cell r="C656">
            <v>737460</v>
          </cell>
          <cell r="D656">
            <v>847190</v>
          </cell>
          <cell r="E656">
            <v>1584650</v>
          </cell>
          <cell r="F656">
            <v>3701364</v>
          </cell>
          <cell r="G656">
            <v>5286014</v>
          </cell>
          <cell r="H656">
            <v>780330</v>
          </cell>
        </row>
        <row r="657">
          <cell r="A657" t="str">
            <v>1319</v>
          </cell>
          <cell r="B657" t="str">
            <v>杉浦　宏　　　　</v>
          </cell>
          <cell r="C657">
            <v>816430</v>
          </cell>
          <cell r="D657">
            <v>846620</v>
          </cell>
          <cell r="E657">
            <v>1663050</v>
          </cell>
          <cell r="F657">
            <v>3433035</v>
          </cell>
          <cell r="G657">
            <v>5096085</v>
          </cell>
          <cell r="H657">
            <v>794000</v>
          </cell>
        </row>
        <row r="658">
          <cell r="A658" t="str">
            <v>1805</v>
          </cell>
          <cell r="B658" t="str">
            <v>阪本　利之　　　</v>
          </cell>
          <cell r="C658">
            <v>724520</v>
          </cell>
          <cell r="D658">
            <v>845970</v>
          </cell>
          <cell r="E658">
            <v>1570490</v>
          </cell>
          <cell r="F658">
            <v>3929548</v>
          </cell>
          <cell r="G658">
            <v>5500038</v>
          </cell>
          <cell r="H658">
            <v>769780</v>
          </cell>
        </row>
        <row r="659">
          <cell r="A659" t="str">
            <v>1904</v>
          </cell>
          <cell r="B659" t="str">
            <v>永瀬　融　　　　</v>
          </cell>
          <cell r="C659">
            <v>696380</v>
          </cell>
          <cell r="D659">
            <v>843600</v>
          </cell>
          <cell r="E659">
            <v>1539980</v>
          </cell>
          <cell r="F659">
            <v>3273297</v>
          </cell>
          <cell r="G659">
            <v>4813277</v>
          </cell>
          <cell r="H659">
            <v>738170</v>
          </cell>
        </row>
        <row r="660">
          <cell r="A660" t="str">
            <v>3278</v>
          </cell>
          <cell r="B660" t="str">
            <v>辻　孝　　　　　</v>
          </cell>
          <cell r="C660">
            <v>682580</v>
          </cell>
          <cell r="D660">
            <v>841730</v>
          </cell>
          <cell r="E660">
            <v>1524310</v>
          </cell>
          <cell r="F660">
            <v>4341814</v>
          </cell>
          <cell r="G660">
            <v>5866124</v>
          </cell>
          <cell r="H660">
            <v>780070</v>
          </cell>
        </row>
        <row r="661">
          <cell r="A661" t="str">
            <v>3087</v>
          </cell>
          <cell r="B661" t="str">
            <v>村上　真一　　　</v>
          </cell>
          <cell r="C661">
            <v>730650</v>
          </cell>
          <cell r="D661">
            <v>840590</v>
          </cell>
          <cell r="E661">
            <v>1571240</v>
          </cell>
          <cell r="F661">
            <v>3448688</v>
          </cell>
          <cell r="G661">
            <v>5019928</v>
          </cell>
          <cell r="H661">
            <v>673300</v>
          </cell>
        </row>
        <row r="662">
          <cell r="A662" t="str">
            <v>2595</v>
          </cell>
          <cell r="B662" t="str">
            <v>藤崎　潤造　　　</v>
          </cell>
          <cell r="C662">
            <v>712680</v>
          </cell>
          <cell r="D662">
            <v>839780</v>
          </cell>
          <cell r="E662">
            <v>1552460</v>
          </cell>
          <cell r="F662">
            <v>3476045</v>
          </cell>
          <cell r="G662">
            <v>5028505</v>
          </cell>
          <cell r="H662">
            <v>716590</v>
          </cell>
        </row>
        <row r="663">
          <cell r="A663" t="str">
            <v>3423</v>
          </cell>
          <cell r="B663" t="str">
            <v>青柿　惠二　　　</v>
          </cell>
          <cell r="C663">
            <v>749510</v>
          </cell>
          <cell r="D663">
            <v>839630</v>
          </cell>
          <cell r="E663">
            <v>1589140</v>
          </cell>
          <cell r="F663">
            <v>3682057</v>
          </cell>
          <cell r="G663">
            <v>5271197</v>
          </cell>
          <cell r="H663">
            <v>763020</v>
          </cell>
        </row>
        <row r="664">
          <cell r="A664" t="str">
            <v>2632</v>
          </cell>
          <cell r="B664" t="str">
            <v>十田　哲郎　　　</v>
          </cell>
          <cell r="C664">
            <v>730510</v>
          </cell>
          <cell r="D664">
            <v>839530</v>
          </cell>
          <cell r="E664">
            <v>1570040</v>
          </cell>
          <cell r="F664">
            <v>3778599</v>
          </cell>
          <cell r="G664">
            <v>5348639</v>
          </cell>
          <cell r="H664">
            <v>773380</v>
          </cell>
        </row>
        <row r="665">
          <cell r="A665" t="str">
            <v>0931</v>
          </cell>
          <cell r="B665" t="str">
            <v>豊久　征二　　　</v>
          </cell>
          <cell r="C665">
            <v>768610</v>
          </cell>
          <cell r="D665">
            <v>838330</v>
          </cell>
          <cell r="E665">
            <v>1606940</v>
          </cell>
          <cell r="F665">
            <v>4837413</v>
          </cell>
          <cell r="G665">
            <v>6444353</v>
          </cell>
          <cell r="H665">
            <v>781560</v>
          </cell>
        </row>
        <row r="666">
          <cell r="A666" t="str">
            <v>2556</v>
          </cell>
          <cell r="B666" t="str">
            <v>井野　智幸　　　</v>
          </cell>
          <cell r="C666">
            <v>751290</v>
          </cell>
          <cell r="D666">
            <v>838230</v>
          </cell>
          <cell r="E666">
            <v>1589520</v>
          </cell>
          <cell r="F666">
            <v>3466205</v>
          </cell>
          <cell r="G666">
            <v>5055725</v>
          </cell>
          <cell r="H666">
            <v>737120</v>
          </cell>
        </row>
        <row r="667">
          <cell r="A667" t="str">
            <v>2211</v>
          </cell>
          <cell r="B667" t="str">
            <v>長尾　晃裕　　　</v>
          </cell>
          <cell r="C667">
            <v>759790</v>
          </cell>
          <cell r="D667">
            <v>838000</v>
          </cell>
          <cell r="E667">
            <v>1597790</v>
          </cell>
          <cell r="F667">
            <v>3815718</v>
          </cell>
          <cell r="G667">
            <v>5413508</v>
          </cell>
          <cell r="H667">
            <v>799940</v>
          </cell>
        </row>
        <row r="668">
          <cell r="A668" t="str">
            <v>1173</v>
          </cell>
          <cell r="B668" t="str">
            <v>渕上　誠　　　　</v>
          </cell>
          <cell r="C668">
            <v>785960</v>
          </cell>
          <cell r="D668">
            <v>837880</v>
          </cell>
          <cell r="E668">
            <v>1623840</v>
          </cell>
          <cell r="F668">
            <v>4032860</v>
          </cell>
          <cell r="G668">
            <v>5656700</v>
          </cell>
          <cell r="H668">
            <v>799480</v>
          </cell>
        </row>
        <row r="669">
          <cell r="A669" t="str">
            <v>3430</v>
          </cell>
          <cell r="B669" t="str">
            <v>菊岡　勝司　　　</v>
          </cell>
          <cell r="C669">
            <v>762390</v>
          </cell>
          <cell r="D669">
            <v>837440</v>
          </cell>
          <cell r="E669">
            <v>1599830</v>
          </cell>
          <cell r="F669">
            <v>4355282</v>
          </cell>
          <cell r="G669">
            <v>5955112</v>
          </cell>
          <cell r="H669">
            <v>754020</v>
          </cell>
        </row>
        <row r="670">
          <cell r="A670" t="str">
            <v>2569</v>
          </cell>
          <cell r="B670" t="str">
            <v>稲石　英郎　　　</v>
          </cell>
          <cell r="C670">
            <v>707600</v>
          </cell>
          <cell r="D670">
            <v>836440</v>
          </cell>
          <cell r="E670">
            <v>1544040</v>
          </cell>
          <cell r="F670">
            <v>3509810</v>
          </cell>
          <cell r="G670">
            <v>5053850</v>
          </cell>
          <cell r="H670">
            <v>740640</v>
          </cell>
        </row>
        <row r="671">
          <cell r="A671" t="str">
            <v>1646</v>
          </cell>
          <cell r="B671" t="str">
            <v>仲田　貞夫　　　</v>
          </cell>
          <cell r="C671">
            <v>783130</v>
          </cell>
          <cell r="D671">
            <v>836040</v>
          </cell>
          <cell r="E671">
            <v>1619170</v>
          </cell>
          <cell r="F671">
            <v>3517800</v>
          </cell>
          <cell r="G671">
            <v>5136970</v>
          </cell>
          <cell r="H671">
            <v>785250</v>
          </cell>
        </row>
        <row r="672">
          <cell r="A672" t="str">
            <v>2073</v>
          </cell>
          <cell r="B672" t="str">
            <v>嶋崎　真司　　　</v>
          </cell>
          <cell r="C672">
            <v>712660</v>
          </cell>
          <cell r="D672">
            <v>835840</v>
          </cell>
          <cell r="E672">
            <v>1548500</v>
          </cell>
          <cell r="F672">
            <v>3374557</v>
          </cell>
          <cell r="G672">
            <v>4923057</v>
          </cell>
          <cell r="H672">
            <v>760570</v>
          </cell>
        </row>
        <row r="673">
          <cell r="A673" t="str">
            <v>2373</v>
          </cell>
          <cell r="B673" t="str">
            <v>中村　範彦　　　</v>
          </cell>
          <cell r="C673">
            <v>726640</v>
          </cell>
          <cell r="D673">
            <v>835680</v>
          </cell>
          <cell r="E673">
            <v>1562320</v>
          </cell>
          <cell r="F673">
            <v>3654712</v>
          </cell>
          <cell r="G673">
            <v>5217032</v>
          </cell>
          <cell r="H673">
            <v>782030</v>
          </cell>
        </row>
        <row r="674">
          <cell r="A674" t="str">
            <v>1749</v>
          </cell>
          <cell r="B674" t="str">
            <v>小澤　輝夫　　　</v>
          </cell>
          <cell r="C674">
            <v>702350</v>
          </cell>
          <cell r="D674">
            <v>834450</v>
          </cell>
          <cell r="E674">
            <v>1536800</v>
          </cell>
          <cell r="F674">
            <v>3916764</v>
          </cell>
          <cell r="G674">
            <v>5453564</v>
          </cell>
          <cell r="H674">
            <v>757850</v>
          </cell>
        </row>
        <row r="675">
          <cell r="A675" t="str">
            <v>2273</v>
          </cell>
          <cell r="B675" t="str">
            <v>難波　明宏　　　</v>
          </cell>
          <cell r="C675">
            <v>738540</v>
          </cell>
          <cell r="D675">
            <v>831590</v>
          </cell>
          <cell r="E675">
            <v>1570130</v>
          </cell>
          <cell r="F675">
            <v>3462415</v>
          </cell>
          <cell r="G675">
            <v>5032545</v>
          </cell>
          <cell r="H675">
            <v>687690</v>
          </cell>
        </row>
        <row r="676">
          <cell r="A676" t="str">
            <v>1639</v>
          </cell>
          <cell r="B676" t="str">
            <v>斎藤　繁　　　　</v>
          </cell>
          <cell r="C676">
            <v>722820</v>
          </cell>
          <cell r="D676">
            <v>831570</v>
          </cell>
          <cell r="E676">
            <v>1554390</v>
          </cell>
          <cell r="F676">
            <v>4784795</v>
          </cell>
          <cell r="G676">
            <v>6339185</v>
          </cell>
          <cell r="H676">
            <v>756690</v>
          </cell>
        </row>
        <row r="677">
          <cell r="A677" t="str">
            <v>1948</v>
          </cell>
          <cell r="B677" t="str">
            <v>山本　朗　　　　</v>
          </cell>
          <cell r="C677">
            <v>736790</v>
          </cell>
          <cell r="D677">
            <v>831390</v>
          </cell>
          <cell r="E677">
            <v>1568180</v>
          </cell>
          <cell r="F677">
            <v>3094680</v>
          </cell>
          <cell r="G677">
            <v>4662860</v>
          </cell>
          <cell r="H677">
            <v>769560</v>
          </cell>
        </row>
        <row r="678">
          <cell r="A678" t="str">
            <v>2042</v>
          </cell>
          <cell r="B678" t="str">
            <v>松本　稔　　　　</v>
          </cell>
          <cell r="C678">
            <v>760390</v>
          </cell>
          <cell r="D678">
            <v>830770</v>
          </cell>
          <cell r="E678">
            <v>1591160</v>
          </cell>
          <cell r="F678">
            <v>5159016</v>
          </cell>
          <cell r="G678">
            <v>6750176</v>
          </cell>
          <cell r="H678">
            <v>773830</v>
          </cell>
        </row>
        <row r="679">
          <cell r="A679" t="str">
            <v>2649</v>
          </cell>
          <cell r="B679" t="str">
            <v>福田　民人　　　</v>
          </cell>
          <cell r="C679">
            <v>632170</v>
          </cell>
          <cell r="D679">
            <v>830620</v>
          </cell>
          <cell r="E679">
            <v>1462790</v>
          </cell>
          <cell r="F679">
            <v>2824024</v>
          </cell>
          <cell r="G679">
            <v>4286814</v>
          </cell>
          <cell r="H679">
            <v>763470</v>
          </cell>
        </row>
        <row r="680">
          <cell r="A680" t="str">
            <v>1921</v>
          </cell>
          <cell r="B680" t="str">
            <v>吉田　勝彦　　　</v>
          </cell>
          <cell r="C680">
            <v>700410</v>
          </cell>
          <cell r="D680">
            <v>829140</v>
          </cell>
          <cell r="E680">
            <v>1529550</v>
          </cell>
          <cell r="F680">
            <v>3540403</v>
          </cell>
          <cell r="G680">
            <v>5069953</v>
          </cell>
          <cell r="H680">
            <v>731090</v>
          </cell>
        </row>
        <row r="681">
          <cell r="A681" t="str">
            <v>2457</v>
          </cell>
          <cell r="B681" t="str">
            <v>伊地知　治　　　</v>
          </cell>
          <cell r="C681">
            <v>640510</v>
          </cell>
          <cell r="D681">
            <v>828670</v>
          </cell>
          <cell r="E681">
            <v>1469180</v>
          </cell>
          <cell r="F681">
            <v>2974575</v>
          </cell>
          <cell r="G681">
            <v>4443755</v>
          </cell>
          <cell r="H681">
            <v>662250</v>
          </cell>
        </row>
        <row r="682">
          <cell r="A682" t="str">
            <v>2638</v>
          </cell>
          <cell r="B682" t="str">
            <v>田中　秀穂　　　</v>
          </cell>
          <cell r="C682">
            <v>628990</v>
          </cell>
          <cell r="D682">
            <v>828670</v>
          </cell>
          <cell r="E682">
            <v>1457660</v>
          </cell>
          <cell r="F682">
            <v>3193492</v>
          </cell>
          <cell r="G682">
            <v>4651152</v>
          </cell>
          <cell r="H682">
            <v>719740</v>
          </cell>
        </row>
        <row r="683">
          <cell r="A683" t="str">
            <v>2644</v>
          </cell>
          <cell r="B683" t="str">
            <v>長谷川　徹　　　</v>
          </cell>
          <cell r="C683">
            <v>615220</v>
          </cell>
          <cell r="D683">
            <v>826600</v>
          </cell>
          <cell r="E683">
            <v>1441820</v>
          </cell>
          <cell r="F683">
            <v>2806505</v>
          </cell>
          <cell r="G683">
            <v>4248325</v>
          </cell>
          <cell r="H683">
            <v>683420</v>
          </cell>
        </row>
        <row r="684">
          <cell r="A684" t="str">
            <v>2625</v>
          </cell>
          <cell r="B684" t="str">
            <v>榊原　志典　　　</v>
          </cell>
          <cell r="C684">
            <v>606030</v>
          </cell>
          <cell r="D684">
            <v>826600</v>
          </cell>
          <cell r="E684">
            <v>1432630</v>
          </cell>
          <cell r="F684">
            <v>3613599</v>
          </cell>
          <cell r="G684">
            <v>5046229</v>
          </cell>
          <cell r="H684">
            <v>759850</v>
          </cell>
        </row>
        <row r="685">
          <cell r="A685" t="str">
            <v>1643</v>
          </cell>
          <cell r="B685" t="str">
            <v>原　秀光　　　　</v>
          </cell>
          <cell r="C685">
            <v>712020</v>
          </cell>
          <cell r="D685">
            <v>824870</v>
          </cell>
          <cell r="E685">
            <v>1536890</v>
          </cell>
          <cell r="F685">
            <v>3167810</v>
          </cell>
          <cell r="G685">
            <v>4704700</v>
          </cell>
          <cell r="H685">
            <v>750600</v>
          </cell>
        </row>
        <row r="686">
          <cell r="A686" t="str">
            <v>2261</v>
          </cell>
          <cell r="B686" t="str">
            <v>岡本　尚人　　　</v>
          </cell>
          <cell r="C686">
            <v>720910</v>
          </cell>
          <cell r="D686">
            <v>824180</v>
          </cell>
          <cell r="E686">
            <v>1545090</v>
          </cell>
          <cell r="F686">
            <v>3888614</v>
          </cell>
          <cell r="G686">
            <v>5433704</v>
          </cell>
          <cell r="H686">
            <v>719320</v>
          </cell>
        </row>
        <row r="687">
          <cell r="A687" t="str">
            <v>2488</v>
          </cell>
          <cell r="B687" t="str">
            <v>西本　和実　　　</v>
          </cell>
          <cell r="C687">
            <v>693850</v>
          </cell>
          <cell r="D687">
            <v>824180</v>
          </cell>
          <cell r="E687">
            <v>1518030</v>
          </cell>
          <cell r="F687">
            <v>3385142</v>
          </cell>
          <cell r="G687">
            <v>4903172</v>
          </cell>
          <cell r="H687">
            <v>786670</v>
          </cell>
        </row>
        <row r="688">
          <cell r="A688" t="str">
            <v>1698</v>
          </cell>
          <cell r="B688" t="str">
            <v>上総　二夫　　　</v>
          </cell>
          <cell r="C688">
            <v>705410</v>
          </cell>
          <cell r="D688">
            <v>822420</v>
          </cell>
          <cell r="E688">
            <v>1527830</v>
          </cell>
          <cell r="F688">
            <v>3888022</v>
          </cell>
          <cell r="G688">
            <v>5415852</v>
          </cell>
          <cell r="H688">
            <v>746770</v>
          </cell>
        </row>
        <row r="689">
          <cell r="A689" t="str">
            <v>2383</v>
          </cell>
          <cell r="B689" t="str">
            <v>山本　昇　　　　</v>
          </cell>
          <cell r="C689">
            <v>702140</v>
          </cell>
          <cell r="D689">
            <v>821560</v>
          </cell>
          <cell r="E689">
            <v>1523700</v>
          </cell>
          <cell r="F689">
            <v>3355850</v>
          </cell>
          <cell r="G689">
            <v>4879550</v>
          </cell>
          <cell r="H689">
            <v>759450</v>
          </cell>
        </row>
        <row r="690">
          <cell r="A690" t="str">
            <v>2214</v>
          </cell>
          <cell r="B690" t="str">
            <v>橋詰　敏郎　　　</v>
          </cell>
          <cell r="C690">
            <v>703710</v>
          </cell>
          <cell r="D690">
            <v>821280</v>
          </cell>
          <cell r="E690">
            <v>1524990</v>
          </cell>
          <cell r="F690">
            <v>3455290</v>
          </cell>
          <cell r="G690">
            <v>4980280</v>
          </cell>
          <cell r="H690">
            <v>759790</v>
          </cell>
        </row>
        <row r="691">
          <cell r="A691" t="str">
            <v>1949</v>
          </cell>
          <cell r="B691" t="str">
            <v>山下　均　　　　</v>
          </cell>
          <cell r="C691">
            <v>717140</v>
          </cell>
          <cell r="D691">
            <v>820840</v>
          </cell>
          <cell r="E691">
            <v>1537980</v>
          </cell>
          <cell r="F691">
            <v>3961375</v>
          </cell>
          <cell r="G691">
            <v>5499355</v>
          </cell>
          <cell r="H691">
            <v>746910</v>
          </cell>
        </row>
        <row r="692">
          <cell r="A692" t="str">
            <v>2479</v>
          </cell>
          <cell r="B692" t="str">
            <v>高橋　和則　　　</v>
          </cell>
          <cell r="C692">
            <v>742960</v>
          </cell>
          <cell r="D692">
            <v>820380</v>
          </cell>
          <cell r="E692">
            <v>1563340</v>
          </cell>
          <cell r="F692">
            <v>3119817</v>
          </cell>
          <cell r="G692">
            <v>4683157</v>
          </cell>
          <cell r="H692">
            <v>744170</v>
          </cell>
        </row>
        <row r="693">
          <cell r="A693" t="str">
            <v>2486</v>
          </cell>
          <cell r="B693" t="str">
            <v>長野　光久　　　</v>
          </cell>
          <cell r="C693">
            <v>695650</v>
          </cell>
          <cell r="D693">
            <v>820380</v>
          </cell>
          <cell r="E693">
            <v>1516030</v>
          </cell>
          <cell r="F693">
            <v>3418340</v>
          </cell>
          <cell r="G693">
            <v>4934370</v>
          </cell>
          <cell r="H693">
            <v>744170</v>
          </cell>
        </row>
        <row r="694">
          <cell r="A694" t="str">
            <v>2560</v>
          </cell>
          <cell r="B694" t="str">
            <v>能代　達哉　　　</v>
          </cell>
          <cell r="C694">
            <v>605980</v>
          </cell>
          <cell r="D694">
            <v>820220</v>
          </cell>
          <cell r="E694">
            <v>1426200</v>
          </cell>
          <cell r="F694">
            <v>3206931</v>
          </cell>
          <cell r="G694">
            <v>4633131</v>
          </cell>
          <cell r="H694">
            <v>735810</v>
          </cell>
        </row>
        <row r="695">
          <cell r="A695" t="str">
            <v>2371</v>
          </cell>
          <cell r="B695" t="str">
            <v>高橋　真浩　　　</v>
          </cell>
          <cell r="C695">
            <v>712290</v>
          </cell>
          <cell r="D695">
            <v>818000</v>
          </cell>
          <cell r="E695">
            <v>1530290</v>
          </cell>
          <cell r="F695">
            <v>2958560</v>
          </cell>
          <cell r="G695">
            <v>4488850</v>
          </cell>
          <cell r="H695">
            <v>743360</v>
          </cell>
        </row>
        <row r="696">
          <cell r="A696" t="str">
            <v>1205</v>
          </cell>
          <cell r="B696" t="str">
            <v>遠藤　泰子　　　</v>
          </cell>
          <cell r="C696">
            <v>706850</v>
          </cell>
          <cell r="D696">
            <v>817210</v>
          </cell>
          <cell r="E696">
            <v>1524060</v>
          </cell>
          <cell r="F696">
            <v>3469959</v>
          </cell>
          <cell r="G696">
            <v>4994019</v>
          </cell>
          <cell r="H696">
            <v>718420</v>
          </cell>
        </row>
        <row r="697">
          <cell r="A697" t="str">
            <v>1819</v>
          </cell>
          <cell r="B697" t="str">
            <v>香川　昌和　　　</v>
          </cell>
          <cell r="C697">
            <v>729810</v>
          </cell>
          <cell r="D697">
            <v>817140</v>
          </cell>
          <cell r="E697">
            <v>1546950</v>
          </cell>
          <cell r="F697">
            <v>3750982</v>
          </cell>
          <cell r="G697">
            <v>5297932</v>
          </cell>
          <cell r="H697">
            <v>788040</v>
          </cell>
        </row>
        <row r="698">
          <cell r="A698" t="str">
            <v>0430</v>
          </cell>
          <cell r="B698" t="str">
            <v>坂本　村子　　　</v>
          </cell>
          <cell r="C698">
            <v>683680</v>
          </cell>
          <cell r="D698">
            <v>816800</v>
          </cell>
          <cell r="E698">
            <v>1500480</v>
          </cell>
          <cell r="F698">
            <v>3805750</v>
          </cell>
          <cell r="G698">
            <v>5306230</v>
          </cell>
          <cell r="H698">
            <v>729800</v>
          </cell>
        </row>
        <row r="699">
          <cell r="A699" t="str">
            <v>1758</v>
          </cell>
          <cell r="B699" t="str">
            <v>涌島　武志　　　</v>
          </cell>
          <cell r="C699">
            <v>721820</v>
          </cell>
          <cell r="D699">
            <v>816660</v>
          </cell>
          <cell r="E699">
            <v>1538480</v>
          </cell>
          <cell r="F699">
            <v>4530121</v>
          </cell>
          <cell r="G699">
            <v>6068601</v>
          </cell>
          <cell r="H699">
            <v>753490</v>
          </cell>
        </row>
        <row r="700">
          <cell r="A700" t="str">
            <v>1708</v>
          </cell>
          <cell r="B700" t="str">
            <v>田阪　正之　　　</v>
          </cell>
          <cell r="C700">
            <v>715840</v>
          </cell>
          <cell r="D700">
            <v>816590</v>
          </cell>
          <cell r="E700">
            <v>1532430</v>
          </cell>
          <cell r="F700">
            <v>3920425</v>
          </cell>
          <cell r="G700">
            <v>5452855</v>
          </cell>
          <cell r="H700">
            <v>744440</v>
          </cell>
        </row>
        <row r="701">
          <cell r="A701" t="str">
            <v>2274</v>
          </cell>
          <cell r="B701" t="str">
            <v>西谷　秋義　　　</v>
          </cell>
          <cell r="C701">
            <v>740100</v>
          </cell>
          <cell r="D701">
            <v>816410</v>
          </cell>
          <cell r="E701">
            <v>1556510</v>
          </cell>
          <cell r="F701">
            <v>3646194</v>
          </cell>
          <cell r="G701">
            <v>5202704</v>
          </cell>
          <cell r="H701">
            <v>756510</v>
          </cell>
        </row>
        <row r="702">
          <cell r="A702" t="str">
            <v>2722</v>
          </cell>
          <cell r="B702" t="str">
            <v>佐藤　淳　　　　</v>
          </cell>
          <cell r="C702">
            <v>690580</v>
          </cell>
          <cell r="D702">
            <v>816360</v>
          </cell>
          <cell r="E702">
            <v>1506940</v>
          </cell>
          <cell r="F702">
            <v>3713452</v>
          </cell>
          <cell r="G702">
            <v>5220392</v>
          </cell>
          <cell r="H702">
            <v>728920</v>
          </cell>
        </row>
        <row r="703">
          <cell r="A703" t="str">
            <v>0906</v>
          </cell>
          <cell r="B703" t="str">
            <v>眞柄　忠彦　　　</v>
          </cell>
          <cell r="C703">
            <v>812550</v>
          </cell>
          <cell r="D703">
            <v>816200</v>
          </cell>
          <cell r="E703">
            <v>1628750</v>
          </cell>
          <cell r="F703">
            <v>4308612</v>
          </cell>
          <cell r="G703">
            <v>5937362</v>
          </cell>
          <cell r="H703">
            <v>782080</v>
          </cell>
        </row>
        <row r="704">
          <cell r="A704" t="str">
            <v>3425</v>
          </cell>
          <cell r="B704" t="str">
            <v>浜本　純子　　　</v>
          </cell>
          <cell r="C704">
            <v>734600</v>
          </cell>
          <cell r="D704">
            <v>815470</v>
          </cell>
          <cell r="E704">
            <v>1550070</v>
          </cell>
          <cell r="F704">
            <v>3146554</v>
          </cell>
          <cell r="G704">
            <v>4696624</v>
          </cell>
          <cell r="H704">
            <v>743500</v>
          </cell>
        </row>
        <row r="705">
          <cell r="A705" t="str">
            <v>2617</v>
          </cell>
          <cell r="B705" t="str">
            <v>尾川　由洋　　　</v>
          </cell>
          <cell r="C705">
            <v>621430</v>
          </cell>
          <cell r="D705">
            <v>814550</v>
          </cell>
          <cell r="E705">
            <v>1435980</v>
          </cell>
          <cell r="F705">
            <v>2866088</v>
          </cell>
          <cell r="G705">
            <v>4302068</v>
          </cell>
          <cell r="H705">
            <v>737120</v>
          </cell>
        </row>
        <row r="706">
          <cell r="A706" t="str">
            <v>2372</v>
          </cell>
          <cell r="B706" t="str">
            <v>寺原　浩　　　　</v>
          </cell>
          <cell r="C706">
            <v>720370</v>
          </cell>
          <cell r="D706">
            <v>814420</v>
          </cell>
          <cell r="E706">
            <v>1534790</v>
          </cell>
          <cell r="F706">
            <v>3624129</v>
          </cell>
          <cell r="G706">
            <v>5158919</v>
          </cell>
          <cell r="H706">
            <v>697830</v>
          </cell>
        </row>
        <row r="707">
          <cell r="A707" t="str">
            <v>2201</v>
          </cell>
          <cell r="B707" t="str">
            <v>斉藤　努　　　　</v>
          </cell>
          <cell r="C707">
            <v>631930</v>
          </cell>
          <cell r="D707">
            <v>814230</v>
          </cell>
          <cell r="E707">
            <v>1446160</v>
          </cell>
          <cell r="F707">
            <v>3273616</v>
          </cell>
          <cell r="G707">
            <v>4719776</v>
          </cell>
          <cell r="H707">
            <v>727160</v>
          </cell>
        </row>
        <row r="708">
          <cell r="A708" t="str">
            <v>2482</v>
          </cell>
          <cell r="B708" t="str">
            <v>道羅　泰志　　　</v>
          </cell>
          <cell r="C708">
            <v>671470</v>
          </cell>
          <cell r="D708">
            <v>812740</v>
          </cell>
          <cell r="E708">
            <v>1484210</v>
          </cell>
          <cell r="F708">
            <v>3228215</v>
          </cell>
          <cell r="G708">
            <v>4712425</v>
          </cell>
          <cell r="H708">
            <v>772840</v>
          </cell>
        </row>
        <row r="709">
          <cell r="A709" t="str">
            <v>0165</v>
          </cell>
          <cell r="B709" t="str">
            <v>大政　友明　　　</v>
          </cell>
          <cell r="C709">
            <v>756520</v>
          </cell>
          <cell r="D709">
            <v>812420</v>
          </cell>
          <cell r="E709">
            <v>1568940</v>
          </cell>
          <cell r="F709">
            <v>4040200</v>
          </cell>
          <cell r="G709">
            <v>5609140</v>
          </cell>
          <cell r="H709">
            <v>752820</v>
          </cell>
        </row>
        <row r="710">
          <cell r="A710" t="str">
            <v>1938</v>
          </cell>
          <cell r="B710" t="str">
            <v>黒川　孝志　　　</v>
          </cell>
          <cell r="C710">
            <v>641430</v>
          </cell>
          <cell r="D710">
            <v>811830</v>
          </cell>
          <cell r="E710">
            <v>1453260</v>
          </cell>
          <cell r="F710">
            <v>3506115</v>
          </cell>
          <cell r="G710">
            <v>4959375</v>
          </cell>
          <cell r="H710">
            <v>758890</v>
          </cell>
        </row>
        <row r="711">
          <cell r="A711" t="str">
            <v>2881</v>
          </cell>
          <cell r="B711" t="str">
            <v>伊藤　一生　　　</v>
          </cell>
          <cell r="C711">
            <v>683200</v>
          </cell>
          <cell r="D711">
            <v>811180</v>
          </cell>
          <cell r="E711">
            <v>1494380</v>
          </cell>
          <cell r="F711">
            <v>3558515</v>
          </cell>
          <cell r="G711">
            <v>5052895</v>
          </cell>
          <cell r="H711">
            <v>739190</v>
          </cell>
        </row>
        <row r="712">
          <cell r="A712" t="str">
            <v>2630</v>
          </cell>
          <cell r="B712" t="str">
            <v>柴尾　孝之　　　</v>
          </cell>
          <cell r="C712">
            <v>615220</v>
          </cell>
          <cell r="D712">
            <v>810530</v>
          </cell>
          <cell r="E712">
            <v>1425750</v>
          </cell>
          <cell r="F712">
            <v>3139813</v>
          </cell>
          <cell r="G712">
            <v>4565563</v>
          </cell>
          <cell r="H712">
            <v>733590</v>
          </cell>
        </row>
        <row r="713">
          <cell r="A713" t="str">
            <v>2463</v>
          </cell>
          <cell r="B713" t="str">
            <v>大野　浩明　　　</v>
          </cell>
          <cell r="C713">
            <v>681270</v>
          </cell>
          <cell r="D713">
            <v>807890</v>
          </cell>
          <cell r="E713">
            <v>1489160</v>
          </cell>
          <cell r="F713">
            <v>3883945</v>
          </cell>
          <cell r="G713">
            <v>5373105</v>
          </cell>
          <cell r="H713">
            <v>710440</v>
          </cell>
        </row>
        <row r="714">
          <cell r="A714" t="str">
            <v>2093</v>
          </cell>
          <cell r="B714" t="str">
            <v>早坂　佐富　　　</v>
          </cell>
          <cell r="C714">
            <v>726640</v>
          </cell>
          <cell r="D714">
            <v>807740</v>
          </cell>
          <cell r="E714">
            <v>1534380</v>
          </cell>
          <cell r="F714">
            <v>3261660</v>
          </cell>
          <cell r="G714">
            <v>4796040</v>
          </cell>
          <cell r="H714">
            <v>746600</v>
          </cell>
        </row>
        <row r="715">
          <cell r="A715" t="str">
            <v>2191</v>
          </cell>
          <cell r="B715" t="str">
            <v>浅野　俊吾　　　</v>
          </cell>
          <cell r="C715">
            <v>714720</v>
          </cell>
          <cell r="D715">
            <v>806570</v>
          </cell>
          <cell r="E715">
            <v>1521290</v>
          </cell>
          <cell r="F715">
            <v>3713101</v>
          </cell>
          <cell r="G715">
            <v>5234391</v>
          </cell>
          <cell r="H715">
            <v>776910</v>
          </cell>
        </row>
        <row r="716">
          <cell r="A716" t="str">
            <v>1868</v>
          </cell>
          <cell r="B716" t="str">
            <v>中村　芳子　　　</v>
          </cell>
          <cell r="C716">
            <v>742920</v>
          </cell>
          <cell r="D716">
            <v>806440</v>
          </cell>
          <cell r="E716">
            <v>1549360</v>
          </cell>
          <cell r="F716">
            <v>3684904</v>
          </cell>
          <cell r="G716">
            <v>5234264</v>
          </cell>
          <cell r="H716">
            <v>720420</v>
          </cell>
        </row>
        <row r="717">
          <cell r="A717" t="str">
            <v>2426</v>
          </cell>
          <cell r="B717" t="str">
            <v>佐藤　正　　　　</v>
          </cell>
          <cell r="C717">
            <v>723610</v>
          </cell>
          <cell r="D717">
            <v>803620</v>
          </cell>
          <cell r="E717">
            <v>1527230</v>
          </cell>
          <cell r="F717">
            <v>3533308</v>
          </cell>
          <cell r="G717">
            <v>5060538</v>
          </cell>
          <cell r="H717">
            <v>696700</v>
          </cell>
        </row>
        <row r="718">
          <cell r="A718" t="str">
            <v>2382</v>
          </cell>
          <cell r="B718" t="str">
            <v>山田　浩　　　　</v>
          </cell>
          <cell r="C718">
            <v>712840</v>
          </cell>
          <cell r="D718">
            <v>803580</v>
          </cell>
          <cell r="E718">
            <v>1516420</v>
          </cell>
          <cell r="F718">
            <v>3584590</v>
          </cell>
          <cell r="G718">
            <v>5101010</v>
          </cell>
          <cell r="H718">
            <v>706650</v>
          </cell>
        </row>
        <row r="719">
          <cell r="A719" t="str">
            <v>2742</v>
          </cell>
          <cell r="B719" t="str">
            <v>武内　徳高　　　</v>
          </cell>
          <cell r="C719">
            <v>716440</v>
          </cell>
          <cell r="D719">
            <v>803580</v>
          </cell>
          <cell r="E719">
            <v>1520020</v>
          </cell>
          <cell r="F719">
            <v>3291362</v>
          </cell>
          <cell r="G719">
            <v>4811382</v>
          </cell>
          <cell r="H719">
            <v>706650</v>
          </cell>
        </row>
        <row r="720">
          <cell r="A720" t="str">
            <v>1161</v>
          </cell>
          <cell r="B720" t="str">
            <v>築田　正道　　　</v>
          </cell>
          <cell r="C720">
            <v>721220</v>
          </cell>
          <cell r="D720">
            <v>802960</v>
          </cell>
          <cell r="E720">
            <v>1524180</v>
          </cell>
          <cell r="F720">
            <v>4445441</v>
          </cell>
          <cell r="G720">
            <v>5969621</v>
          </cell>
          <cell r="H720">
            <v>741470</v>
          </cell>
        </row>
        <row r="721">
          <cell r="A721" t="str">
            <v>2740</v>
          </cell>
          <cell r="B721" t="str">
            <v>中野　武司　　　</v>
          </cell>
          <cell r="C721">
            <v>706280</v>
          </cell>
          <cell r="D721">
            <v>802540</v>
          </cell>
          <cell r="E721">
            <v>1508820</v>
          </cell>
          <cell r="F721">
            <v>3616386</v>
          </cell>
          <cell r="G721">
            <v>5125206</v>
          </cell>
          <cell r="H721">
            <v>719880</v>
          </cell>
        </row>
        <row r="722">
          <cell r="A722" t="str">
            <v>1552</v>
          </cell>
          <cell r="B722" t="str">
            <v>安達　文江　　　</v>
          </cell>
          <cell r="C722">
            <v>678420</v>
          </cell>
          <cell r="D722">
            <v>802430</v>
          </cell>
          <cell r="E722">
            <v>1480850</v>
          </cell>
          <cell r="F722">
            <v>2968115</v>
          </cell>
          <cell r="G722">
            <v>4448965</v>
          </cell>
          <cell r="H722">
            <v>733630</v>
          </cell>
        </row>
        <row r="723">
          <cell r="A723" t="str">
            <v>2473</v>
          </cell>
          <cell r="B723" t="str">
            <v>小山田　浩幸　　</v>
          </cell>
          <cell r="C723">
            <v>656240</v>
          </cell>
          <cell r="D723">
            <v>800900</v>
          </cell>
          <cell r="E723">
            <v>1457140</v>
          </cell>
          <cell r="F723">
            <v>3153176</v>
          </cell>
          <cell r="G723">
            <v>4610316</v>
          </cell>
          <cell r="H723">
            <v>737120</v>
          </cell>
        </row>
        <row r="724">
          <cell r="A724" t="str">
            <v>2580</v>
          </cell>
          <cell r="B724" t="str">
            <v>須田　淳　　　　</v>
          </cell>
          <cell r="C724">
            <v>688770</v>
          </cell>
          <cell r="D724">
            <v>800900</v>
          </cell>
          <cell r="E724">
            <v>1489670</v>
          </cell>
          <cell r="F724">
            <v>3288367</v>
          </cell>
          <cell r="G724">
            <v>4778037</v>
          </cell>
          <cell r="H724">
            <v>737120</v>
          </cell>
        </row>
        <row r="725">
          <cell r="A725" t="str">
            <v>2718</v>
          </cell>
          <cell r="B725" t="str">
            <v>鈴木　博史　　　</v>
          </cell>
          <cell r="C725">
            <v>645190</v>
          </cell>
          <cell r="D725">
            <v>800880</v>
          </cell>
          <cell r="E725">
            <v>1446070</v>
          </cell>
          <cell r="F725">
            <v>2834379</v>
          </cell>
          <cell r="G725">
            <v>4280449</v>
          </cell>
          <cell r="H725">
            <v>716110</v>
          </cell>
        </row>
        <row r="726">
          <cell r="A726" t="str">
            <v>2587</v>
          </cell>
          <cell r="B726" t="str">
            <v>宮前　浩明　　　</v>
          </cell>
          <cell r="C726">
            <v>712840</v>
          </cell>
          <cell r="D726">
            <v>799820</v>
          </cell>
          <cell r="E726">
            <v>1512660</v>
          </cell>
          <cell r="F726">
            <v>2893800</v>
          </cell>
          <cell r="G726">
            <v>4406460</v>
          </cell>
          <cell r="H726">
            <v>726380</v>
          </cell>
        </row>
        <row r="727">
          <cell r="A727" t="str">
            <v>2465</v>
          </cell>
          <cell r="B727" t="str">
            <v>角谷　満　　　　</v>
          </cell>
          <cell r="C727">
            <v>657760</v>
          </cell>
          <cell r="D727">
            <v>799270</v>
          </cell>
          <cell r="E727">
            <v>1457030</v>
          </cell>
          <cell r="F727">
            <v>3817624</v>
          </cell>
          <cell r="G727">
            <v>5274654</v>
          </cell>
          <cell r="H727">
            <v>709020</v>
          </cell>
        </row>
        <row r="728">
          <cell r="A728" t="str">
            <v>2910</v>
          </cell>
          <cell r="B728" t="str">
            <v>関　博　　　　　</v>
          </cell>
          <cell r="C728">
            <v>670920</v>
          </cell>
          <cell r="D728">
            <v>799170</v>
          </cell>
          <cell r="E728">
            <v>1470090</v>
          </cell>
          <cell r="F728">
            <v>3753773</v>
          </cell>
          <cell r="G728">
            <v>5223863</v>
          </cell>
          <cell r="H728">
            <v>727200</v>
          </cell>
        </row>
        <row r="729">
          <cell r="A729" t="str">
            <v>2501</v>
          </cell>
          <cell r="B729" t="str">
            <v>余田　茂樹　　　</v>
          </cell>
          <cell r="C729">
            <v>697100</v>
          </cell>
          <cell r="D729">
            <v>797650</v>
          </cell>
          <cell r="E729">
            <v>1494750</v>
          </cell>
          <cell r="F729">
            <v>3235469</v>
          </cell>
          <cell r="G729">
            <v>4730219</v>
          </cell>
          <cell r="H729">
            <v>704760</v>
          </cell>
        </row>
        <row r="730">
          <cell r="A730" t="str">
            <v>2193</v>
          </cell>
          <cell r="B730" t="str">
            <v>井上　正勝　　　</v>
          </cell>
          <cell r="C730">
            <v>761320</v>
          </cell>
          <cell r="D730">
            <v>797250</v>
          </cell>
          <cell r="E730">
            <v>1558570</v>
          </cell>
          <cell r="F730">
            <v>4122048</v>
          </cell>
          <cell r="G730">
            <v>5680618</v>
          </cell>
          <cell r="H730">
            <v>683580</v>
          </cell>
        </row>
        <row r="731">
          <cell r="A731" t="str">
            <v>2243</v>
          </cell>
          <cell r="B731" t="str">
            <v>古谷　正夫　　　</v>
          </cell>
          <cell r="C731">
            <v>820120</v>
          </cell>
          <cell r="D731">
            <v>796570</v>
          </cell>
          <cell r="E731">
            <v>1616690</v>
          </cell>
          <cell r="F731">
            <v>3772792</v>
          </cell>
          <cell r="G731">
            <v>5389482</v>
          </cell>
          <cell r="H731">
            <v>763510</v>
          </cell>
        </row>
        <row r="732">
          <cell r="A732" t="str">
            <v>2280</v>
          </cell>
          <cell r="B732" t="str">
            <v>山根　俊一　　　</v>
          </cell>
          <cell r="C732">
            <v>696560</v>
          </cell>
          <cell r="D732">
            <v>796250</v>
          </cell>
          <cell r="E732">
            <v>1492810</v>
          </cell>
          <cell r="F732">
            <v>2240819</v>
          </cell>
          <cell r="G732">
            <v>3733629</v>
          </cell>
          <cell r="H732">
            <v>724550</v>
          </cell>
        </row>
        <row r="733">
          <cell r="A733" t="str">
            <v>2264</v>
          </cell>
          <cell r="B733" t="str">
            <v>小泉　勝　　　　</v>
          </cell>
          <cell r="C733">
            <v>707740</v>
          </cell>
          <cell r="D733">
            <v>796250</v>
          </cell>
          <cell r="E733">
            <v>1503990</v>
          </cell>
          <cell r="F733">
            <v>3008420</v>
          </cell>
          <cell r="G733">
            <v>4512410</v>
          </cell>
          <cell r="H733">
            <v>735270</v>
          </cell>
        </row>
        <row r="734">
          <cell r="A734" t="str">
            <v>2453</v>
          </cell>
          <cell r="B734" t="str">
            <v>安藤　利治　　　</v>
          </cell>
          <cell r="C734">
            <v>709540</v>
          </cell>
          <cell r="D734">
            <v>796040</v>
          </cell>
          <cell r="E734">
            <v>1505580</v>
          </cell>
          <cell r="F734">
            <v>3548643</v>
          </cell>
          <cell r="G734">
            <v>5054223</v>
          </cell>
          <cell r="H734">
            <v>754740</v>
          </cell>
        </row>
        <row r="735">
          <cell r="A735" t="str">
            <v>2481</v>
          </cell>
          <cell r="B735" t="str">
            <v>為定　誠　　　　</v>
          </cell>
          <cell r="C735">
            <v>678430</v>
          </cell>
          <cell r="D735">
            <v>795560</v>
          </cell>
          <cell r="E735">
            <v>1473990</v>
          </cell>
          <cell r="F735">
            <v>3722372</v>
          </cell>
          <cell r="G735">
            <v>5196362</v>
          </cell>
          <cell r="H735">
            <v>684670</v>
          </cell>
        </row>
        <row r="736">
          <cell r="A736" t="str">
            <v>2483</v>
          </cell>
          <cell r="B736" t="str">
            <v>戸川　隆夫　　　</v>
          </cell>
          <cell r="C736">
            <v>678430</v>
          </cell>
          <cell r="D736">
            <v>795560</v>
          </cell>
          <cell r="E736">
            <v>1473990</v>
          </cell>
          <cell r="F736">
            <v>3410845</v>
          </cell>
          <cell r="G736">
            <v>4884835</v>
          </cell>
          <cell r="H736">
            <v>722970</v>
          </cell>
        </row>
        <row r="737">
          <cell r="A737" t="str">
            <v>0467</v>
          </cell>
          <cell r="B737" t="str">
            <v>大門　実　　　　</v>
          </cell>
          <cell r="C737">
            <v>736240</v>
          </cell>
          <cell r="D737">
            <v>795450</v>
          </cell>
          <cell r="E737">
            <v>1531690</v>
          </cell>
          <cell r="F737">
            <v>3758252</v>
          </cell>
          <cell r="G737">
            <v>5289942</v>
          </cell>
          <cell r="H737">
            <v>774270</v>
          </cell>
        </row>
        <row r="738">
          <cell r="A738" t="str">
            <v>2932</v>
          </cell>
          <cell r="B738" t="str">
            <v>木原　広志　　　</v>
          </cell>
          <cell r="C738">
            <v>647760</v>
          </cell>
          <cell r="D738">
            <v>794240</v>
          </cell>
          <cell r="E738">
            <v>1442000</v>
          </cell>
          <cell r="F738">
            <v>4605498</v>
          </cell>
          <cell r="G738">
            <v>6047498</v>
          </cell>
          <cell r="H738">
            <v>713940</v>
          </cell>
        </row>
        <row r="739">
          <cell r="A739" t="str">
            <v>1343</v>
          </cell>
          <cell r="B739" t="str">
            <v>松田　茂治　　　</v>
          </cell>
          <cell r="C739">
            <v>719960</v>
          </cell>
          <cell r="D739">
            <v>792680</v>
          </cell>
          <cell r="E739">
            <v>1512640</v>
          </cell>
          <cell r="F739">
            <v>4353179</v>
          </cell>
          <cell r="G739">
            <v>5865819</v>
          </cell>
          <cell r="H739">
            <v>743580</v>
          </cell>
        </row>
        <row r="740">
          <cell r="A740" t="str">
            <v>1937</v>
          </cell>
          <cell r="B740" t="str">
            <v>神尾　嘉利　　　</v>
          </cell>
          <cell r="C740">
            <v>679530</v>
          </cell>
          <cell r="D740">
            <v>792280</v>
          </cell>
          <cell r="E740">
            <v>1471810</v>
          </cell>
          <cell r="F740">
            <v>3757688</v>
          </cell>
          <cell r="G740">
            <v>5229498</v>
          </cell>
          <cell r="H740">
            <v>659630</v>
          </cell>
        </row>
        <row r="741">
          <cell r="A741" t="str">
            <v>2548</v>
          </cell>
          <cell r="B741" t="str">
            <v>浅野　述　　　　</v>
          </cell>
          <cell r="C741">
            <v>621250</v>
          </cell>
          <cell r="D741">
            <v>792270</v>
          </cell>
          <cell r="E741">
            <v>1413520</v>
          </cell>
          <cell r="F741">
            <v>3451380</v>
          </cell>
          <cell r="G741">
            <v>4864900</v>
          </cell>
          <cell r="H741">
            <v>740620</v>
          </cell>
        </row>
        <row r="742">
          <cell r="A742" t="str">
            <v>0097</v>
          </cell>
          <cell r="B742" t="str">
            <v>小川　源一郎　　</v>
          </cell>
          <cell r="C742">
            <v>734900</v>
          </cell>
          <cell r="D742">
            <v>791500</v>
          </cell>
          <cell r="E742">
            <v>1526400</v>
          </cell>
          <cell r="F742">
            <v>3703259</v>
          </cell>
          <cell r="G742">
            <v>5229659</v>
          </cell>
          <cell r="H742">
            <v>741580</v>
          </cell>
        </row>
        <row r="743">
          <cell r="A743" t="str">
            <v>2278</v>
          </cell>
          <cell r="B743" t="str">
            <v>森　健　　　　　</v>
          </cell>
          <cell r="C743">
            <v>703120</v>
          </cell>
          <cell r="D743">
            <v>791350</v>
          </cell>
          <cell r="E743">
            <v>1494470</v>
          </cell>
          <cell r="F743">
            <v>3838555</v>
          </cell>
          <cell r="G743">
            <v>5333025</v>
          </cell>
          <cell r="H743">
            <v>731090</v>
          </cell>
        </row>
        <row r="744">
          <cell r="A744" t="str">
            <v>1815</v>
          </cell>
          <cell r="B744" t="str">
            <v>野村　浩三　　　</v>
          </cell>
          <cell r="C744">
            <v>775500</v>
          </cell>
          <cell r="D744">
            <v>789990</v>
          </cell>
          <cell r="E744">
            <v>1565490</v>
          </cell>
          <cell r="F744">
            <v>4426203</v>
          </cell>
          <cell r="G744">
            <v>5991693</v>
          </cell>
          <cell r="H744">
            <v>814850</v>
          </cell>
        </row>
        <row r="745">
          <cell r="A745" t="str">
            <v>2717</v>
          </cell>
          <cell r="B745" t="str">
            <v>石黒　清高　　　</v>
          </cell>
          <cell r="C745">
            <v>622650</v>
          </cell>
          <cell r="D745">
            <v>789260</v>
          </cell>
          <cell r="E745">
            <v>1411910</v>
          </cell>
          <cell r="F745">
            <v>3433435</v>
          </cell>
          <cell r="G745">
            <v>4845345</v>
          </cell>
          <cell r="H745">
            <v>726540</v>
          </cell>
        </row>
        <row r="746">
          <cell r="A746" t="str">
            <v>3391</v>
          </cell>
          <cell r="B746" t="str">
            <v>大滝　哲司　　　</v>
          </cell>
          <cell r="C746">
            <v>614380</v>
          </cell>
          <cell r="D746">
            <v>788900</v>
          </cell>
          <cell r="E746">
            <v>1403280</v>
          </cell>
          <cell r="F746">
            <v>3547266</v>
          </cell>
          <cell r="G746">
            <v>4950546</v>
          </cell>
          <cell r="H746">
            <v>728520</v>
          </cell>
        </row>
        <row r="747">
          <cell r="A747" t="str">
            <v>2268</v>
          </cell>
          <cell r="B747" t="str">
            <v>末永　慶二　　　</v>
          </cell>
          <cell r="C747">
            <v>699780</v>
          </cell>
          <cell r="D747">
            <v>788630</v>
          </cell>
          <cell r="E747">
            <v>1488410</v>
          </cell>
          <cell r="F747">
            <v>3722091</v>
          </cell>
          <cell r="G747">
            <v>5210501</v>
          </cell>
          <cell r="H747">
            <v>668680</v>
          </cell>
        </row>
        <row r="748">
          <cell r="A748" t="str">
            <v>2480</v>
          </cell>
          <cell r="B748" t="str">
            <v>巽　方史　　　　</v>
          </cell>
          <cell r="C748">
            <v>685190</v>
          </cell>
          <cell r="D748">
            <v>788490</v>
          </cell>
          <cell r="E748">
            <v>1473680</v>
          </cell>
          <cell r="F748">
            <v>3708621</v>
          </cell>
          <cell r="G748">
            <v>5182301</v>
          </cell>
          <cell r="H748">
            <v>770750</v>
          </cell>
        </row>
        <row r="749">
          <cell r="A749" t="str">
            <v>2762</v>
          </cell>
          <cell r="B749" t="str">
            <v>野崎　雅男　　　</v>
          </cell>
          <cell r="C749">
            <v>702290</v>
          </cell>
          <cell r="D749">
            <v>787640</v>
          </cell>
          <cell r="E749">
            <v>1489930</v>
          </cell>
          <cell r="F749">
            <v>3409666</v>
          </cell>
          <cell r="G749">
            <v>4899596</v>
          </cell>
          <cell r="H749">
            <v>715770</v>
          </cell>
        </row>
        <row r="750">
          <cell r="A750" t="str">
            <v>2714</v>
          </cell>
          <cell r="B750" t="str">
            <v>成澤　嘉彦　　　</v>
          </cell>
          <cell r="C750">
            <v>619260</v>
          </cell>
          <cell r="D750">
            <v>785860</v>
          </cell>
          <cell r="E750">
            <v>1405120</v>
          </cell>
          <cell r="F750">
            <v>3444018</v>
          </cell>
          <cell r="G750">
            <v>4849138</v>
          </cell>
          <cell r="H750">
            <v>727010</v>
          </cell>
        </row>
        <row r="751">
          <cell r="A751" t="str">
            <v>2358</v>
          </cell>
          <cell r="B751" t="str">
            <v>上原　亨一　　　</v>
          </cell>
          <cell r="C751">
            <v>684000</v>
          </cell>
          <cell r="D751">
            <v>785450</v>
          </cell>
          <cell r="E751">
            <v>1469450</v>
          </cell>
          <cell r="F751">
            <v>3169341</v>
          </cell>
          <cell r="G751">
            <v>4638791</v>
          </cell>
          <cell r="H751">
            <v>714720</v>
          </cell>
        </row>
        <row r="752">
          <cell r="A752" t="str">
            <v>2177</v>
          </cell>
          <cell r="B752" t="str">
            <v>菅原　登　　　　</v>
          </cell>
          <cell r="C752">
            <v>616300</v>
          </cell>
          <cell r="D752">
            <v>785330</v>
          </cell>
          <cell r="E752">
            <v>1401630</v>
          </cell>
          <cell r="F752">
            <v>3426170</v>
          </cell>
          <cell r="G752">
            <v>4827800</v>
          </cell>
          <cell r="H752">
            <v>722990</v>
          </cell>
        </row>
        <row r="753">
          <cell r="A753" t="str">
            <v>2618</v>
          </cell>
          <cell r="B753" t="str">
            <v>奥山　恭弘　　　</v>
          </cell>
          <cell r="C753">
            <v>593870</v>
          </cell>
          <cell r="D753">
            <v>785330</v>
          </cell>
          <cell r="E753">
            <v>1379200</v>
          </cell>
          <cell r="F753">
            <v>2742761</v>
          </cell>
          <cell r="G753">
            <v>4121961</v>
          </cell>
          <cell r="H753">
            <v>670140</v>
          </cell>
        </row>
        <row r="754">
          <cell r="A754" t="str">
            <v>1890</v>
          </cell>
          <cell r="B754" t="str">
            <v>源當　忠彦　　　</v>
          </cell>
          <cell r="C754">
            <v>649060</v>
          </cell>
          <cell r="D754">
            <v>785290</v>
          </cell>
          <cell r="E754">
            <v>1434350</v>
          </cell>
          <cell r="F754">
            <v>3665574</v>
          </cell>
          <cell r="G754">
            <v>5099924</v>
          </cell>
          <cell r="H754">
            <v>714570</v>
          </cell>
        </row>
        <row r="755">
          <cell r="A755" t="str">
            <v>2744</v>
          </cell>
          <cell r="B755" t="str">
            <v>高橋　透　　　　</v>
          </cell>
          <cell r="C755">
            <v>672880</v>
          </cell>
          <cell r="D755">
            <v>784680</v>
          </cell>
          <cell r="E755">
            <v>1457560</v>
          </cell>
          <cell r="F755">
            <v>3384838</v>
          </cell>
          <cell r="G755">
            <v>4842398</v>
          </cell>
          <cell r="H755">
            <v>700010</v>
          </cell>
        </row>
        <row r="756">
          <cell r="A756" t="str">
            <v>2175</v>
          </cell>
          <cell r="B756" t="str">
            <v>高沢　信廣　　　</v>
          </cell>
          <cell r="C756">
            <v>664190</v>
          </cell>
          <cell r="D756">
            <v>782840</v>
          </cell>
          <cell r="E756">
            <v>1447030</v>
          </cell>
          <cell r="F756">
            <v>3261538</v>
          </cell>
          <cell r="G756">
            <v>4708568</v>
          </cell>
          <cell r="H756">
            <v>712330</v>
          </cell>
        </row>
        <row r="757">
          <cell r="A757" t="str">
            <v>2368</v>
          </cell>
          <cell r="B757" t="str">
            <v>清水　富志　　　</v>
          </cell>
          <cell r="C757">
            <v>614950</v>
          </cell>
          <cell r="D757">
            <v>781860</v>
          </cell>
          <cell r="E757">
            <v>1396810</v>
          </cell>
          <cell r="F757">
            <v>2932657</v>
          </cell>
          <cell r="G757">
            <v>4329467</v>
          </cell>
          <cell r="H757">
            <v>744290</v>
          </cell>
        </row>
        <row r="758">
          <cell r="A758" t="str">
            <v>2711</v>
          </cell>
          <cell r="B758" t="str">
            <v>西山　晶子　　　</v>
          </cell>
          <cell r="C758">
            <v>609080</v>
          </cell>
          <cell r="D758">
            <v>781380</v>
          </cell>
          <cell r="E758">
            <v>1390460</v>
          </cell>
          <cell r="F758">
            <v>2830840</v>
          </cell>
          <cell r="G758">
            <v>4221300</v>
          </cell>
          <cell r="H758">
            <v>719690</v>
          </cell>
        </row>
        <row r="759">
          <cell r="A759" t="str">
            <v>2487</v>
          </cell>
          <cell r="B759" t="str">
            <v>並木　範行　　　</v>
          </cell>
          <cell r="C759">
            <v>622300</v>
          </cell>
          <cell r="D759">
            <v>780950</v>
          </cell>
          <cell r="E759">
            <v>1403250</v>
          </cell>
          <cell r="F759">
            <v>3142592</v>
          </cell>
          <cell r="G759">
            <v>4545842</v>
          </cell>
          <cell r="H759">
            <v>649460</v>
          </cell>
        </row>
        <row r="760">
          <cell r="A760" t="str">
            <v>1940</v>
          </cell>
          <cell r="B760" t="str">
            <v>真田　波男　　　</v>
          </cell>
          <cell r="C760">
            <v>600750</v>
          </cell>
          <cell r="D760">
            <v>780020</v>
          </cell>
          <cell r="E760">
            <v>1380770</v>
          </cell>
          <cell r="F760">
            <v>3345773</v>
          </cell>
          <cell r="G760">
            <v>4726543</v>
          </cell>
          <cell r="H760">
            <v>744150</v>
          </cell>
        </row>
        <row r="761">
          <cell r="A761" t="str">
            <v>1743</v>
          </cell>
          <cell r="B761" t="str">
            <v>矢内　清治　　　</v>
          </cell>
          <cell r="C761">
            <v>723290</v>
          </cell>
          <cell r="D761">
            <v>779980</v>
          </cell>
          <cell r="E761">
            <v>1503270</v>
          </cell>
          <cell r="F761">
            <v>3637065</v>
          </cell>
          <cell r="G761">
            <v>5140335</v>
          </cell>
          <cell r="H761">
            <v>816080</v>
          </cell>
        </row>
        <row r="762">
          <cell r="A762" t="str">
            <v>2188</v>
          </cell>
          <cell r="B762" t="str">
            <v>青木　哲也　　　</v>
          </cell>
          <cell r="C762">
            <v>681860</v>
          </cell>
          <cell r="D762">
            <v>778620</v>
          </cell>
          <cell r="E762">
            <v>1460480</v>
          </cell>
          <cell r="F762">
            <v>3138022</v>
          </cell>
          <cell r="G762">
            <v>4598502</v>
          </cell>
          <cell r="H762">
            <v>636550</v>
          </cell>
        </row>
        <row r="763">
          <cell r="A763" t="str">
            <v>2471</v>
          </cell>
          <cell r="B763" t="str">
            <v>小谷　和司　　　</v>
          </cell>
          <cell r="C763">
            <v>629090</v>
          </cell>
          <cell r="D763">
            <v>777180</v>
          </cell>
          <cell r="E763">
            <v>1406270</v>
          </cell>
          <cell r="F763">
            <v>3701366</v>
          </cell>
          <cell r="G763">
            <v>5107636</v>
          </cell>
          <cell r="H763">
            <v>726500</v>
          </cell>
        </row>
        <row r="764">
          <cell r="A764" t="str">
            <v>1630</v>
          </cell>
          <cell r="B764" t="str">
            <v>山本　政平　　　</v>
          </cell>
          <cell r="C764">
            <v>932630</v>
          </cell>
          <cell r="D764">
            <v>776890</v>
          </cell>
          <cell r="E764">
            <v>1709520</v>
          </cell>
          <cell r="F764">
            <v>4092082</v>
          </cell>
          <cell r="G764">
            <v>5801602</v>
          </cell>
          <cell r="H764">
            <v>718110</v>
          </cell>
        </row>
        <row r="765">
          <cell r="A765" t="str">
            <v>3267</v>
          </cell>
          <cell r="B765" t="str">
            <v>小林　実　　　　</v>
          </cell>
          <cell r="C765">
            <v>718740</v>
          </cell>
          <cell r="D765">
            <v>776670</v>
          </cell>
          <cell r="E765">
            <v>1495410</v>
          </cell>
          <cell r="F765">
            <v>4373830</v>
          </cell>
          <cell r="G765">
            <v>5869240</v>
          </cell>
          <cell r="H765">
            <v>725090</v>
          </cell>
        </row>
        <row r="766">
          <cell r="A766" t="str">
            <v>2357</v>
          </cell>
          <cell r="B766" t="str">
            <v>植田　誠司　　　</v>
          </cell>
          <cell r="C766">
            <v>677450</v>
          </cell>
          <cell r="D766">
            <v>776420</v>
          </cell>
          <cell r="E766">
            <v>1453870</v>
          </cell>
          <cell r="F766">
            <v>2893870</v>
          </cell>
          <cell r="G766">
            <v>4347740</v>
          </cell>
          <cell r="H766">
            <v>715740</v>
          </cell>
        </row>
        <row r="767">
          <cell r="A767" t="str">
            <v>3275</v>
          </cell>
          <cell r="B767" t="str">
            <v>三野　憲治　　　</v>
          </cell>
          <cell r="C767">
            <v>655510</v>
          </cell>
          <cell r="D767">
            <v>775390</v>
          </cell>
          <cell r="E767">
            <v>1430900</v>
          </cell>
          <cell r="F767">
            <v>4486982</v>
          </cell>
          <cell r="G767">
            <v>5917882</v>
          </cell>
          <cell r="H767">
            <v>746860</v>
          </cell>
        </row>
        <row r="768">
          <cell r="A768" t="str">
            <v>2469</v>
          </cell>
          <cell r="B768" t="str">
            <v>日下　栄司　　　</v>
          </cell>
          <cell r="C768">
            <v>693880</v>
          </cell>
          <cell r="D768">
            <v>774080</v>
          </cell>
          <cell r="E768">
            <v>1467960</v>
          </cell>
          <cell r="F768">
            <v>2966751</v>
          </cell>
          <cell r="G768">
            <v>4434711</v>
          </cell>
          <cell r="H768">
            <v>631290</v>
          </cell>
        </row>
        <row r="769">
          <cell r="A769" t="str">
            <v>2716</v>
          </cell>
          <cell r="B769" t="str">
            <v>阪本　清次　　　</v>
          </cell>
          <cell r="C769">
            <v>634420</v>
          </cell>
          <cell r="D769">
            <v>773990</v>
          </cell>
          <cell r="E769">
            <v>1408410</v>
          </cell>
          <cell r="F769">
            <v>2965975</v>
          </cell>
          <cell r="G769">
            <v>4374385</v>
          </cell>
          <cell r="H769">
            <v>684960</v>
          </cell>
        </row>
        <row r="770">
          <cell r="A770" t="str">
            <v>2485</v>
          </cell>
          <cell r="B770" t="str">
            <v>永井　茂雄　　　</v>
          </cell>
          <cell r="C770">
            <v>618490</v>
          </cell>
          <cell r="D770">
            <v>773820</v>
          </cell>
          <cell r="E770">
            <v>1392310</v>
          </cell>
          <cell r="F770">
            <v>3382350</v>
          </cell>
          <cell r="G770">
            <v>4774660</v>
          </cell>
          <cell r="H770">
            <v>700690</v>
          </cell>
        </row>
        <row r="771">
          <cell r="A771" t="str">
            <v>2648</v>
          </cell>
          <cell r="B771" t="str">
            <v>福崎　雄一　　　</v>
          </cell>
          <cell r="C771">
            <v>612120</v>
          </cell>
          <cell r="D771">
            <v>773400</v>
          </cell>
          <cell r="E771">
            <v>1385520</v>
          </cell>
          <cell r="F771">
            <v>2780606</v>
          </cell>
          <cell r="G771">
            <v>4166126</v>
          </cell>
          <cell r="H771">
            <v>680120</v>
          </cell>
        </row>
        <row r="772">
          <cell r="A772" t="str">
            <v>2366</v>
          </cell>
          <cell r="B772" t="str">
            <v>肥塚　義樹　　　</v>
          </cell>
          <cell r="C772">
            <v>576670</v>
          </cell>
          <cell r="D772">
            <v>773000</v>
          </cell>
          <cell r="E772">
            <v>1349670</v>
          </cell>
          <cell r="F772">
            <v>3166181</v>
          </cell>
          <cell r="G772">
            <v>4515851</v>
          </cell>
          <cell r="H772">
            <v>727010</v>
          </cell>
        </row>
        <row r="773">
          <cell r="A773" t="str">
            <v>2563</v>
          </cell>
          <cell r="B773" t="str">
            <v>本田　隆雄　　　</v>
          </cell>
          <cell r="C773">
            <v>568320</v>
          </cell>
          <cell r="D773">
            <v>771130</v>
          </cell>
          <cell r="E773">
            <v>1339450</v>
          </cell>
          <cell r="F773">
            <v>2977649</v>
          </cell>
          <cell r="G773">
            <v>4317099</v>
          </cell>
          <cell r="H773">
            <v>694260</v>
          </cell>
        </row>
        <row r="774">
          <cell r="A774" t="str">
            <v>2380</v>
          </cell>
          <cell r="B774" t="str">
            <v>村田　茂樹　　　</v>
          </cell>
          <cell r="C774">
            <v>674180</v>
          </cell>
          <cell r="D774">
            <v>771070</v>
          </cell>
          <cell r="E774">
            <v>1445250</v>
          </cell>
          <cell r="F774">
            <v>3397331</v>
          </cell>
          <cell r="G774">
            <v>4842581</v>
          </cell>
          <cell r="H774">
            <v>701630</v>
          </cell>
        </row>
        <row r="775">
          <cell r="A775" t="str">
            <v>1840</v>
          </cell>
          <cell r="B775" t="str">
            <v>井ノ原　憲一　　</v>
          </cell>
          <cell r="C775">
            <v>776830</v>
          </cell>
          <cell r="D775">
            <v>769690</v>
          </cell>
          <cell r="E775">
            <v>1546520</v>
          </cell>
          <cell r="F775">
            <v>3055031</v>
          </cell>
          <cell r="G775">
            <v>4601551</v>
          </cell>
          <cell r="H775">
            <v>612190</v>
          </cell>
        </row>
        <row r="776">
          <cell r="A776" t="str">
            <v>2490</v>
          </cell>
          <cell r="B776" t="str">
            <v>浜井　功　　　　</v>
          </cell>
          <cell r="C776">
            <v>661040</v>
          </cell>
          <cell r="D776">
            <v>769030</v>
          </cell>
          <cell r="E776">
            <v>1430070</v>
          </cell>
          <cell r="F776">
            <v>3435881</v>
          </cell>
          <cell r="G776">
            <v>4865951</v>
          </cell>
          <cell r="H776">
            <v>678100</v>
          </cell>
        </row>
        <row r="777">
          <cell r="A777" t="str">
            <v>2378</v>
          </cell>
          <cell r="B777" t="str">
            <v>三浦　明夫　　　</v>
          </cell>
          <cell r="C777">
            <v>680740</v>
          </cell>
          <cell r="D777">
            <v>766150</v>
          </cell>
          <cell r="E777">
            <v>1446890</v>
          </cell>
          <cell r="F777">
            <v>3346215</v>
          </cell>
          <cell r="G777">
            <v>4793105</v>
          </cell>
          <cell r="H777">
            <v>708170</v>
          </cell>
        </row>
        <row r="778">
          <cell r="A778" t="str">
            <v>2468</v>
          </cell>
          <cell r="B778" t="str">
            <v>木村　光宏　　　</v>
          </cell>
          <cell r="C778">
            <v>657760</v>
          </cell>
          <cell r="D778">
            <v>765320</v>
          </cell>
          <cell r="E778">
            <v>1423080</v>
          </cell>
          <cell r="F778">
            <v>3546010</v>
          </cell>
          <cell r="G778">
            <v>4969090</v>
          </cell>
          <cell r="H778">
            <v>695480</v>
          </cell>
        </row>
        <row r="779">
          <cell r="A779" t="str">
            <v>2733</v>
          </cell>
          <cell r="B779" t="str">
            <v>早川　忠平　　　</v>
          </cell>
          <cell r="C779">
            <v>692820</v>
          </cell>
          <cell r="D779">
            <v>764660</v>
          </cell>
          <cell r="E779">
            <v>1457480</v>
          </cell>
          <cell r="F779">
            <v>3686225</v>
          </cell>
          <cell r="G779">
            <v>5143705</v>
          </cell>
          <cell r="H779">
            <v>737120</v>
          </cell>
        </row>
        <row r="780">
          <cell r="A780" t="str">
            <v>3089</v>
          </cell>
          <cell r="B780" t="str">
            <v>富永　秀樹　　　</v>
          </cell>
          <cell r="C780">
            <v>620310</v>
          </cell>
          <cell r="D780">
            <v>763200</v>
          </cell>
          <cell r="E780">
            <v>1383510</v>
          </cell>
          <cell r="F780">
            <v>3461064</v>
          </cell>
          <cell r="G780">
            <v>4844574</v>
          </cell>
          <cell r="H780">
            <v>694460</v>
          </cell>
        </row>
        <row r="781">
          <cell r="A781" t="str">
            <v>2356</v>
          </cell>
          <cell r="B781" t="str">
            <v>岩本　周栄　　　</v>
          </cell>
          <cell r="C781">
            <v>677450</v>
          </cell>
          <cell r="D781">
            <v>763200</v>
          </cell>
          <cell r="E781">
            <v>1440650</v>
          </cell>
          <cell r="F781">
            <v>3285465</v>
          </cell>
          <cell r="G781">
            <v>4726115</v>
          </cell>
          <cell r="H781">
            <v>704330</v>
          </cell>
        </row>
        <row r="782">
          <cell r="A782" t="str">
            <v>1364</v>
          </cell>
          <cell r="B782" t="str">
            <v>長谷川　文伸　　</v>
          </cell>
          <cell r="C782">
            <v>810460</v>
          </cell>
          <cell r="D782">
            <v>760050</v>
          </cell>
          <cell r="E782">
            <v>1570510</v>
          </cell>
          <cell r="F782">
            <v>3886032</v>
          </cell>
          <cell r="G782">
            <v>5456542</v>
          </cell>
          <cell r="H782">
            <v>760570</v>
          </cell>
        </row>
        <row r="783">
          <cell r="A783" t="str">
            <v>2967</v>
          </cell>
          <cell r="B783" t="str">
            <v>川西　貴　　　　</v>
          </cell>
          <cell r="C783">
            <v>624150</v>
          </cell>
          <cell r="D783">
            <v>759590</v>
          </cell>
          <cell r="E783">
            <v>1383740</v>
          </cell>
          <cell r="F783">
            <v>3420576</v>
          </cell>
          <cell r="G783">
            <v>4804316</v>
          </cell>
          <cell r="H783">
            <v>730310</v>
          </cell>
        </row>
        <row r="784">
          <cell r="A784" t="str">
            <v>3258</v>
          </cell>
          <cell r="B784" t="str">
            <v>篠原　信夫　　　</v>
          </cell>
          <cell r="C784">
            <v>705170</v>
          </cell>
          <cell r="D784">
            <v>759590</v>
          </cell>
          <cell r="E784">
            <v>1464760</v>
          </cell>
          <cell r="F784">
            <v>3856108</v>
          </cell>
          <cell r="G784">
            <v>5320868</v>
          </cell>
          <cell r="H784">
            <v>692490</v>
          </cell>
        </row>
        <row r="785">
          <cell r="A785" t="str">
            <v>0435</v>
          </cell>
          <cell r="B785" t="str">
            <v>斉藤　平八郎　　</v>
          </cell>
          <cell r="C785">
            <v>767210</v>
          </cell>
          <cell r="D785">
            <v>758400</v>
          </cell>
          <cell r="E785">
            <v>1525610</v>
          </cell>
          <cell r="F785">
            <v>3221480</v>
          </cell>
          <cell r="G785">
            <v>4747090</v>
          </cell>
          <cell r="H785">
            <v>759670</v>
          </cell>
        </row>
        <row r="786">
          <cell r="A786" t="str">
            <v>1286</v>
          </cell>
          <cell r="B786" t="str">
            <v>高部　茂　　　　</v>
          </cell>
          <cell r="C786">
            <v>718160</v>
          </cell>
          <cell r="D786">
            <v>755080</v>
          </cell>
          <cell r="E786">
            <v>1473240</v>
          </cell>
          <cell r="F786">
            <v>3253066</v>
          </cell>
          <cell r="G786">
            <v>4726306</v>
          </cell>
          <cell r="H786">
            <v>728080</v>
          </cell>
        </row>
        <row r="787">
          <cell r="A787" t="str">
            <v>2662</v>
          </cell>
          <cell r="B787" t="str">
            <v>向口　祐一　　　</v>
          </cell>
          <cell r="C787">
            <v>622650</v>
          </cell>
          <cell r="D787">
            <v>754520</v>
          </cell>
          <cell r="E787">
            <v>1377170</v>
          </cell>
          <cell r="F787">
            <v>3489433</v>
          </cell>
          <cell r="G787">
            <v>4866603</v>
          </cell>
          <cell r="H787">
            <v>705860</v>
          </cell>
        </row>
        <row r="788">
          <cell r="A788" t="str">
            <v>0330</v>
          </cell>
          <cell r="B788" t="str">
            <v>永井　俊行　　　</v>
          </cell>
          <cell r="C788">
            <v>712240</v>
          </cell>
          <cell r="D788">
            <v>752010</v>
          </cell>
          <cell r="E788">
            <v>1464250</v>
          </cell>
          <cell r="F788">
            <v>3990781</v>
          </cell>
          <cell r="G788">
            <v>5455031</v>
          </cell>
          <cell r="H788">
            <v>725110</v>
          </cell>
        </row>
        <row r="789">
          <cell r="A789" t="str">
            <v>2593</v>
          </cell>
          <cell r="B789" t="str">
            <v>田中　秀司　　　</v>
          </cell>
          <cell r="C789">
            <v>688770</v>
          </cell>
          <cell r="D789">
            <v>751480</v>
          </cell>
          <cell r="E789">
            <v>1440250</v>
          </cell>
          <cell r="F789">
            <v>2789693</v>
          </cell>
          <cell r="G789">
            <v>4229943</v>
          </cell>
          <cell r="H789">
            <v>683420</v>
          </cell>
        </row>
        <row r="790">
          <cell r="A790" t="str">
            <v>2553</v>
          </cell>
          <cell r="B790" t="str">
            <v>伊豆　裕行　　　</v>
          </cell>
          <cell r="C790">
            <v>768970</v>
          </cell>
          <cell r="D790">
            <v>751280</v>
          </cell>
          <cell r="E790">
            <v>1520250</v>
          </cell>
          <cell r="F790">
            <v>3676418</v>
          </cell>
          <cell r="G790">
            <v>5196668</v>
          </cell>
          <cell r="H790">
            <v>768950</v>
          </cell>
        </row>
        <row r="791">
          <cell r="A791" t="str">
            <v>2659</v>
          </cell>
          <cell r="B791" t="str">
            <v>宮崎　斉　　　　</v>
          </cell>
          <cell r="C791">
            <v>596910</v>
          </cell>
          <cell r="D791">
            <v>750710</v>
          </cell>
          <cell r="E791">
            <v>1347620</v>
          </cell>
          <cell r="F791">
            <v>3083278</v>
          </cell>
          <cell r="G791">
            <v>4430898</v>
          </cell>
          <cell r="H791">
            <v>712380</v>
          </cell>
        </row>
        <row r="792">
          <cell r="A792" t="str">
            <v>2621</v>
          </cell>
          <cell r="B792" t="str">
            <v>河村　光昭　　　</v>
          </cell>
          <cell r="C792">
            <v>609020</v>
          </cell>
          <cell r="D792">
            <v>750710</v>
          </cell>
          <cell r="E792">
            <v>1359730</v>
          </cell>
          <cell r="F792">
            <v>3535475</v>
          </cell>
          <cell r="G792">
            <v>4895205</v>
          </cell>
          <cell r="H792">
            <v>692100</v>
          </cell>
        </row>
        <row r="793">
          <cell r="A793" t="str">
            <v>2613</v>
          </cell>
          <cell r="B793" t="str">
            <v>今西　秀明　　　</v>
          </cell>
          <cell r="C793">
            <v>590860</v>
          </cell>
          <cell r="D793">
            <v>750440</v>
          </cell>
          <cell r="E793">
            <v>1341300</v>
          </cell>
          <cell r="F793">
            <v>3513601</v>
          </cell>
          <cell r="G793">
            <v>4854901</v>
          </cell>
          <cell r="H793">
            <v>661690</v>
          </cell>
        </row>
        <row r="794">
          <cell r="A794" t="str">
            <v>2763</v>
          </cell>
          <cell r="B794" t="str">
            <v>花田　耕誌　　　</v>
          </cell>
          <cell r="C794">
            <v>593880</v>
          </cell>
          <cell r="D794">
            <v>750440</v>
          </cell>
          <cell r="E794">
            <v>1344320</v>
          </cell>
          <cell r="F794">
            <v>3152424</v>
          </cell>
          <cell r="G794">
            <v>4496744</v>
          </cell>
          <cell r="H794">
            <v>692120</v>
          </cell>
        </row>
        <row r="795">
          <cell r="A795" t="str">
            <v>2660</v>
          </cell>
          <cell r="B795" t="str">
            <v>宮本　庸一　　　</v>
          </cell>
          <cell r="C795">
            <v>602810</v>
          </cell>
          <cell r="D795">
            <v>749350</v>
          </cell>
          <cell r="E795">
            <v>1352160</v>
          </cell>
          <cell r="F795">
            <v>2791583</v>
          </cell>
          <cell r="G795">
            <v>4143743</v>
          </cell>
          <cell r="H795">
            <v>681490</v>
          </cell>
        </row>
        <row r="796">
          <cell r="A796" t="str">
            <v>2605</v>
          </cell>
          <cell r="B796" t="str">
            <v>秋月　健一　　　</v>
          </cell>
          <cell r="C796">
            <v>575830</v>
          </cell>
          <cell r="D796">
            <v>749270</v>
          </cell>
          <cell r="E796">
            <v>1325100</v>
          </cell>
          <cell r="F796">
            <v>3631786</v>
          </cell>
          <cell r="G796">
            <v>4956886</v>
          </cell>
          <cell r="H796">
            <v>694260</v>
          </cell>
        </row>
        <row r="797">
          <cell r="A797" t="str">
            <v>2941</v>
          </cell>
          <cell r="B797" t="str">
            <v>今井　美喜男　　</v>
          </cell>
          <cell r="C797">
            <v>709270</v>
          </cell>
          <cell r="D797">
            <v>748930</v>
          </cell>
          <cell r="E797">
            <v>1458200</v>
          </cell>
          <cell r="F797">
            <v>4246827</v>
          </cell>
          <cell r="G797">
            <v>5705027</v>
          </cell>
          <cell r="H797">
            <v>699200</v>
          </cell>
        </row>
        <row r="798">
          <cell r="A798" t="str">
            <v>2627</v>
          </cell>
          <cell r="B798" t="str">
            <v>塩飽　登士　　　</v>
          </cell>
          <cell r="C798">
            <v>590820</v>
          </cell>
          <cell r="D798">
            <v>746950</v>
          </cell>
          <cell r="E798">
            <v>1337770</v>
          </cell>
          <cell r="F798">
            <v>2745835</v>
          </cell>
          <cell r="G798">
            <v>4083605</v>
          </cell>
          <cell r="H798">
            <v>688670</v>
          </cell>
        </row>
        <row r="799">
          <cell r="A799" t="str">
            <v>2180</v>
          </cell>
          <cell r="B799" t="str">
            <v>森　康一　　　　</v>
          </cell>
          <cell r="C799">
            <v>587820</v>
          </cell>
          <cell r="D799">
            <v>746720</v>
          </cell>
          <cell r="E799">
            <v>1334540</v>
          </cell>
          <cell r="F799">
            <v>3265410</v>
          </cell>
          <cell r="G799">
            <v>4599950</v>
          </cell>
          <cell r="H799">
            <v>688740</v>
          </cell>
        </row>
        <row r="800">
          <cell r="A800" t="str">
            <v>2655</v>
          </cell>
          <cell r="B800" t="str">
            <v>真木　義幸　　　</v>
          </cell>
          <cell r="C800">
            <v>599700</v>
          </cell>
          <cell r="D800">
            <v>745700</v>
          </cell>
          <cell r="E800">
            <v>1345400</v>
          </cell>
          <cell r="F800">
            <v>3105754</v>
          </cell>
          <cell r="G800">
            <v>4451154</v>
          </cell>
          <cell r="H800">
            <v>620050</v>
          </cell>
        </row>
        <row r="801">
          <cell r="A801" t="str">
            <v>2929</v>
          </cell>
          <cell r="B801" t="str">
            <v>小川　公一　　　</v>
          </cell>
          <cell r="C801">
            <v>635140</v>
          </cell>
          <cell r="D801">
            <v>744430</v>
          </cell>
          <cell r="E801">
            <v>1379570</v>
          </cell>
          <cell r="F801">
            <v>4052813</v>
          </cell>
          <cell r="G801">
            <v>5432383</v>
          </cell>
          <cell r="H801">
            <v>707560</v>
          </cell>
        </row>
        <row r="802">
          <cell r="A802" t="str">
            <v>2607</v>
          </cell>
          <cell r="B802" t="str">
            <v>天川　光司　　　</v>
          </cell>
          <cell r="C802">
            <v>569900</v>
          </cell>
          <cell r="D802">
            <v>743000</v>
          </cell>
          <cell r="E802">
            <v>1312900</v>
          </cell>
          <cell r="F802">
            <v>3134605</v>
          </cell>
          <cell r="G802">
            <v>4447505</v>
          </cell>
          <cell r="H802">
            <v>655140</v>
          </cell>
        </row>
        <row r="803">
          <cell r="A803" t="str">
            <v>2899</v>
          </cell>
          <cell r="B803" t="str">
            <v>水田　幸治　　　</v>
          </cell>
          <cell r="C803">
            <v>569650</v>
          </cell>
          <cell r="D803">
            <v>743000</v>
          </cell>
          <cell r="E803">
            <v>1312650</v>
          </cell>
          <cell r="F803">
            <v>3547294</v>
          </cell>
          <cell r="G803">
            <v>4859944</v>
          </cell>
          <cell r="H803">
            <v>675220</v>
          </cell>
        </row>
        <row r="804">
          <cell r="A804" t="str">
            <v>2584</v>
          </cell>
          <cell r="B804" t="str">
            <v>内記　武彦　　　</v>
          </cell>
          <cell r="C804">
            <v>630200</v>
          </cell>
          <cell r="D804">
            <v>741590</v>
          </cell>
          <cell r="E804">
            <v>1371790</v>
          </cell>
          <cell r="F804">
            <v>2800588</v>
          </cell>
          <cell r="G804">
            <v>4172378</v>
          </cell>
          <cell r="H804">
            <v>674810</v>
          </cell>
        </row>
        <row r="805">
          <cell r="A805" t="str">
            <v>2458</v>
          </cell>
          <cell r="B805" t="str">
            <v>伊藤　裕之　　　</v>
          </cell>
          <cell r="C805">
            <v>610740</v>
          </cell>
          <cell r="D805">
            <v>741590</v>
          </cell>
          <cell r="E805">
            <v>1352330</v>
          </cell>
          <cell r="F805">
            <v>3575137</v>
          </cell>
          <cell r="G805">
            <v>4927467</v>
          </cell>
          <cell r="H805">
            <v>674810</v>
          </cell>
        </row>
        <row r="806">
          <cell r="A806" t="str">
            <v>3112</v>
          </cell>
          <cell r="B806" t="str">
            <v>山田　和良　　　</v>
          </cell>
          <cell r="C806">
            <v>596590</v>
          </cell>
          <cell r="D806">
            <v>741590</v>
          </cell>
          <cell r="E806">
            <v>1338180</v>
          </cell>
          <cell r="F806">
            <v>3973967</v>
          </cell>
          <cell r="G806">
            <v>5312147</v>
          </cell>
          <cell r="H806">
            <v>705650</v>
          </cell>
        </row>
        <row r="807">
          <cell r="A807" t="str">
            <v>2089</v>
          </cell>
          <cell r="B807" t="str">
            <v>今吉　重美　　　</v>
          </cell>
          <cell r="C807">
            <v>639490</v>
          </cell>
          <cell r="D807">
            <v>741010</v>
          </cell>
          <cell r="E807">
            <v>1380500</v>
          </cell>
          <cell r="F807">
            <v>2981144</v>
          </cell>
          <cell r="G807">
            <v>4361644</v>
          </cell>
          <cell r="H807">
            <v>666090</v>
          </cell>
        </row>
        <row r="808">
          <cell r="A808" t="str">
            <v>2259</v>
          </cell>
          <cell r="B808" t="str">
            <v>岩崎　裕也　　　</v>
          </cell>
          <cell r="C808">
            <v>667940</v>
          </cell>
          <cell r="D808">
            <v>740950</v>
          </cell>
          <cell r="E808">
            <v>1408890</v>
          </cell>
          <cell r="F808">
            <v>3600401</v>
          </cell>
          <cell r="G808">
            <v>5009291</v>
          </cell>
          <cell r="H808">
            <v>746940</v>
          </cell>
        </row>
        <row r="809">
          <cell r="A809" t="str">
            <v>2374</v>
          </cell>
          <cell r="B809" t="str">
            <v>中村　浩幸　　　</v>
          </cell>
          <cell r="C809">
            <v>648230</v>
          </cell>
          <cell r="D809">
            <v>740820</v>
          </cell>
          <cell r="E809">
            <v>1389050</v>
          </cell>
          <cell r="F809">
            <v>3137933</v>
          </cell>
          <cell r="G809">
            <v>4526983</v>
          </cell>
          <cell r="H809">
            <v>693350</v>
          </cell>
        </row>
        <row r="810">
          <cell r="A810" t="str">
            <v>0130</v>
          </cell>
          <cell r="B810" t="str">
            <v>阪本　広務　　　</v>
          </cell>
          <cell r="C810">
            <v>691730</v>
          </cell>
          <cell r="D810">
            <v>737170</v>
          </cell>
          <cell r="E810">
            <v>1428900</v>
          </cell>
          <cell r="F810">
            <v>3567530</v>
          </cell>
          <cell r="G810">
            <v>4996430</v>
          </cell>
          <cell r="H810">
            <v>691140</v>
          </cell>
        </row>
        <row r="811">
          <cell r="A811" t="str">
            <v>2795</v>
          </cell>
          <cell r="B811" t="str">
            <v>中川　隆　　　　</v>
          </cell>
          <cell r="C811">
            <v>622650</v>
          </cell>
          <cell r="D811">
            <v>736560</v>
          </cell>
          <cell r="E811">
            <v>1359210</v>
          </cell>
          <cell r="F811">
            <v>3283370</v>
          </cell>
          <cell r="G811">
            <v>4642580</v>
          </cell>
          <cell r="H811">
            <v>652850</v>
          </cell>
        </row>
        <row r="812">
          <cell r="A812" t="str">
            <v>2612</v>
          </cell>
          <cell r="B812" t="str">
            <v>井上　辰弥　　　</v>
          </cell>
          <cell r="C812">
            <v>602810</v>
          </cell>
          <cell r="D812">
            <v>735160</v>
          </cell>
          <cell r="E812">
            <v>1337970</v>
          </cell>
          <cell r="F812">
            <v>3550993</v>
          </cell>
          <cell r="G812">
            <v>4888963</v>
          </cell>
          <cell r="H812">
            <v>665830</v>
          </cell>
        </row>
        <row r="813">
          <cell r="A813" t="str">
            <v>2645</v>
          </cell>
          <cell r="B813" t="str">
            <v>畠山　昌敏　　　</v>
          </cell>
          <cell r="C813">
            <v>612120</v>
          </cell>
          <cell r="D813">
            <v>733220</v>
          </cell>
          <cell r="E813">
            <v>1345340</v>
          </cell>
          <cell r="F813">
            <v>2763099</v>
          </cell>
          <cell r="G813">
            <v>4108439</v>
          </cell>
          <cell r="H813">
            <v>719460</v>
          </cell>
        </row>
        <row r="814">
          <cell r="A814" t="str">
            <v>2935</v>
          </cell>
          <cell r="B814" t="str">
            <v>福濱　則之　　　</v>
          </cell>
          <cell r="C814">
            <v>531320</v>
          </cell>
          <cell r="D814">
            <v>731830</v>
          </cell>
          <cell r="E814">
            <v>1263150</v>
          </cell>
          <cell r="F814">
            <v>3905297</v>
          </cell>
          <cell r="G814">
            <v>5168447</v>
          </cell>
          <cell r="H814">
            <v>655140</v>
          </cell>
        </row>
        <row r="815">
          <cell r="A815" t="str">
            <v>2905</v>
          </cell>
          <cell r="B815" t="str">
            <v>伊左次　明彦　　</v>
          </cell>
          <cell r="C815">
            <v>620310</v>
          </cell>
          <cell r="D815">
            <v>730640</v>
          </cell>
          <cell r="E815">
            <v>1350950</v>
          </cell>
          <cell r="F815">
            <v>4149958</v>
          </cell>
          <cell r="G815">
            <v>5500908</v>
          </cell>
          <cell r="H815">
            <v>694460</v>
          </cell>
        </row>
        <row r="816">
          <cell r="A816" t="str">
            <v>3293</v>
          </cell>
          <cell r="B816" t="str">
            <v>後藤　正巳　　　</v>
          </cell>
          <cell r="C816">
            <v>685540</v>
          </cell>
          <cell r="D816">
            <v>730450</v>
          </cell>
          <cell r="E816">
            <v>1415990</v>
          </cell>
          <cell r="F816">
            <v>4239596</v>
          </cell>
          <cell r="G816">
            <v>5655586</v>
          </cell>
          <cell r="H816">
            <v>704330</v>
          </cell>
        </row>
        <row r="817">
          <cell r="A817" t="str">
            <v>3394</v>
          </cell>
          <cell r="B817" t="str">
            <v>吉崎　恵美子　　</v>
          </cell>
          <cell r="C817">
            <v>646990</v>
          </cell>
          <cell r="D817">
            <v>729830</v>
          </cell>
          <cell r="E817">
            <v>1376820</v>
          </cell>
          <cell r="F817">
            <v>2849197</v>
          </cell>
          <cell r="G817">
            <v>4226017</v>
          </cell>
          <cell r="H817">
            <v>693910</v>
          </cell>
        </row>
        <row r="818">
          <cell r="A818" t="str">
            <v>2608</v>
          </cell>
          <cell r="B818" t="str">
            <v>池内　一彰　　　</v>
          </cell>
          <cell r="C818">
            <v>625820</v>
          </cell>
          <cell r="D818">
            <v>729570</v>
          </cell>
          <cell r="E818">
            <v>1355390</v>
          </cell>
          <cell r="F818">
            <v>3080925</v>
          </cell>
          <cell r="G818">
            <v>4436315</v>
          </cell>
          <cell r="H818">
            <v>673480</v>
          </cell>
        </row>
        <row r="819">
          <cell r="A819" t="str">
            <v>1943</v>
          </cell>
          <cell r="B819" t="str">
            <v>中島　旨規　　　</v>
          </cell>
          <cell r="C819">
            <v>647760</v>
          </cell>
          <cell r="D819">
            <v>728910</v>
          </cell>
          <cell r="E819">
            <v>1376670</v>
          </cell>
          <cell r="F819">
            <v>3687169</v>
          </cell>
          <cell r="G819">
            <v>5063839</v>
          </cell>
          <cell r="H819">
            <v>674810</v>
          </cell>
        </row>
        <row r="820">
          <cell r="A820" t="str">
            <v>2654</v>
          </cell>
          <cell r="B820" t="str">
            <v>前田　正治　　　</v>
          </cell>
          <cell r="C820">
            <v>593880</v>
          </cell>
          <cell r="D820">
            <v>727180</v>
          </cell>
          <cell r="E820">
            <v>1321060</v>
          </cell>
          <cell r="F820">
            <v>2955577</v>
          </cell>
          <cell r="G820">
            <v>4276637</v>
          </cell>
          <cell r="H820">
            <v>671540</v>
          </cell>
        </row>
        <row r="821">
          <cell r="A821" t="str">
            <v>2667</v>
          </cell>
          <cell r="B821" t="str">
            <v>山本　雅史　　　</v>
          </cell>
          <cell r="C821">
            <v>578800</v>
          </cell>
          <cell r="D821">
            <v>727180</v>
          </cell>
          <cell r="E821">
            <v>1305980</v>
          </cell>
          <cell r="F821">
            <v>3398872</v>
          </cell>
          <cell r="G821">
            <v>4704852</v>
          </cell>
          <cell r="H821">
            <v>661690</v>
          </cell>
        </row>
        <row r="822">
          <cell r="A822" t="str">
            <v>2271</v>
          </cell>
          <cell r="B822" t="str">
            <v>辻　昭浩　　　　</v>
          </cell>
          <cell r="C822">
            <v>671130</v>
          </cell>
          <cell r="D822">
            <v>725970</v>
          </cell>
          <cell r="E822">
            <v>1397100</v>
          </cell>
          <cell r="F822">
            <v>3436370</v>
          </cell>
          <cell r="G822">
            <v>4833470</v>
          </cell>
          <cell r="H822">
            <v>709060</v>
          </cell>
        </row>
        <row r="823">
          <cell r="A823" t="str">
            <v>2478</v>
          </cell>
          <cell r="B823" t="str">
            <v>高島　康一　　　</v>
          </cell>
          <cell r="C823">
            <v>632290</v>
          </cell>
          <cell r="D823">
            <v>723340</v>
          </cell>
          <cell r="E823">
            <v>1355630</v>
          </cell>
          <cell r="F823">
            <v>3534890</v>
          </cell>
          <cell r="G823">
            <v>4890520</v>
          </cell>
          <cell r="H823">
            <v>709260</v>
          </cell>
        </row>
        <row r="824">
          <cell r="A824" t="str">
            <v>0293</v>
          </cell>
          <cell r="B824" t="str">
            <v>大川　時子　　　</v>
          </cell>
          <cell r="C824">
            <v>628360</v>
          </cell>
          <cell r="D824">
            <v>723130</v>
          </cell>
          <cell r="E824">
            <v>1351490</v>
          </cell>
          <cell r="F824">
            <v>3679115</v>
          </cell>
          <cell r="G824">
            <v>5030605</v>
          </cell>
          <cell r="H824">
            <v>652500</v>
          </cell>
        </row>
        <row r="825">
          <cell r="A825" t="str">
            <v>2653</v>
          </cell>
          <cell r="B825" t="str">
            <v>星野　俊樹　　　</v>
          </cell>
          <cell r="C825">
            <v>590820</v>
          </cell>
          <cell r="D825">
            <v>722250</v>
          </cell>
          <cell r="E825">
            <v>1313070</v>
          </cell>
          <cell r="F825">
            <v>3249822</v>
          </cell>
          <cell r="G825">
            <v>4562892</v>
          </cell>
          <cell r="H825">
            <v>623070</v>
          </cell>
        </row>
        <row r="826">
          <cell r="A826" t="str">
            <v>2651</v>
          </cell>
          <cell r="B826" t="str">
            <v>麓　和宏　　　　</v>
          </cell>
          <cell r="C826">
            <v>590820</v>
          </cell>
          <cell r="D826">
            <v>722250</v>
          </cell>
          <cell r="E826">
            <v>1313070</v>
          </cell>
          <cell r="F826">
            <v>3298897</v>
          </cell>
          <cell r="G826">
            <v>4611967</v>
          </cell>
          <cell r="H826">
            <v>678370</v>
          </cell>
        </row>
        <row r="827">
          <cell r="A827" t="str">
            <v>0370</v>
          </cell>
          <cell r="B827" t="str">
            <v>浜川　国和　　　</v>
          </cell>
          <cell r="C827">
            <v>642720</v>
          </cell>
          <cell r="D827">
            <v>721200</v>
          </cell>
          <cell r="E827">
            <v>1363920</v>
          </cell>
          <cell r="F827">
            <v>3727323</v>
          </cell>
          <cell r="G827">
            <v>5091243</v>
          </cell>
          <cell r="H827">
            <v>673310</v>
          </cell>
        </row>
        <row r="828">
          <cell r="A828" t="str">
            <v>2562</v>
          </cell>
          <cell r="B828" t="str">
            <v>沖永　五郎　　　</v>
          </cell>
          <cell r="C828">
            <v>652930</v>
          </cell>
          <cell r="D828">
            <v>720460</v>
          </cell>
          <cell r="E828">
            <v>1373390</v>
          </cell>
          <cell r="F828">
            <v>5287264</v>
          </cell>
          <cell r="G828">
            <v>6660654</v>
          </cell>
          <cell r="H828">
            <v>671660</v>
          </cell>
        </row>
        <row r="829">
          <cell r="A829" t="str">
            <v>1750</v>
          </cell>
          <cell r="B829" t="str">
            <v>河本　宗和　　　</v>
          </cell>
          <cell r="C829">
            <v>667460</v>
          </cell>
          <cell r="D829">
            <v>720270</v>
          </cell>
          <cell r="E829">
            <v>1387730</v>
          </cell>
          <cell r="F829">
            <v>3433735</v>
          </cell>
          <cell r="G829">
            <v>4821465</v>
          </cell>
          <cell r="H829">
            <v>694460</v>
          </cell>
        </row>
        <row r="830">
          <cell r="A830" t="str">
            <v>2090</v>
          </cell>
          <cell r="B830" t="str">
            <v>大沢　重光　　　</v>
          </cell>
          <cell r="C830">
            <v>563980</v>
          </cell>
          <cell r="D830">
            <v>719970</v>
          </cell>
          <cell r="E830">
            <v>1283950</v>
          </cell>
          <cell r="F830">
            <v>3418403</v>
          </cell>
          <cell r="G830">
            <v>4702353</v>
          </cell>
          <cell r="H830">
            <v>655140</v>
          </cell>
        </row>
        <row r="831">
          <cell r="A831" t="str">
            <v>2746</v>
          </cell>
          <cell r="B831" t="str">
            <v>直江　克人　　　</v>
          </cell>
          <cell r="C831">
            <v>581770</v>
          </cell>
          <cell r="D831">
            <v>719970</v>
          </cell>
          <cell r="E831">
            <v>1301740</v>
          </cell>
          <cell r="F831">
            <v>2863976</v>
          </cell>
          <cell r="G831">
            <v>4165716</v>
          </cell>
          <cell r="H831">
            <v>675220</v>
          </cell>
        </row>
        <row r="832">
          <cell r="A832" t="str">
            <v>2178</v>
          </cell>
          <cell r="B832" t="str">
            <v>増子　信行　　　</v>
          </cell>
          <cell r="C832">
            <v>549150</v>
          </cell>
          <cell r="D832">
            <v>719970</v>
          </cell>
          <cell r="E832">
            <v>1269120</v>
          </cell>
          <cell r="F832">
            <v>3528642</v>
          </cell>
          <cell r="G832">
            <v>4797762</v>
          </cell>
          <cell r="H832">
            <v>655140</v>
          </cell>
        </row>
        <row r="833">
          <cell r="A833" t="str">
            <v>2492</v>
          </cell>
          <cell r="B833" t="str">
            <v>福岡　賢一　　　</v>
          </cell>
          <cell r="C833">
            <v>702680</v>
          </cell>
          <cell r="D833">
            <v>719830</v>
          </cell>
          <cell r="E833">
            <v>1422510</v>
          </cell>
          <cell r="F833">
            <v>3496745</v>
          </cell>
          <cell r="G833">
            <v>4919255</v>
          </cell>
          <cell r="H833">
            <v>673120</v>
          </cell>
        </row>
        <row r="834">
          <cell r="A834" t="str">
            <v>2269</v>
          </cell>
          <cell r="B834" t="str">
            <v>聖代橋　健　　　</v>
          </cell>
          <cell r="C834">
            <v>682860</v>
          </cell>
          <cell r="D834">
            <v>719290</v>
          </cell>
          <cell r="E834">
            <v>1402150</v>
          </cell>
          <cell r="F834">
            <v>3594304</v>
          </cell>
          <cell r="G834">
            <v>4996454</v>
          </cell>
          <cell r="H834">
            <v>656820</v>
          </cell>
        </row>
        <row r="835">
          <cell r="A835" t="str">
            <v>2668</v>
          </cell>
          <cell r="B835" t="str">
            <v>若月　憲之　　　</v>
          </cell>
          <cell r="C835">
            <v>587770</v>
          </cell>
          <cell r="D835">
            <v>718600</v>
          </cell>
          <cell r="E835">
            <v>1306370</v>
          </cell>
          <cell r="F835">
            <v>2699160</v>
          </cell>
          <cell r="G835">
            <v>4005530</v>
          </cell>
          <cell r="H835">
            <v>663510</v>
          </cell>
        </row>
        <row r="836">
          <cell r="A836" t="str">
            <v>2623</v>
          </cell>
          <cell r="B836" t="str">
            <v>木下　猛　　　　</v>
          </cell>
          <cell r="C836">
            <v>612120</v>
          </cell>
          <cell r="D836">
            <v>718510</v>
          </cell>
          <cell r="E836">
            <v>1330630</v>
          </cell>
          <cell r="F836">
            <v>2833949</v>
          </cell>
          <cell r="G836">
            <v>4164579</v>
          </cell>
          <cell r="H836">
            <v>652850</v>
          </cell>
        </row>
        <row r="837">
          <cell r="A837" t="str">
            <v>1482</v>
          </cell>
          <cell r="B837" t="str">
            <v>後藤　英二　　　</v>
          </cell>
          <cell r="C837">
            <v>686280</v>
          </cell>
          <cell r="D837">
            <v>717470</v>
          </cell>
          <cell r="E837">
            <v>1403750</v>
          </cell>
          <cell r="F837">
            <v>3733160</v>
          </cell>
          <cell r="G837">
            <v>5136910</v>
          </cell>
          <cell r="H837">
            <v>770390</v>
          </cell>
        </row>
        <row r="838">
          <cell r="A838" t="str">
            <v>2729</v>
          </cell>
          <cell r="B838" t="str">
            <v>安藤　達也　　　</v>
          </cell>
          <cell r="C838">
            <v>647760</v>
          </cell>
          <cell r="D838">
            <v>716890</v>
          </cell>
          <cell r="E838">
            <v>1364650</v>
          </cell>
          <cell r="F838">
            <v>3979909</v>
          </cell>
          <cell r="G838">
            <v>5344559</v>
          </cell>
          <cell r="H838">
            <v>671540</v>
          </cell>
        </row>
        <row r="839">
          <cell r="A839" t="str">
            <v>2730</v>
          </cell>
          <cell r="B839" t="str">
            <v>小林　正樹　　　</v>
          </cell>
          <cell r="C839">
            <v>647760</v>
          </cell>
          <cell r="D839">
            <v>716890</v>
          </cell>
          <cell r="E839">
            <v>1364650</v>
          </cell>
          <cell r="F839">
            <v>4081088</v>
          </cell>
          <cell r="G839">
            <v>5445738</v>
          </cell>
          <cell r="H839">
            <v>671540</v>
          </cell>
        </row>
        <row r="840">
          <cell r="A840" t="str">
            <v>3245</v>
          </cell>
          <cell r="B840" t="str">
            <v>佐藤　美雪　　　</v>
          </cell>
          <cell r="C840">
            <v>648370</v>
          </cell>
          <cell r="D840">
            <v>716840</v>
          </cell>
          <cell r="E840">
            <v>1365210</v>
          </cell>
          <cell r="F840">
            <v>3024352</v>
          </cell>
          <cell r="G840">
            <v>4389562</v>
          </cell>
          <cell r="H840">
            <v>681550</v>
          </cell>
        </row>
        <row r="841">
          <cell r="A841" t="str">
            <v>2772</v>
          </cell>
          <cell r="B841" t="str">
            <v>浮田　裕之　　　</v>
          </cell>
          <cell r="C841">
            <v>636280</v>
          </cell>
          <cell r="D841">
            <v>715020</v>
          </cell>
          <cell r="E841">
            <v>1351300</v>
          </cell>
          <cell r="F841">
            <v>2673395</v>
          </cell>
          <cell r="G841">
            <v>4024695</v>
          </cell>
          <cell r="H841">
            <v>635230</v>
          </cell>
        </row>
        <row r="842">
          <cell r="A842" t="str">
            <v>2768</v>
          </cell>
          <cell r="B842" t="str">
            <v>石黒　久和　　　</v>
          </cell>
          <cell r="C842">
            <v>612120</v>
          </cell>
          <cell r="D842">
            <v>715020</v>
          </cell>
          <cell r="E842">
            <v>1327140</v>
          </cell>
          <cell r="F842">
            <v>2775585</v>
          </cell>
          <cell r="G842">
            <v>4102725</v>
          </cell>
          <cell r="H842">
            <v>664130</v>
          </cell>
        </row>
        <row r="843">
          <cell r="A843" t="str">
            <v>2916</v>
          </cell>
          <cell r="B843" t="str">
            <v>三好　孝治　　　</v>
          </cell>
          <cell r="C843">
            <v>572860</v>
          </cell>
          <cell r="D843">
            <v>712750</v>
          </cell>
          <cell r="E843">
            <v>1285610</v>
          </cell>
          <cell r="F843">
            <v>2691130</v>
          </cell>
          <cell r="G843">
            <v>3976740</v>
          </cell>
          <cell r="H843">
            <v>708850</v>
          </cell>
        </row>
        <row r="844">
          <cell r="A844" t="str">
            <v>2770</v>
          </cell>
          <cell r="B844" t="str">
            <v>稲垣　克行　　　</v>
          </cell>
          <cell r="C844">
            <v>629790</v>
          </cell>
          <cell r="D844">
            <v>711500</v>
          </cell>
          <cell r="E844">
            <v>1341290</v>
          </cell>
          <cell r="F844">
            <v>3025521</v>
          </cell>
          <cell r="G844">
            <v>4366811</v>
          </cell>
          <cell r="H844">
            <v>619300</v>
          </cell>
        </row>
        <row r="845">
          <cell r="A845" t="str">
            <v>2819</v>
          </cell>
          <cell r="B845" t="str">
            <v>山田　繁紀　　　</v>
          </cell>
          <cell r="C845">
            <v>609020</v>
          </cell>
          <cell r="D845">
            <v>711500</v>
          </cell>
          <cell r="E845">
            <v>1320520</v>
          </cell>
          <cell r="F845">
            <v>2810037</v>
          </cell>
          <cell r="G845">
            <v>4130557</v>
          </cell>
          <cell r="H845">
            <v>646460</v>
          </cell>
        </row>
        <row r="846">
          <cell r="A846" t="str">
            <v>1359</v>
          </cell>
          <cell r="B846" t="str">
            <v>白井　仁人　　　</v>
          </cell>
          <cell r="C846">
            <v>667940</v>
          </cell>
          <cell r="D846">
            <v>711260</v>
          </cell>
          <cell r="E846">
            <v>1379200</v>
          </cell>
          <cell r="F846">
            <v>3355117</v>
          </cell>
          <cell r="G846">
            <v>4734317</v>
          </cell>
          <cell r="H846">
            <v>697710</v>
          </cell>
        </row>
        <row r="847">
          <cell r="A847" t="str">
            <v>3279</v>
          </cell>
          <cell r="B847" t="str">
            <v>津村　昭子　　　</v>
          </cell>
          <cell r="C847">
            <v>562190</v>
          </cell>
          <cell r="D847">
            <v>711060</v>
          </cell>
          <cell r="E847">
            <v>1273250</v>
          </cell>
          <cell r="F847">
            <v>3273645</v>
          </cell>
          <cell r="G847">
            <v>4546895</v>
          </cell>
          <cell r="H847">
            <v>665700</v>
          </cell>
        </row>
        <row r="848">
          <cell r="A848" t="str">
            <v>1939</v>
          </cell>
          <cell r="B848" t="str">
            <v>佐伯　達也　　　</v>
          </cell>
          <cell r="C848">
            <v>651430</v>
          </cell>
          <cell r="D848">
            <v>710250</v>
          </cell>
          <cell r="E848">
            <v>1361680</v>
          </cell>
          <cell r="F848">
            <v>3867113</v>
          </cell>
          <cell r="G848">
            <v>5228793</v>
          </cell>
          <cell r="H848">
            <v>711450</v>
          </cell>
        </row>
        <row r="849">
          <cell r="A849" t="str">
            <v>2455</v>
          </cell>
          <cell r="B849" t="str">
            <v>井草　剛史　　　</v>
          </cell>
          <cell r="C849">
            <v>630200</v>
          </cell>
          <cell r="D849">
            <v>709960</v>
          </cell>
          <cell r="E849">
            <v>1340160</v>
          </cell>
          <cell r="F849">
            <v>3237647</v>
          </cell>
          <cell r="G849">
            <v>4577807</v>
          </cell>
          <cell r="H849">
            <v>655850</v>
          </cell>
        </row>
        <row r="850">
          <cell r="A850" t="str">
            <v>2179</v>
          </cell>
          <cell r="B850" t="str">
            <v>茂木　実　　　　</v>
          </cell>
          <cell r="C850">
            <v>560370</v>
          </cell>
          <cell r="D850">
            <v>709380</v>
          </cell>
          <cell r="E850">
            <v>1269750</v>
          </cell>
          <cell r="F850">
            <v>2725655</v>
          </cell>
          <cell r="G850">
            <v>3995405</v>
          </cell>
          <cell r="H850">
            <v>715930</v>
          </cell>
        </row>
        <row r="851">
          <cell r="A851" t="str">
            <v>0480</v>
          </cell>
          <cell r="B851" t="str">
            <v>岡崎　豊太郎　　</v>
          </cell>
          <cell r="C851">
            <v>646110</v>
          </cell>
          <cell r="D851">
            <v>708290</v>
          </cell>
          <cell r="E851">
            <v>1354400</v>
          </cell>
          <cell r="F851">
            <v>3375557</v>
          </cell>
          <cell r="G851">
            <v>4729957</v>
          </cell>
          <cell r="H851">
            <v>626540</v>
          </cell>
        </row>
        <row r="852">
          <cell r="A852" t="str">
            <v>1723</v>
          </cell>
          <cell r="B852" t="str">
            <v>坂井　哲也　　　</v>
          </cell>
          <cell r="C852">
            <v>655210</v>
          </cell>
          <cell r="D852">
            <v>706360</v>
          </cell>
          <cell r="E852">
            <v>1361570</v>
          </cell>
          <cell r="F852">
            <v>3263498</v>
          </cell>
          <cell r="G852">
            <v>4625068</v>
          </cell>
          <cell r="H852">
            <v>637980</v>
          </cell>
        </row>
        <row r="853">
          <cell r="A853" t="str">
            <v>0957</v>
          </cell>
          <cell r="B853" t="str">
            <v>五十嵐　主税　　</v>
          </cell>
          <cell r="C853">
            <v>673690</v>
          </cell>
          <cell r="D853">
            <v>705800</v>
          </cell>
          <cell r="E853">
            <v>1379490</v>
          </cell>
          <cell r="F853">
            <v>3662347</v>
          </cell>
          <cell r="G853">
            <v>5041837</v>
          </cell>
          <cell r="H853">
            <v>680550</v>
          </cell>
        </row>
        <row r="854">
          <cell r="A854" t="str">
            <v>2794</v>
          </cell>
          <cell r="B854" t="str">
            <v>戸田　正志　　　</v>
          </cell>
          <cell r="C854">
            <v>602810</v>
          </cell>
          <cell r="D854">
            <v>704500</v>
          </cell>
          <cell r="E854">
            <v>1307310</v>
          </cell>
          <cell r="F854">
            <v>3048460</v>
          </cell>
          <cell r="G854">
            <v>4355770</v>
          </cell>
          <cell r="H854">
            <v>640110</v>
          </cell>
        </row>
        <row r="855">
          <cell r="A855" t="str">
            <v>2807</v>
          </cell>
          <cell r="B855" t="str">
            <v>濱元　浩一　　　</v>
          </cell>
          <cell r="C855">
            <v>571330</v>
          </cell>
          <cell r="D855">
            <v>704500</v>
          </cell>
          <cell r="E855">
            <v>1275830</v>
          </cell>
          <cell r="F855">
            <v>3326940</v>
          </cell>
          <cell r="G855">
            <v>4602770</v>
          </cell>
          <cell r="H855">
            <v>640110</v>
          </cell>
        </row>
        <row r="856">
          <cell r="A856" t="str">
            <v>2818</v>
          </cell>
          <cell r="B856" t="str">
            <v>多賀谷　哲　　　</v>
          </cell>
          <cell r="C856">
            <v>613120</v>
          </cell>
          <cell r="D856">
            <v>704500</v>
          </cell>
          <cell r="E856">
            <v>1317620</v>
          </cell>
          <cell r="F856">
            <v>3211752</v>
          </cell>
          <cell r="G856">
            <v>4529372</v>
          </cell>
          <cell r="H856">
            <v>654340</v>
          </cell>
        </row>
        <row r="857">
          <cell r="A857" t="str">
            <v>2785</v>
          </cell>
          <cell r="B857" t="str">
            <v>佐和　邦彦　　　</v>
          </cell>
          <cell r="C857">
            <v>619480</v>
          </cell>
          <cell r="D857">
            <v>704500</v>
          </cell>
          <cell r="E857">
            <v>1323980</v>
          </cell>
          <cell r="F857">
            <v>3490986</v>
          </cell>
          <cell r="G857">
            <v>4814966</v>
          </cell>
          <cell r="H857">
            <v>640110</v>
          </cell>
        </row>
        <row r="858">
          <cell r="A858" t="str">
            <v>1999</v>
          </cell>
          <cell r="B858" t="str">
            <v>大古田　和広　　</v>
          </cell>
          <cell r="C858">
            <v>612870</v>
          </cell>
          <cell r="D858">
            <v>703090</v>
          </cell>
          <cell r="E858">
            <v>1315960</v>
          </cell>
          <cell r="F858">
            <v>2878551</v>
          </cell>
          <cell r="G858">
            <v>4194511</v>
          </cell>
          <cell r="H858">
            <v>687800</v>
          </cell>
        </row>
        <row r="859">
          <cell r="A859" t="str">
            <v>2786</v>
          </cell>
          <cell r="B859" t="str">
            <v>芝田　匡　　　　</v>
          </cell>
          <cell r="C859">
            <v>599700</v>
          </cell>
          <cell r="D859">
            <v>701000</v>
          </cell>
          <cell r="E859">
            <v>1300700</v>
          </cell>
          <cell r="F859">
            <v>3329417</v>
          </cell>
          <cell r="G859">
            <v>4630117</v>
          </cell>
          <cell r="H859">
            <v>651100</v>
          </cell>
        </row>
        <row r="860">
          <cell r="A860" t="str">
            <v>3027</v>
          </cell>
          <cell r="B860" t="str">
            <v>山本　雅仁　　　</v>
          </cell>
          <cell r="C860">
            <v>587010</v>
          </cell>
          <cell r="D860">
            <v>701000</v>
          </cell>
          <cell r="E860">
            <v>1288010</v>
          </cell>
          <cell r="F860">
            <v>3216341</v>
          </cell>
          <cell r="G860">
            <v>4504351</v>
          </cell>
          <cell r="H860">
            <v>636940</v>
          </cell>
        </row>
        <row r="861">
          <cell r="A861" t="str">
            <v>2804</v>
          </cell>
          <cell r="B861" t="str">
            <v>西村　俊哉　　　</v>
          </cell>
          <cell r="C861">
            <v>625820</v>
          </cell>
          <cell r="D861">
            <v>698860</v>
          </cell>
          <cell r="E861">
            <v>1324680</v>
          </cell>
          <cell r="F861">
            <v>3218462</v>
          </cell>
          <cell r="G861">
            <v>4543142</v>
          </cell>
          <cell r="H861">
            <v>635230</v>
          </cell>
        </row>
        <row r="862">
          <cell r="A862" t="str">
            <v>2809</v>
          </cell>
          <cell r="B862" t="str">
            <v>藤井　護　　　　</v>
          </cell>
          <cell r="C862">
            <v>609020</v>
          </cell>
          <cell r="D862">
            <v>698860</v>
          </cell>
          <cell r="E862">
            <v>1307880</v>
          </cell>
          <cell r="F862">
            <v>2762991</v>
          </cell>
          <cell r="G862">
            <v>4070871</v>
          </cell>
          <cell r="H862">
            <v>649680</v>
          </cell>
        </row>
        <row r="863">
          <cell r="A863" t="str">
            <v>2610</v>
          </cell>
          <cell r="B863" t="str">
            <v>池本　正浩　　　</v>
          </cell>
          <cell r="C863">
            <v>622650</v>
          </cell>
          <cell r="D863">
            <v>698860</v>
          </cell>
          <cell r="E863">
            <v>1321510</v>
          </cell>
          <cell r="F863">
            <v>2711747</v>
          </cell>
          <cell r="G863">
            <v>4033257</v>
          </cell>
          <cell r="H863">
            <v>601510</v>
          </cell>
        </row>
        <row r="864">
          <cell r="A864" t="str">
            <v>1150</v>
          </cell>
          <cell r="B864" t="str">
            <v>貴田　勇一　　　</v>
          </cell>
          <cell r="C864">
            <v>800930</v>
          </cell>
          <cell r="D864">
            <v>698770</v>
          </cell>
          <cell r="E864">
            <v>1499700</v>
          </cell>
          <cell r="F864">
            <v>1149126</v>
          </cell>
          <cell r="G864">
            <v>2648826</v>
          </cell>
          <cell r="H864">
            <v>771070</v>
          </cell>
        </row>
        <row r="865">
          <cell r="A865" t="str">
            <v>2988</v>
          </cell>
          <cell r="B865" t="str">
            <v>千葉　安男　　　</v>
          </cell>
          <cell r="C865">
            <v>572360</v>
          </cell>
          <cell r="D865">
            <v>697520</v>
          </cell>
          <cell r="E865">
            <v>1269880</v>
          </cell>
          <cell r="F865">
            <v>2628734</v>
          </cell>
          <cell r="G865">
            <v>3898614</v>
          </cell>
          <cell r="H865">
            <v>633750</v>
          </cell>
        </row>
        <row r="866">
          <cell r="A866" t="str">
            <v>2948</v>
          </cell>
          <cell r="B866" t="str">
            <v>天羽　光一　　　</v>
          </cell>
          <cell r="C866">
            <v>584480</v>
          </cell>
          <cell r="D866">
            <v>697520</v>
          </cell>
          <cell r="E866">
            <v>1282000</v>
          </cell>
          <cell r="F866">
            <v>2815181</v>
          </cell>
          <cell r="G866">
            <v>4097181</v>
          </cell>
          <cell r="H866">
            <v>619660</v>
          </cell>
        </row>
        <row r="867">
          <cell r="A867" t="str">
            <v>3019</v>
          </cell>
          <cell r="B867" t="str">
            <v>溝口　秀幸　　　</v>
          </cell>
          <cell r="C867">
            <v>587010</v>
          </cell>
          <cell r="D867">
            <v>695220</v>
          </cell>
          <cell r="E867">
            <v>1282230</v>
          </cell>
          <cell r="F867">
            <v>2657780</v>
          </cell>
          <cell r="G867">
            <v>3940010</v>
          </cell>
          <cell r="H867">
            <v>654340</v>
          </cell>
        </row>
        <row r="868">
          <cell r="A868" t="str">
            <v>2642</v>
          </cell>
          <cell r="B868" t="str">
            <v>中村　勝彦　　　</v>
          </cell>
          <cell r="C868">
            <v>596910</v>
          </cell>
          <cell r="D868">
            <v>691990</v>
          </cell>
          <cell r="E868">
            <v>1288900</v>
          </cell>
          <cell r="F868">
            <v>2779040</v>
          </cell>
          <cell r="G868">
            <v>4067940</v>
          </cell>
          <cell r="H868">
            <v>628980</v>
          </cell>
        </row>
        <row r="869">
          <cell r="A869" t="str">
            <v>2606</v>
          </cell>
          <cell r="B869" t="str">
            <v>阿手　勝範　　　</v>
          </cell>
          <cell r="C869">
            <v>596910</v>
          </cell>
          <cell r="D869">
            <v>691990</v>
          </cell>
          <cell r="E869">
            <v>1288900</v>
          </cell>
          <cell r="F869">
            <v>2653839</v>
          </cell>
          <cell r="G869">
            <v>3942739</v>
          </cell>
          <cell r="H869">
            <v>657600</v>
          </cell>
        </row>
        <row r="870">
          <cell r="A870" t="str">
            <v>2619</v>
          </cell>
          <cell r="B870" t="str">
            <v>小田　圭一　　　</v>
          </cell>
          <cell r="C870">
            <v>619480</v>
          </cell>
          <cell r="D870">
            <v>691990</v>
          </cell>
          <cell r="E870">
            <v>1311470</v>
          </cell>
          <cell r="F870">
            <v>2717229</v>
          </cell>
          <cell r="G870">
            <v>4028699</v>
          </cell>
          <cell r="H870">
            <v>616260</v>
          </cell>
        </row>
        <row r="871">
          <cell r="A871" t="str">
            <v>2927</v>
          </cell>
          <cell r="B871" t="str">
            <v>財津　誠司　　　</v>
          </cell>
          <cell r="C871">
            <v>621430</v>
          </cell>
          <cell r="D871">
            <v>689370</v>
          </cell>
          <cell r="E871">
            <v>1310800</v>
          </cell>
          <cell r="F871">
            <v>2714386</v>
          </cell>
          <cell r="G871">
            <v>4025186</v>
          </cell>
          <cell r="H871">
            <v>592800</v>
          </cell>
        </row>
        <row r="872">
          <cell r="A872" t="str">
            <v>2808</v>
          </cell>
          <cell r="B872" t="str">
            <v>平松　義則　　　</v>
          </cell>
          <cell r="C872">
            <v>602810</v>
          </cell>
          <cell r="D872">
            <v>688570</v>
          </cell>
          <cell r="E872">
            <v>1291380</v>
          </cell>
          <cell r="F872">
            <v>2630372</v>
          </cell>
          <cell r="G872">
            <v>3921752</v>
          </cell>
          <cell r="H872">
            <v>654340</v>
          </cell>
        </row>
        <row r="873">
          <cell r="A873" t="str">
            <v>2947</v>
          </cell>
          <cell r="B873" t="str">
            <v>阿部　徹　　　　</v>
          </cell>
          <cell r="C873">
            <v>599860</v>
          </cell>
          <cell r="D873">
            <v>688570</v>
          </cell>
          <cell r="E873">
            <v>1288430</v>
          </cell>
          <cell r="F873">
            <v>3045046</v>
          </cell>
          <cell r="G873">
            <v>4333476</v>
          </cell>
          <cell r="H873">
            <v>640110</v>
          </cell>
        </row>
        <row r="874">
          <cell r="A874" t="str">
            <v>2843</v>
          </cell>
          <cell r="B874" t="str">
            <v>岩田　和子　　　</v>
          </cell>
          <cell r="C874">
            <v>616300</v>
          </cell>
          <cell r="D874">
            <v>688570</v>
          </cell>
          <cell r="E874">
            <v>1304870</v>
          </cell>
          <cell r="F874">
            <v>2658637</v>
          </cell>
          <cell r="G874">
            <v>3963507</v>
          </cell>
          <cell r="H874">
            <v>640110</v>
          </cell>
        </row>
        <row r="875">
          <cell r="A875" t="str">
            <v>2987</v>
          </cell>
          <cell r="B875" t="str">
            <v>田川　和紀　　　</v>
          </cell>
          <cell r="C875">
            <v>599860</v>
          </cell>
          <cell r="D875">
            <v>688570</v>
          </cell>
          <cell r="E875">
            <v>1288430</v>
          </cell>
          <cell r="F875">
            <v>3449480</v>
          </cell>
          <cell r="G875">
            <v>4737910</v>
          </cell>
          <cell r="H875">
            <v>654340</v>
          </cell>
        </row>
        <row r="876">
          <cell r="A876" t="str">
            <v>3016</v>
          </cell>
          <cell r="B876" t="str">
            <v>松崎　明治　　　</v>
          </cell>
          <cell r="C876">
            <v>587010</v>
          </cell>
          <cell r="D876">
            <v>688570</v>
          </cell>
          <cell r="E876">
            <v>1275580</v>
          </cell>
          <cell r="F876">
            <v>2681511</v>
          </cell>
          <cell r="G876">
            <v>3957091</v>
          </cell>
          <cell r="H876">
            <v>640110</v>
          </cell>
        </row>
        <row r="877">
          <cell r="A877" t="str">
            <v>2640</v>
          </cell>
          <cell r="B877" t="str">
            <v>中谷　貞康　　　</v>
          </cell>
          <cell r="C877">
            <v>602810</v>
          </cell>
          <cell r="D877">
            <v>688350</v>
          </cell>
          <cell r="E877">
            <v>1291160</v>
          </cell>
          <cell r="F877">
            <v>2941316</v>
          </cell>
          <cell r="G877">
            <v>4232476</v>
          </cell>
          <cell r="H877">
            <v>678180</v>
          </cell>
        </row>
        <row r="878">
          <cell r="A878" t="str">
            <v>2813</v>
          </cell>
          <cell r="B878" t="str">
            <v>本田　稔　　　　</v>
          </cell>
          <cell r="C878">
            <v>602810</v>
          </cell>
          <cell r="D878">
            <v>685150</v>
          </cell>
          <cell r="E878">
            <v>1287960</v>
          </cell>
          <cell r="F878">
            <v>3137744</v>
          </cell>
          <cell r="G878">
            <v>4425704</v>
          </cell>
          <cell r="H878">
            <v>622770</v>
          </cell>
        </row>
        <row r="879">
          <cell r="A879" t="str">
            <v>2961</v>
          </cell>
          <cell r="B879" t="str">
            <v>大橋　弘之　　　</v>
          </cell>
          <cell r="C879">
            <v>597270</v>
          </cell>
          <cell r="D879">
            <v>685150</v>
          </cell>
          <cell r="E879">
            <v>1282420</v>
          </cell>
          <cell r="F879">
            <v>2720042</v>
          </cell>
          <cell r="G879">
            <v>4002462</v>
          </cell>
          <cell r="H879">
            <v>636940</v>
          </cell>
        </row>
        <row r="880">
          <cell r="A880" t="str">
            <v>2979</v>
          </cell>
          <cell r="B880" t="str">
            <v>白井　美樹　　　</v>
          </cell>
          <cell r="C880">
            <v>597270</v>
          </cell>
          <cell r="D880">
            <v>685150</v>
          </cell>
          <cell r="E880">
            <v>1282420</v>
          </cell>
          <cell r="F880">
            <v>2793729</v>
          </cell>
          <cell r="G880">
            <v>4076149</v>
          </cell>
          <cell r="H880">
            <v>636940</v>
          </cell>
        </row>
        <row r="881">
          <cell r="A881" t="str">
            <v>2997</v>
          </cell>
          <cell r="B881" t="str">
            <v>中野　正彦　　　</v>
          </cell>
          <cell r="C881">
            <v>584480</v>
          </cell>
          <cell r="D881">
            <v>685150</v>
          </cell>
          <cell r="E881">
            <v>1269630</v>
          </cell>
          <cell r="F881">
            <v>2694344</v>
          </cell>
          <cell r="G881">
            <v>3963974</v>
          </cell>
          <cell r="H881">
            <v>636940</v>
          </cell>
        </row>
        <row r="882">
          <cell r="A882" t="str">
            <v>3007</v>
          </cell>
          <cell r="B882" t="str">
            <v>花房　進一　　　</v>
          </cell>
          <cell r="C882">
            <v>599860</v>
          </cell>
          <cell r="D882">
            <v>685150</v>
          </cell>
          <cell r="E882">
            <v>1285010</v>
          </cell>
          <cell r="F882">
            <v>2866657</v>
          </cell>
          <cell r="G882">
            <v>4151667</v>
          </cell>
          <cell r="H882">
            <v>636940</v>
          </cell>
        </row>
        <row r="883">
          <cell r="A883" t="str">
            <v>2847</v>
          </cell>
          <cell r="B883" t="str">
            <v>杉山　美和　　　</v>
          </cell>
          <cell r="C883">
            <v>619480</v>
          </cell>
          <cell r="D883">
            <v>685150</v>
          </cell>
          <cell r="E883">
            <v>1304630</v>
          </cell>
          <cell r="F883">
            <v>2635946</v>
          </cell>
          <cell r="G883">
            <v>3940576</v>
          </cell>
          <cell r="H883">
            <v>610180</v>
          </cell>
        </row>
        <row r="884">
          <cell r="A884" t="str">
            <v>2969</v>
          </cell>
          <cell r="B884" t="str">
            <v>清原　吉幸　　　</v>
          </cell>
          <cell r="C884">
            <v>577380</v>
          </cell>
          <cell r="D884">
            <v>685150</v>
          </cell>
          <cell r="E884">
            <v>1262530</v>
          </cell>
          <cell r="F884">
            <v>2734529</v>
          </cell>
          <cell r="G884">
            <v>3997059</v>
          </cell>
          <cell r="H884">
            <v>636940</v>
          </cell>
        </row>
        <row r="885">
          <cell r="A885" t="str">
            <v>3026</v>
          </cell>
          <cell r="B885" t="str">
            <v>山本　隆夫　　　</v>
          </cell>
          <cell r="C885">
            <v>587010</v>
          </cell>
          <cell r="D885">
            <v>685150</v>
          </cell>
          <cell r="E885">
            <v>1272160</v>
          </cell>
          <cell r="F885">
            <v>2632311</v>
          </cell>
          <cell r="G885">
            <v>3904471</v>
          </cell>
          <cell r="H885">
            <v>610180</v>
          </cell>
        </row>
        <row r="886">
          <cell r="A886" t="str">
            <v>1891</v>
          </cell>
          <cell r="B886" t="str">
            <v>小池　正行　　　</v>
          </cell>
          <cell r="C886">
            <v>617210</v>
          </cell>
          <cell r="D886">
            <v>683940</v>
          </cell>
          <cell r="E886">
            <v>1301150</v>
          </cell>
          <cell r="F886">
            <v>3037740</v>
          </cell>
          <cell r="G886">
            <v>4338890</v>
          </cell>
          <cell r="H886">
            <v>770910</v>
          </cell>
        </row>
        <row r="887">
          <cell r="A887" t="str">
            <v>2823</v>
          </cell>
          <cell r="B887" t="str">
            <v>吉田　司　　　　</v>
          </cell>
          <cell r="C887">
            <v>596910</v>
          </cell>
          <cell r="D887">
            <v>682690</v>
          </cell>
          <cell r="E887">
            <v>1279600</v>
          </cell>
          <cell r="F887">
            <v>2718207</v>
          </cell>
          <cell r="G887">
            <v>3997807</v>
          </cell>
          <cell r="H887">
            <v>649680</v>
          </cell>
        </row>
        <row r="888">
          <cell r="A888" t="str">
            <v>2825</v>
          </cell>
          <cell r="B888" t="str">
            <v>和田　成弘　　　</v>
          </cell>
          <cell r="C888">
            <v>596910</v>
          </cell>
          <cell r="D888">
            <v>682690</v>
          </cell>
          <cell r="E888">
            <v>1279600</v>
          </cell>
          <cell r="F888">
            <v>2911142</v>
          </cell>
          <cell r="G888">
            <v>4190742</v>
          </cell>
          <cell r="H888">
            <v>635230</v>
          </cell>
        </row>
        <row r="889">
          <cell r="A889" t="str">
            <v>2347</v>
          </cell>
          <cell r="B889" t="str">
            <v>神庭　勇二　　　</v>
          </cell>
          <cell r="C889">
            <v>603640</v>
          </cell>
          <cell r="D889">
            <v>682510</v>
          </cell>
          <cell r="E889">
            <v>1286150</v>
          </cell>
          <cell r="F889">
            <v>3603686</v>
          </cell>
          <cell r="G889">
            <v>4889836</v>
          </cell>
          <cell r="H889">
            <v>644550</v>
          </cell>
        </row>
        <row r="890">
          <cell r="A890" t="str">
            <v>1918</v>
          </cell>
          <cell r="B890" t="str">
            <v>山縣　昇　　　　</v>
          </cell>
          <cell r="C890">
            <v>683610</v>
          </cell>
          <cell r="D890">
            <v>682270</v>
          </cell>
          <cell r="E890">
            <v>1365880</v>
          </cell>
          <cell r="F890">
            <v>2301498</v>
          </cell>
          <cell r="G890">
            <v>3667378</v>
          </cell>
          <cell r="H890">
            <v>641970</v>
          </cell>
        </row>
        <row r="891">
          <cell r="A891" t="str">
            <v>3024</v>
          </cell>
          <cell r="B891" t="str">
            <v>山地　利一　　　</v>
          </cell>
          <cell r="C891">
            <v>597270</v>
          </cell>
          <cell r="D891">
            <v>681750</v>
          </cell>
          <cell r="E891">
            <v>1279020</v>
          </cell>
          <cell r="F891">
            <v>2710892</v>
          </cell>
          <cell r="G891">
            <v>3989912</v>
          </cell>
          <cell r="H891">
            <v>633750</v>
          </cell>
        </row>
        <row r="892">
          <cell r="A892" t="str">
            <v>3037</v>
          </cell>
          <cell r="B892" t="str">
            <v>桧垣　博美　　　</v>
          </cell>
          <cell r="C892">
            <v>539730</v>
          </cell>
          <cell r="D892">
            <v>681750</v>
          </cell>
          <cell r="E892">
            <v>1221480</v>
          </cell>
          <cell r="F892">
            <v>2575070</v>
          </cell>
          <cell r="G892">
            <v>3796550</v>
          </cell>
          <cell r="H892">
            <v>619660</v>
          </cell>
        </row>
        <row r="893">
          <cell r="A893" t="str">
            <v>2811</v>
          </cell>
          <cell r="B893" t="str">
            <v>藤村　剛　　　　</v>
          </cell>
          <cell r="C893">
            <v>590820</v>
          </cell>
          <cell r="D893">
            <v>681750</v>
          </cell>
          <cell r="E893">
            <v>1272570</v>
          </cell>
          <cell r="F893">
            <v>2840520</v>
          </cell>
          <cell r="G893">
            <v>4113090</v>
          </cell>
          <cell r="H893">
            <v>619660</v>
          </cell>
        </row>
        <row r="894">
          <cell r="A894" t="str">
            <v>2765</v>
          </cell>
          <cell r="B894" t="str">
            <v>秋田　浩司　　　</v>
          </cell>
          <cell r="C894">
            <v>608650</v>
          </cell>
          <cell r="D894">
            <v>679870</v>
          </cell>
          <cell r="E894">
            <v>1288520</v>
          </cell>
          <cell r="F894">
            <v>2986178</v>
          </cell>
          <cell r="G894">
            <v>4274698</v>
          </cell>
          <cell r="H894">
            <v>632210</v>
          </cell>
        </row>
        <row r="895">
          <cell r="A895" t="str">
            <v>2771</v>
          </cell>
          <cell r="B895" t="str">
            <v>今江　雅樹　　　</v>
          </cell>
          <cell r="C895">
            <v>605920</v>
          </cell>
          <cell r="D895">
            <v>679330</v>
          </cell>
          <cell r="E895">
            <v>1285250</v>
          </cell>
          <cell r="F895">
            <v>3323252</v>
          </cell>
          <cell r="G895">
            <v>4608502</v>
          </cell>
          <cell r="H895">
            <v>632080</v>
          </cell>
        </row>
        <row r="896">
          <cell r="A896" t="str">
            <v>2622</v>
          </cell>
          <cell r="B896" t="str">
            <v>北宅　範久　　　</v>
          </cell>
          <cell r="C896">
            <v>612120</v>
          </cell>
          <cell r="D896">
            <v>679330</v>
          </cell>
          <cell r="E896">
            <v>1291450</v>
          </cell>
          <cell r="F896">
            <v>2882430</v>
          </cell>
          <cell r="G896">
            <v>4173880</v>
          </cell>
          <cell r="H896">
            <v>619300</v>
          </cell>
        </row>
        <row r="897">
          <cell r="A897" t="str">
            <v>0422</v>
          </cell>
          <cell r="B897" t="str">
            <v>森下　好子　　　</v>
          </cell>
          <cell r="C897">
            <v>610260</v>
          </cell>
          <cell r="D897">
            <v>679170</v>
          </cell>
          <cell r="E897">
            <v>1289430</v>
          </cell>
          <cell r="F897">
            <v>2969630</v>
          </cell>
          <cell r="G897">
            <v>4259060</v>
          </cell>
          <cell r="H897">
            <v>612830</v>
          </cell>
        </row>
        <row r="898">
          <cell r="A898" t="str">
            <v>2088</v>
          </cell>
          <cell r="B898" t="str">
            <v>石田　孝幸　　　</v>
          </cell>
          <cell r="C898">
            <v>549230</v>
          </cell>
          <cell r="D898">
            <v>678900</v>
          </cell>
          <cell r="E898">
            <v>1228130</v>
          </cell>
          <cell r="F898">
            <v>2968984</v>
          </cell>
          <cell r="G898">
            <v>4197114</v>
          </cell>
          <cell r="H898">
            <v>628380</v>
          </cell>
        </row>
        <row r="899">
          <cell r="A899" t="str">
            <v>3008</v>
          </cell>
          <cell r="B899" t="str">
            <v>花本　清治　　　</v>
          </cell>
          <cell r="C899">
            <v>572360</v>
          </cell>
          <cell r="D899">
            <v>678330</v>
          </cell>
          <cell r="E899">
            <v>1250690</v>
          </cell>
          <cell r="F899">
            <v>2592684</v>
          </cell>
          <cell r="G899">
            <v>3843374</v>
          </cell>
          <cell r="H899">
            <v>616560</v>
          </cell>
        </row>
        <row r="900">
          <cell r="A900" t="str">
            <v>2778</v>
          </cell>
          <cell r="B900" t="str">
            <v>香川　真志　　　</v>
          </cell>
          <cell r="C900">
            <v>584730</v>
          </cell>
          <cell r="D900">
            <v>678330</v>
          </cell>
          <cell r="E900">
            <v>1263060</v>
          </cell>
          <cell r="F900">
            <v>3325020</v>
          </cell>
          <cell r="G900">
            <v>4588080</v>
          </cell>
          <cell r="H900">
            <v>604100</v>
          </cell>
        </row>
        <row r="901">
          <cell r="A901" t="str">
            <v>2972</v>
          </cell>
          <cell r="B901" t="str">
            <v>小出　直樹　　　</v>
          </cell>
          <cell r="C901">
            <v>581910</v>
          </cell>
          <cell r="D901">
            <v>678330</v>
          </cell>
          <cell r="E901">
            <v>1260240</v>
          </cell>
          <cell r="F901">
            <v>2655983</v>
          </cell>
          <cell r="G901">
            <v>3916223</v>
          </cell>
          <cell r="H901">
            <v>630590</v>
          </cell>
        </row>
        <row r="902">
          <cell r="A902" t="str">
            <v>3000</v>
          </cell>
          <cell r="B902" t="str">
            <v>名越　聖一　　　</v>
          </cell>
          <cell r="C902">
            <v>572360</v>
          </cell>
          <cell r="D902">
            <v>678330</v>
          </cell>
          <cell r="E902">
            <v>1250690</v>
          </cell>
          <cell r="F902">
            <v>2654974</v>
          </cell>
          <cell r="G902">
            <v>3905664</v>
          </cell>
          <cell r="H902">
            <v>630590</v>
          </cell>
        </row>
        <row r="903">
          <cell r="A903" t="str">
            <v>2816</v>
          </cell>
          <cell r="B903" t="str">
            <v>安田　和宏　　　</v>
          </cell>
          <cell r="C903">
            <v>568390</v>
          </cell>
          <cell r="D903">
            <v>678330</v>
          </cell>
          <cell r="E903">
            <v>1246720</v>
          </cell>
          <cell r="F903">
            <v>2612581</v>
          </cell>
          <cell r="G903">
            <v>3859301</v>
          </cell>
          <cell r="H903">
            <v>604100</v>
          </cell>
        </row>
        <row r="904">
          <cell r="A904" t="str">
            <v>3014</v>
          </cell>
          <cell r="B904" t="str">
            <v>藤原　範行　　　</v>
          </cell>
          <cell r="C904">
            <v>611420</v>
          </cell>
          <cell r="D904">
            <v>675840</v>
          </cell>
          <cell r="E904">
            <v>1287260</v>
          </cell>
          <cell r="F904">
            <v>2602745</v>
          </cell>
          <cell r="G904">
            <v>3890005</v>
          </cell>
          <cell r="H904">
            <v>643420</v>
          </cell>
        </row>
        <row r="905">
          <cell r="A905" t="str">
            <v>2970</v>
          </cell>
          <cell r="B905" t="str">
            <v>栗生　丈裕　　　</v>
          </cell>
          <cell r="C905">
            <v>572360</v>
          </cell>
          <cell r="D905">
            <v>674870</v>
          </cell>
          <cell r="E905">
            <v>1247230</v>
          </cell>
          <cell r="F905">
            <v>2637965</v>
          </cell>
          <cell r="G905">
            <v>3885195</v>
          </cell>
          <cell r="H905">
            <v>601020</v>
          </cell>
        </row>
        <row r="906">
          <cell r="A906" t="str">
            <v>2981</v>
          </cell>
          <cell r="B906" t="str">
            <v>杉浦　賢司　　　</v>
          </cell>
          <cell r="C906">
            <v>572360</v>
          </cell>
          <cell r="D906">
            <v>674870</v>
          </cell>
          <cell r="E906">
            <v>1247230</v>
          </cell>
          <cell r="F906">
            <v>2631291</v>
          </cell>
          <cell r="G906">
            <v>3878521</v>
          </cell>
          <cell r="H906">
            <v>627380</v>
          </cell>
        </row>
        <row r="907">
          <cell r="A907" t="str">
            <v>2666</v>
          </cell>
          <cell r="B907" t="str">
            <v>森　泰史　　　　</v>
          </cell>
          <cell r="C907">
            <v>587770</v>
          </cell>
          <cell r="D907">
            <v>674870</v>
          </cell>
          <cell r="E907">
            <v>1262640</v>
          </cell>
          <cell r="F907">
            <v>2990430</v>
          </cell>
          <cell r="G907">
            <v>4253070</v>
          </cell>
          <cell r="H907">
            <v>601020</v>
          </cell>
        </row>
        <row r="908">
          <cell r="A908" t="str">
            <v>3010</v>
          </cell>
          <cell r="B908" t="str">
            <v>原　嘉彦　　　　</v>
          </cell>
          <cell r="C908">
            <v>534970</v>
          </cell>
          <cell r="D908">
            <v>674870</v>
          </cell>
          <cell r="E908">
            <v>1209840</v>
          </cell>
          <cell r="F908">
            <v>2637349</v>
          </cell>
          <cell r="G908">
            <v>3847189</v>
          </cell>
          <cell r="H908">
            <v>627380</v>
          </cell>
        </row>
        <row r="909">
          <cell r="A909" t="str">
            <v>2848</v>
          </cell>
          <cell r="B909" t="str">
            <v>中園　直子　　　</v>
          </cell>
          <cell r="C909">
            <v>587770</v>
          </cell>
          <cell r="D909">
            <v>674870</v>
          </cell>
          <cell r="E909">
            <v>1262640</v>
          </cell>
          <cell r="F909">
            <v>2666943</v>
          </cell>
          <cell r="G909">
            <v>3929583</v>
          </cell>
          <cell r="H909">
            <v>613420</v>
          </cell>
        </row>
        <row r="910">
          <cell r="A910" t="str">
            <v>2901</v>
          </cell>
          <cell r="B910" t="str">
            <v>甲斐　永久　　　</v>
          </cell>
          <cell r="C910">
            <v>621430</v>
          </cell>
          <cell r="D910">
            <v>674860</v>
          </cell>
          <cell r="E910">
            <v>1296290</v>
          </cell>
          <cell r="F910">
            <v>3319798</v>
          </cell>
          <cell r="G910">
            <v>4616088</v>
          </cell>
          <cell r="H910">
            <v>628470</v>
          </cell>
        </row>
        <row r="911">
          <cell r="A911" t="str">
            <v>2589</v>
          </cell>
          <cell r="B911" t="str">
            <v>山田　浩　　　　</v>
          </cell>
          <cell r="C911">
            <v>609010</v>
          </cell>
          <cell r="D911">
            <v>674480</v>
          </cell>
          <cell r="E911">
            <v>1283490</v>
          </cell>
          <cell r="F911">
            <v>2693578</v>
          </cell>
          <cell r="G911">
            <v>3977068</v>
          </cell>
          <cell r="H911">
            <v>615220</v>
          </cell>
        </row>
        <row r="912">
          <cell r="A912" t="str">
            <v>0216</v>
          </cell>
          <cell r="B912" t="str">
            <v>小木曽　ひな子　</v>
          </cell>
          <cell r="C912">
            <v>608760</v>
          </cell>
          <cell r="D912">
            <v>673820</v>
          </cell>
          <cell r="E912">
            <v>1282580</v>
          </cell>
          <cell r="F912">
            <v>3517326</v>
          </cell>
          <cell r="G912">
            <v>4799906</v>
          </cell>
          <cell r="H912">
            <v>631440</v>
          </cell>
        </row>
        <row r="913">
          <cell r="A913" t="str">
            <v>3017</v>
          </cell>
          <cell r="B913" t="str">
            <v>松下　拓也　　　</v>
          </cell>
          <cell r="C913">
            <v>577380</v>
          </cell>
          <cell r="D913">
            <v>672650</v>
          </cell>
          <cell r="E913">
            <v>1250030</v>
          </cell>
          <cell r="F913">
            <v>3489083</v>
          </cell>
          <cell r="G913">
            <v>4739113</v>
          </cell>
          <cell r="H913">
            <v>640110</v>
          </cell>
        </row>
        <row r="914">
          <cell r="A914" t="str">
            <v>2999</v>
          </cell>
          <cell r="B914" t="str">
            <v>中山　隆行　　　</v>
          </cell>
          <cell r="C914">
            <v>599860</v>
          </cell>
          <cell r="D914">
            <v>672650</v>
          </cell>
          <cell r="E914">
            <v>1272510</v>
          </cell>
          <cell r="F914">
            <v>2658128</v>
          </cell>
          <cell r="G914">
            <v>3930638</v>
          </cell>
          <cell r="H914">
            <v>625870</v>
          </cell>
        </row>
        <row r="915">
          <cell r="A915" t="str">
            <v>1641</v>
          </cell>
          <cell r="B915" t="str">
            <v>菊地　千吉　　　</v>
          </cell>
          <cell r="C915">
            <v>578300</v>
          </cell>
          <cell r="D915">
            <v>671910</v>
          </cell>
          <cell r="E915">
            <v>1250210</v>
          </cell>
          <cell r="F915">
            <v>3309129</v>
          </cell>
          <cell r="G915">
            <v>4559339</v>
          </cell>
          <cell r="H915">
            <v>647880</v>
          </cell>
        </row>
        <row r="916">
          <cell r="A916" t="str">
            <v>3011</v>
          </cell>
          <cell r="B916" t="str">
            <v>福藤　哲也　　　</v>
          </cell>
          <cell r="C916">
            <v>572360</v>
          </cell>
          <cell r="D916">
            <v>671460</v>
          </cell>
          <cell r="E916">
            <v>1243820</v>
          </cell>
          <cell r="F916">
            <v>2796884</v>
          </cell>
          <cell r="G916">
            <v>4040704</v>
          </cell>
          <cell r="H916">
            <v>610320</v>
          </cell>
        </row>
        <row r="917">
          <cell r="A917" t="str">
            <v>3034</v>
          </cell>
          <cell r="B917" t="str">
            <v>井場　博子　　　</v>
          </cell>
          <cell r="C917">
            <v>569820</v>
          </cell>
          <cell r="D917">
            <v>671460</v>
          </cell>
          <cell r="E917">
            <v>1241280</v>
          </cell>
          <cell r="F917">
            <v>2680487</v>
          </cell>
          <cell r="G917">
            <v>3921767</v>
          </cell>
          <cell r="H917">
            <v>557870</v>
          </cell>
        </row>
        <row r="918">
          <cell r="A918" t="str">
            <v>2779</v>
          </cell>
          <cell r="B918" t="str">
            <v>嘉嶋　成昭　　　</v>
          </cell>
          <cell r="C918">
            <v>565450</v>
          </cell>
          <cell r="D918">
            <v>671460</v>
          </cell>
          <cell r="E918">
            <v>1236910</v>
          </cell>
          <cell r="F918">
            <v>2610061</v>
          </cell>
          <cell r="G918">
            <v>3846971</v>
          </cell>
          <cell r="H918">
            <v>624200</v>
          </cell>
        </row>
        <row r="919">
          <cell r="A919" t="str">
            <v>2656</v>
          </cell>
          <cell r="B919" t="str">
            <v>松岡　潔　　　　</v>
          </cell>
          <cell r="C919">
            <v>590820</v>
          </cell>
          <cell r="D919">
            <v>669400</v>
          </cell>
          <cell r="E919">
            <v>1260220</v>
          </cell>
          <cell r="F919">
            <v>3360877</v>
          </cell>
          <cell r="G919">
            <v>4621097</v>
          </cell>
          <cell r="H919">
            <v>591140</v>
          </cell>
        </row>
        <row r="920">
          <cell r="A920" t="str">
            <v>2991</v>
          </cell>
          <cell r="B920" t="str">
            <v>寺尾　徹也　　　</v>
          </cell>
          <cell r="C920">
            <v>599860</v>
          </cell>
          <cell r="D920">
            <v>669300</v>
          </cell>
          <cell r="E920">
            <v>1269160</v>
          </cell>
          <cell r="F920">
            <v>3023707</v>
          </cell>
          <cell r="G920">
            <v>4292867</v>
          </cell>
          <cell r="H920">
            <v>636940</v>
          </cell>
        </row>
        <row r="921">
          <cell r="A921" t="str">
            <v>2998</v>
          </cell>
          <cell r="B921" t="str">
            <v>中村　聖一郎　　</v>
          </cell>
          <cell r="C921">
            <v>577380</v>
          </cell>
          <cell r="D921">
            <v>669300</v>
          </cell>
          <cell r="E921">
            <v>1246680</v>
          </cell>
          <cell r="F921">
            <v>3251504</v>
          </cell>
          <cell r="G921">
            <v>4498184</v>
          </cell>
          <cell r="H921">
            <v>622770</v>
          </cell>
        </row>
        <row r="922">
          <cell r="A922" t="str">
            <v>2800</v>
          </cell>
          <cell r="B922" t="str">
            <v>中本　正也　　　</v>
          </cell>
          <cell r="C922">
            <v>590820</v>
          </cell>
          <cell r="D922">
            <v>669300</v>
          </cell>
          <cell r="E922">
            <v>1260120</v>
          </cell>
          <cell r="F922">
            <v>3079470</v>
          </cell>
          <cell r="G922">
            <v>4339590</v>
          </cell>
          <cell r="H922">
            <v>622770</v>
          </cell>
        </row>
        <row r="923">
          <cell r="A923" t="str">
            <v>3015</v>
          </cell>
          <cell r="B923" t="str">
            <v>古山　秀正　　　</v>
          </cell>
          <cell r="C923">
            <v>599860</v>
          </cell>
          <cell r="D923">
            <v>669300</v>
          </cell>
          <cell r="E923">
            <v>1269160</v>
          </cell>
          <cell r="F923">
            <v>3234410</v>
          </cell>
          <cell r="G923">
            <v>4503570</v>
          </cell>
          <cell r="H923">
            <v>622770</v>
          </cell>
        </row>
        <row r="924">
          <cell r="A924" t="str">
            <v>2989</v>
          </cell>
          <cell r="B924" t="str">
            <v>土守　満　　　　</v>
          </cell>
          <cell r="C924">
            <v>597270</v>
          </cell>
          <cell r="D924">
            <v>669300</v>
          </cell>
          <cell r="E924">
            <v>1266570</v>
          </cell>
          <cell r="F924">
            <v>2684151</v>
          </cell>
          <cell r="G924">
            <v>3950721</v>
          </cell>
          <cell r="H924">
            <v>622770</v>
          </cell>
        </row>
        <row r="925">
          <cell r="A925" t="str">
            <v>3022</v>
          </cell>
          <cell r="B925" t="str">
            <v>矢島　徹　　　　</v>
          </cell>
          <cell r="C925">
            <v>584480</v>
          </cell>
          <cell r="D925">
            <v>669300</v>
          </cell>
          <cell r="E925">
            <v>1253780</v>
          </cell>
          <cell r="F925">
            <v>2635963</v>
          </cell>
          <cell r="G925">
            <v>3889743</v>
          </cell>
          <cell r="H925">
            <v>636940</v>
          </cell>
        </row>
        <row r="926">
          <cell r="A926" t="str">
            <v>2256</v>
          </cell>
          <cell r="B926" t="str">
            <v>野田　文範　　　</v>
          </cell>
          <cell r="C926">
            <v>592670</v>
          </cell>
          <cell r="D926">
            <v>668850</v>
          </cell>
          <cell r="E926">
            <v>1261520</v>
          </cell>
          <cell r="F926">
            <v>3444815</v>
          </cell>
          <cell r="G926">
            <v>4706335</v>
          </cell>
          <cell r="H926">
            <v>624430</v>
          </cell>
        </row>
        <row r="927">
          <cell r="A927" t="str">
            <v>1259</v>
          </cell>
          <cell r="B927" t="str">
            <v>倉持　喜一　　　</v>
          </cell>
          <cell r="C927">
            <v>858950</v>
          </cell>
          <cell r="D927">
            <v>668350</v>
          </cell>
          <cell r="E927">
            <v>1527300</v>
          </cell>
          <cell r="F927">
            <v>1306153</v>
          </cell>
          <cell r="G927">
            <v>2833453</v>
          </cell>
          <cell r="H927">
            <v>623920</v>
          </cell>
        </row>
        <row r="928">
          <cell r="A928" t="str">
            <v>3121</v>
          </cell>
          <cell r="B928" t="str">
            <v>高田　雅之　　　</v>
          </cell>
          <cell r="C928">
            <v>552320</v>
          </cell>
          <cell r="D928">
            <v>666300</v>
          </cell>
          <cell r="E928">
            <v>1218620</v>
          </cell>
          <cell r="F928">
            <v>2885755</v>
          </cell>
          <cell r="G928">
            <v>4104375</v>
          </cell>
          <cell r="H928">
            <v>634340</v>
          </cell>
        </row>
        <row r="929">
          <cell r="A929" t="str">
            <v>3122</v>
          </cell>
          <cell r="B929" t="str">
            <v>西崎　孝弘　　　</v>
          </cell>
          <cell r="C929">
            <v>552320</v>
          </cell>
          <cell r="D929">
            <v>666300</v>
          </cell>
          <cell r="E929">
            <v>1218620</v>
          </cell>
          <cell r="F929">
            <v>2629780</v>
          </cell>
          <cell r="G929">
            <v>3848400</v>
          </cell>
          <cell r="H929">
            <v>618920</v>
          </cell>
        </row>
        <row r="930">
          <cell r="A930" t="str">
            <v>3124</v>
          </cell>
          <cell r="B930" t="str">
            <v>原谷　昌宏　　　</v>
          </cell>
          <cell r="C930">
            <v>559020</v>
          </cell>
          <cell r="D930">
            <v>666300</v>
          </cell>
          <cell r="E930">
            <v>1225320</v>
          </cell>
          <cell r="F930">
            <v>2624995</v>
          </cell>
          <cell r="G930">
            <v>3850315</v>
          </cell>
          <cell r="H930">
            <v>621180</v>
          </cell>
        </row>
        <row r="931">
          <cell r="A931" t="str">
            <v>2983</v>
          </cell>
          <cell r="B931" t="str">
            <v>杉本　剛　　　　</v>
          </cell>
          <cell r="C931">
            <v>559720</v>
          </cell>
          <cell r="D931">
            <v>665980</v>
          </cell>
          <cell r="E931">
            <v>1225700</v>
          </cell>
          <cell r="F931">
            <v>2664333</v>
          </cell>
          <cell r="G931">
            <v>3890033</v>
          </cell>
          <cell r="H931">
            <v>607130</v>
          </cell>
        </row>
        <row r="932">
          <cell r="A932" t="str">
            <v>2960</v>
          </cell>
          <cell r="B932" t="str">
            <v>大西　豊　　　　</v>
          </cell>
          <cell r="C932">
            <v>574890</v>
          </cell>
          <cell r="D932">
            <v>665980</v>
          </cell>
          <cell r="E932">
            <v>1240870</v>
          </cell>
          <cell r="F932">
            <v>2630078</v>
          </cell>
          <cell r="G932">
            <v>3870948</v>
          </cell>
          <cell r="H932">
            <v>619660</v>
          </cell>
        </row>
        <row r="933">
          <cell r="A933" t="str">
            <v>2949</v>
          </cell>
          <cell r="B933" t="str">
            <v>荒木　健司　　　</v>
          </cell>
          <cell r="C933">
            <v>581910</v>
          </cell>
          <cell r="D933">
            <v>665980</v>
          </cell>
          <cell r="E933">
            <v>1247890</v>
          </cell>
          <cell r="F933">
            <v>2549226</v>
          </cell>
          <cell r="G933">
            <v>3797116</v>
          </cell>
          <cell r="H933">
            <v>607130</v>
          </cell>
        </row>
        <row r="934">
          <cell r="A934" t="str">
            <v>3001</v>
          </cell>
          <cell r="B934" t="str">
            <v>西川　博隆　　　</v>
          </cell>
          <cell r="C934">
            <v>584480</v>
          </cell>
          <cell r="D934">
            <v>665980</v>
          </cell>
          <cell r="E934">
            <v>1250460</v>
          </cell>
          <cell r="F934">
            <v>3227050</v>
          </cell>
          <cell r="G934">
            <v>4477510</v>
          </cell>
          <cell r="H934">
            <v>607130</v>
          </cell>
        </row>
        <row r="935">
          <cell r="A935" t="str">
            <v>2781</v>
          </cell>
          <cell r="B935" t="str">
            <v>後藤　勝宏　　　</v>
          </cell>
          <cell r="C935">
            <v>529610</v>
          </cell>
          <cell r="D935">
            <v>665980</v>
          </cell>
          <cell r="E935">
            <v>1195590</v>
          </cell>
          <cell r="F935">
            <v>2706854</v>
          </cell>
          <cell r="G935">
            <v>3902444</v>
          </cell>
          <cell r="H935">
            <v>607130</v>
          </cell>
        </row>
        <row r="936">
          <cell r="A936" t="str">
            <v>2628</v>
          </cell>
          <cell r="B936" t="str">
            <v>塩本　健造　　　</v>
          </cell>
          <cell r="C936">
            <v>596910</v>
          </cell>
          <cell r="D936">
            <v>665030</v>
          </cell>
          <cell r="E936">
            <v>1261940</v>
          </cell>
          <cell r="F936">
            <v>2680510</v>
          </cell>
          <cell r="G936">
            <v>3942450</v>
          </cell>
          <cell r="H936">
            <v>619300</v>
          </cell>
        </row>
        <row r="937">
          <cell r="A937" t="str">
            <v>3457</v>
          </cell>
          <cell r="B937" t="str">
            <v>木村　竜夫　　　</v>
          </cell>
          <cell r="C937">
            <v>173000</v>
          </cell>
          <cell r="D937">
            <v>665030</v>
          </cell>
          <cell r="E937">
            <v>838030</v>
          </cell>
          <cell r="F937">
            <v>3237056</v>
          </cell>
          <cell r="G937">
            <v>4075086</v>
          </cell>
          <cell r="H937">
            <v>619300</v>
          </cell>
        </row>
        <row r="938">
          <cell r="A938" t="str">
            <v>2285</v>
          </cell>
          <cell r="B938" t="str">
            <v>神田　晋一　　　</v>
          </cell>
          <cell r="C938">
            <v>594080</v>
          </cell>
          <cell r="D938">
            <v>664630</v>
          </cell>
          <cell r="E938">
            <v>1258710</v>
          </cell>
          <cell r="F938">
            <v>3322757</v>
          </cell>
          <cell r="G938">
            <v>4581467</v>
          </cell>
          <cell r="H938">
            <v>617850</v>
          </cell>
        </row>
        <row r="939">
          <cell r="A939" t="str">
            <v>3021</v>
          </cell>
          <cell r="B939" t="str">
            <v>森川　暢之　　　</v>
          </cell>
          <cell r="C939">
            <v>584480</v>
          </cell>
          <cell r="D939">
            <v>662640</v>
          </cell>
          <cell r="E939">
            <v>1247120</v>
          </cell>
          <cell r="F939">
            <v>3149072</v>
          </cell>
          <cell r="G939">
            <v>4396192</v>
          </cell>
          <cell r="H939">
            <v>604100</v>
          </cell>
        </row>
        <row r="940">
          <cell r="A940" t="str">
            <v>2996</v>
          </cell>
          <cell r="B940" t="str">
            <v>中辻　裕士　　　</v>
          </cell>
          <cell r="C940">
            <v>594640</v>
          </cell>
          <cell r="D940">
            <v>662640</v>
          </cell>
          <cell r="E940">
            <v>1257280</v>
          </cell>
          <cell r="F940">
            <v>2609139</v>
          </cell>
          <cell r="G940">
            <v>3866419</v>
          </cell>
          <cell r="H940">
            <v>604100</v>
          </cell>
        </row>
        <row r="941">
          <cell r="A941" t="str">
            <v>2743</v>
          </cell>
          <cell r="B941" t="str">
            <v>片岡　昇　　　　</v>
          </cell>
          <cell r="C941">
            <v>584730</v>
          </cell>
          <cell r="D941">
            <v>662640</v>
          </cell>
          <cell r="E941">
            <v>1247370</v>
          </cell>
          <cell r="F941">
            <v>2854091</v>
          </cell>
          <cell r="G941">
            <v>4101461</v>
          </cell>
          <cell r="H941">
            <v>604100</v>
          </cell>
        </row>
        <row r="942">
          <cell r="A942" t="str">
            <v>2954</v>
          </cell>
          <cell r="B942" t="str">
            <v>井関　貴雄　　　</v>
          </cell>
          <cell r="C942">
            <v>557310</v>
          </cell>
          <cell r="D942">
            <v>662640</v>
          </cell>
          <cell r="E942">
            <v>1219950</v>
          </cell>
          <cell r="F942">
            <v>3066030</v>
          </cell>
          <cell r="G942">
            <v>4285980</v>
          </cell>
          <cell r="H942">
            <v>616560</v>
          </cell>
        </row>
        <row r="943">
          <cell r="A943" t="str">
            <v>2976</v>
          </cell>
          <cell r="B943" t="str">
            <v>坂本　学　　　　</v>
          </cell>
          <cell r="C943">
            <v>554860</v>
          </cell>
          <cell r="D943">
            <v>662640</v>
          </cell>
          <cell r="E943">
            <v>1217500</v>
          </cell>
          <cell r="F943">
            <v>2621134</v>
          </cell>
          <cell r="G943">
            <v>3838634</v>
          </cell>
          <cell r="H943">
            <v>604100</v>
          </cell>
        </row>
        <row r="944">
          <cell r="A944" t="str">
            <v>2801</v>
          </cell>
          <cell r="B944" t="str">
            <v>中山　浩一　　　</v>
          </cell>
          <cell r="C944">
            <v>605920</v>
          </cell>
          <cell r="D944">
            <v>661760</v>
          </cell>
          <cell r="E944">
            <v>1267680</v>
          </cell>
          <cell r="F944">
            <v>3180890</v>
          </cell>
          <cell r="G944">
            <v>4448570</v>
          </cell>
          <cell r="H944">
            <v>628980</v>
          </cell>
        </row>
        <row r="945">
          <cell r="A945" t="str">
            <v>2810</v>
          </cell>
          <cell r="B945" t="str">
            <v>藤田　伸一　　　</v>
          </cell>
          <cell r="C945">
            <v>622650</v>
          </cell>
          <cell r="D945">
            <v>661460</v>
          </cell>
          <cell r="E945">
            <v>1284110</v>
          </cell>
          <cell r="F945">
            <v>3004685</v>
          </cell>
          <cell r="G945">
            <v>4288795</v>
          </cell>
          <cell r="H945">
            <v>616110</v>
          </cell>
        </row>
        <row r="946">
          <cell r="A946" t="str">
            <v>2798</v>
          </cell>
          <cell r="B946" t="str">
            <v>中津　雅充　　　</v>
          </cell>
          <cell r="C946">
            <v>529610</v>
          </cell>
          <cell r="D946">
            <v>659260</v>
          </cell>
          <cell r="E946">
            <v>1188870</v>
          </cell>
          <cell r="F946">
            <v>2678408</v>
          </cell>
          <cell r="G946">
            <v>3867278</v>
          </cell>
          <cell r="H946">
            <v>580860</v>
          </cell>
        </row>
        <row r="947">
          <cell r="A947" t="str">
            <v>2735</v>
          </cell>
          <cell r="B947" t="str">
            <v>原田　浩一　　　</v>
          </cell>
          <cell r="C947">
            <v>534280</v>
          </cell>
          <cell r="D947">
            <v>658550</v>
          </cell>
          <cell r="E947">
            <v>1192830</v>
          </cell>
          <cell r="F947">
            <v>3460185</v>
          </cell>
          <cell r="G947">
            <v>4653015</v>
          </cell>
          <cell r="H947">
            <v>655140</v>
          </cell>
        </row>
        <row r="948">
          <cell r="A948" t="str">
            <v>2766</v>
          </cell>
          <cell r="B948" t="str">
            <v>有本　立夫　　　</v>
          </cell>
          <cell r="C948">
            <v>593870</v>
          </cell>
          <cell r="D948">
            <v>658490</v>
          </cell>
          <cell r="E948">
            <v>1252360</v>
          </cell>
          <cell r="F948">
            <v>3000418</v>
          </cell>
          <cell r="G948">
            <v>4252778</v>
          </cell>
          <cell r="H948">
            <v>640110</v>
          </cell>
        </row>
        <row r="949">
          <cell r="A949" t="str">
            <v>2815</v>
          </cell>
          <cell r="B949" t="str">
            <v>松原　賢　　　　</v>
          </cell>
          <cell r="C949">
            <v>593870</v>
          </cell>
          <cell r="D949">
            <v>658490</v>
          </cell>
          <cell r="E949">
            <v>1252360</v>
          </cell>
          <cell r="F949">
            <v>2700688</v>
          </cell>
          <cell r="G949">
            <v>3953048</v>
          </cell>
          <cell r="H949">
            <v>592650</v>
          </cell>
        </row>
        <row r="950">
          <cell r="A950" t="str">
            <v>2952</v>
          </cell>
          <cell r="B950" t="str">
            <v>石塚　太一　　　</v>
          </cell>
          <cell r="C950">
            <v>559720</v>
          </cell>
          <cell r="D950">
            <v>658490</v>
          </cell>
          <cell r="E950">
            <v>1218210</v>
          </cell>
          <cell r="F950">
            <v>2776516</v>
          </cell>
          <cell r="G950">
            <v>3994726</v>
          </cell>
          <cell r="H950">
            <v>625870</v>
          </cell>
        </row>
        <row r="951">
          <cell r="A951" t="str">
            <v>2633</v>
          </cell>
          <cell r="B951" t="str">
            <v>鈴木　利行　　　</v>
          </cell>
          <cell r="C951">
            <v>600100</v>
          </cell>
          <cell r="D951">
            <v>658490</v>
          </cell>
          <cell r="E951">
            <v>1258590</v>
          </cell>
          <cell r="F951">
            <v>2635008</v>
          </cell>
          <cell r="G951">
            <v>3893598</v>
          </cell>
          <cell r="H951">
            <v>572090</v>
          </cell>
        </row>
        <row r="952">
          <cell r="A952" t="str">
            <v>2460</v>
          </cell>
          <cell r="B952" t="str">
            <v>浦野　靖　　　　</v>
          </cell>
          <cell r="C952">
            <v>553520</v>
          </cell>
          <cell r="D952">
            <v>657350</v>
          </cell>
          <cell r="E952">
            <v>1210870</v>
          </cell>
          <cell r="F952">
            <v>2908659</v>
          </cell>
          <cell r="G952">
            <v>4119529</v>
          </cell>
          <cell r="H952">
            <v>691470</v>
          </cell>
        </row>
        <row r="953">
          <cell r="A953" t="str">
            <v>3098</v>
          </cell>
          <cell r="B953" t="str">
            <v>名倉　章人　　　</v>
          </cell>
          <cell r="C953">
            <v>617340</v>
          </cell>
          <cell r="D953">
            <v>656520</v>
          </cell>
          <cell r="E953">
            <v>1273860</v>
          </cell>
          <cell r="F953">
            <v>3836565</v>
          </cell>
          <cell r="G953">
            <v>5110425</v>
          </cell>
          <cell r="H953">
            <v>633030</v>
          </cell>
        </row>
        <row r="954">
          <cell r="A954" t="str">
            <v>2982</v>
          </cell>
          <cell r="B954" t="str">
            <v>杉本　選矢　　　</v>
          </cell>
          <cell r="C954">
            <v>519120</v>
          </cell>
          <cell r="D954">
            <v>655930</v>
          </cell>
          <cell r="E954">
            <v>1175050</v>
          </cell>
          <cell r="F954">
            <v>2654507</v>
          </cell>
          <cell r="G954">
            <v>3829557</v>
          </cell>
          <cell r="H954">
            <v>577920</v>
          </cell>
        </row>
        <row r="955">
          <cell r="A955" t="str">
            <v>2822</v>
          </cell>
          <cell r="B955" t="str">
            <v>吉田　啓悟　　　</v>
          </cell>
          <cell r="C955">
            <v>590550</v>
          </cell>
          <cell r="D955">
            <v>655790</v>
          </cell>
          <cell r="E955">
            <v>1246340</v>
          </cell>
          <cell r="F955">
            <v>2752807</v>
          </cell>
          <cell r="G955">
            <v>3999147</v>
          </cell>
          <cell r="H955">
            <v>597920</v>
          </cell>
        </row>
        <row r="956">
          <cell r="A956" t="str">
            <v>2820</v>
          </cell>
          <cell r="B956" t="str">
            <v>山本　桂三　　　</v>
          </cell>
          <cell r="C956">
            <v>568390</v>
          </cell>
          <cell r="D956">
            <v>655220</v>
          </cell>
          <cell r="E956">
            <v>1223610</v>
          </cell>
          <cell r="F956">
            <v>2649009</v>
          </cell>
          <cell r="G956">
            <v>3872619</v>
          </cell>
          <cell r="H956">
            <v>610180</v>
          </cell>
        </row>
        <row r="957">
          <cell r="A957" t="str">
            <v>2637</v>
          </cell>
          <cell r="B957" t="str">
            <v>田中　豊之　　　</v>
          </cell>
          <cell r="C957">
            <v>557530</v>
          </cell>
          <cell r="D957">
            <v>654030</v>
          </cell>
          <cell r="E957">
            <v>1211560</v>
          </cell>
          <cell r="F957">
            <v>2738148</v>
          </cell>
          <cell r="G957">
            <v>3949708</v>
          </cell>
          <cell r="H957">
            <v>663510</v>
          </cell>
        </row>
        <row r="958">
          <cell r="A958" t="str">
            <v>2891</v>
          </cell>
          <cell r="B958" t="str">
            <v>真砂　秀代　　　</v>
          </cell>
          <cell r="C958">
            <v>572210</v>
          </cell>
          <cell r="D958">
            <v>653540</v>
          </cell>
          <cell r="E958">
            <v>1225750</v>
          </cell>
          <cell r="F958">
            <v>2470408</v>
          </cell>
          <cell r="G958">
            <v>3696158</v>
          </cell>
          <cell r="H958">
            <v>609290</v>
          </cell>
        </row>
        <row r="959">
          <cell r="A959" t="str">
            <v>3465</v>
          </cell>
          <cell r="B959" t="str">
            <v>古舘　俊和　　　</v>
          </cell>
          <cell r="C959">
            <v>150000</v>
          </cell>
          <cell r="D959">
            <v>653340</v>
          </cell>
          <cell r="E959">
            <v>803340</v>
          </cell>
          <cell r="F959">
            <v>2257299</v>
          </cell>
          <cell r="G959">
            <v>3060639</v>
          </cell>
          <cell r="H959">
            <v>631280</v>
          </cell>
        </row>
        <row r="960">
          <cell r="A960" t="str">
            <v>0354</v>
          </cell>
          <cell r="B960" t="str">
            <v>小阪　よしえ　　</v>
          </cell>
          <cell r="C960">
            <v>568780</v>
          </cell>
          <cell r="D960">
            <v>653320</v>
          </cell>
          <cell r="E960">
            <v>1222100</v>
          </cell>
          <cell r="F960">
            <v>3384258</v>
          </cell>
          <cell r="G960">
            <v>4606358</v>
          </cell>
          <cell r="H960">
            <v>571400</v>
          </cell>
        </row>
        <row r="961">
          <cell r="A961" t="str">
            <v>2805</v>
          </cell>
          <cell r="B961" t="str">
            <v>野中　英之　　　</v>
          </cell>
          <cell r="C961">
            <v>584730</v>
          </cell>
          <cell r="D961">
            <v>651970</v>
          </cell>
          <cell r="E961">
            <v>1236700</v>
          </cell>
          <cell r="F961">
            <v>2571738</v>
          </cell>
          <cell r="G961">
            <v>3808438</v>
          </cell>
          <cell r="H961">
            <v>619660</v>
          </cell>
        </row>
        <row r="962">
          <cell r="A962" t="str">
            <v>2826</v>
          </cell>
          <cell r="B962" t="str">
            <v>和田　弘　　　　</v>
          </cell>
          <cell r="C962">
            <v>584790</v>
          </cell>
          <cell r="D962">
            <v>651700</v>
          </cell>
          <cell r="E962">
            <v>1236490</v>
          </cell>
          <cell r="F962">
            <v>2444617</v>
          </cell>
          <cell r="G962">
            <v>3681107</v>
          </cell>
          <cell r="H962">
            <v>607030</v>
          </cell>
        </row>
        <row r="963">
          <cell r="A963" t="str">
            <v>3020</v>
          </cell>
          <cell r="B963" t="str">
            <v>宮本　武久　　　</v>
          </cell>
          <cell r="C963">
            <v>597270</v>
          </cell>
          <cell r="D963">
            <v>648690</v>
          </cell>
          <cell r="E963">
            <v>1245960</v>
          </cell>
          <cell r="F963">
            <v>2837540</v>
          </cell>
          <cell r="G963">
            <v>4083500</v>
          </cell>
          <cell r="H963">
            <v>604100</v>
          </cell>
        </row>
        <row r="964">
          <cell r="A964" t="str">
            <v>2663</v>
          </cell>
          <cell r="B964" t="str">
            <v>茂藤　隆広　　　</v>
          </cell>
          <cell r="C964">
            <v>565450</v>
          </cell>
          <cell r="D964">
            <v>648690</v>
          </cell>
          <cell r="E964">
            <v>1214140</v>
          </cell>
          <cell r="F964">
            <v>3217680</v>
          </cell>
          <cell r="G964">
            <v>4431820</v>
          </cell>
          <cell r="H964">
            <v>604100</v>
          </cell>
        </row>
        <row r="965">
          <cell r="A965" t="str">
            <v>2951</v>
          </cell>
          <cell r="B965" t="str">
            <v>池田　匡年　　　</v>
          </cell>
          <cell r="C965">
            <v>572360</v>
          </cell>
          <cell r="D965">
            <v>648690</v>
          </cell>
          <cell r="E965">
            <v>1221050</v>
          </cell>
          <cell r="F965">
            <v>3182429</v>
          </cell>
          <cell r="G965">
            <v>4403479</v>
          </cell>
          <cell r="H965">
            <v>616560</v>
          </cell>
        </row>
        <row r="966">
          <cell r="A966" t="str">
            <v>2945</v>
          </cell>
          <cell r="B966" t="str">
            <v>浅野　俊博　　　</v>
          </cell>
          <cell r="C966">
            <v>584480</v>
          </cell>
          <cell r="D966">
            <v>648690</v>
          </cell>
          <cell r="E966">
            <v>1233170</v>
          </cell>
          <cell r="F966">
            <v>2782256</v>
          </cell>
          <cell r="G966">
            <v>4015426</v>
          </cell>
          <cell r="H966">
            <v>616560</v>
          </cell>
        </row>
        <row r="967">
          <cell r="A967" t="str">
            <v>2957</v>
          </cell>
          <cell r="B967" t="str">
            <v>岩渕　英明　　　</v>
          </cell>
          <cell r="C967">
            <v>581910</v>
          </cell>
          <cell r="D967">
            <v>648690</v>
          </cell>
          <cell r="E967">
            <v>1230600</v>
          </cell>
          <cell r="F967">
            <v>2762515</v>
          </cell>
          <cell r="G967">
            <v>3993115</v>
          </cell>
          <cell r="H967">
            <v>616560</v>
          </cell>
        </row>
        <row r="968">
          <cell r="A968" t="str">
            <v>2971</v>
          </cell>
          <cell r="B968" t="str">
            <v>黒岡　禎文　　　</v>
          </cell>
          <cell r="C968">
            <v>537350</v>
          </cell>
          <cell r="D968">
            <v>648690</v>
          </cell>
          <cell r="E968">
            <v>1186040</v>
          </cell>
          <cell r="F968">
            <v>2717638</v>
          </cell>
          <cell r="G968">
            <v>3903678</v>
          </cell>
          <cell r="H968">
            <v>583840</v>
          </cell>
        </row>
        <row r="969">
          <cell r="A969" t="str">
            <v>2992</v>
          </cell>
          <cell r="B969" t="str">
            <v>戸張　雅実　　　</v>
          </cell>
          <cell r="C969">
            <v>554860</v>
          </cell>
          <cell r="D969">
            <v>648690</v>
          </cell>
          <cell r="E969">
            <v>1203550</v>
          </cell>
          <cell r="F969">
            <v>3303930</v>
          </cell>
          <cell r="G969">
            <v>4507480</v>
          </cell>
          <cell r="H969">
            <v>588510</v>
          </cell>
        </row>
        <row r="970">
          <cell r="A970" t="str">
            <v>2783</v>
          </cell>
          <cell r="B970" t="str">
            <v>坂本　圭司　　　</v>
          </cell>
          <cell r="C970">
            <v>584790</v>
          </cell>
          <cell r="D970">
            <v>648460</v>
          </cell>
          <cell r="E970">
            <v>1233250</v>
          </cell>
          <cell r="F970">
            <v>2575140</v>
          </cell>
          <cell r="G970">
            <v>3808390</v>
          </cell>
          <cell r="H970">
            <v>603990</v>
          </cell>
        </row>
        <row r="971">
          <cell r="A971" t="str">
            <v>2844</v>
          </cell>
          <cell r="B971" t="str">
            <v>河崎　多佳子　　</v>
          </cell>
          <cell r="C971">
            <v>572860</v>
          </cell>
          <cell r="D971">
            <v>648460</v>
          </cell>
          <cell r="E971">
            <v>1221320</v>
          </cell>
          <cell r="F971">
            <v>2400762</v>
          </cell>
          <cell r="G971">
            <v>3622082</v>
          </cell>
          <cell r="H971">
            <v>603990</v>
          </cell>
        </row>
        <row r="972">
          <cell r="A972" t="str">
            <v>2796</v>
          </cell>
          <cell r="B972" t="str">
            <v>中島　賢治　　　</v>
          </cell>
          <cell r="C972">
            <v>572860</v>
          </cell>
          <cell r="D972">
            <v>648460</v>
          </cell>
          <cell r="E972">
            <v>1221320</v>
          </cell>
          <cell r="F972">
            <v>2937292</v>
          </cell>
          <cell r="G972">
            <v>4158612</v>
          </cell>
          <cell r="H972">
            <v>603990</v>
          </cell>
        </row>
        <row r="973">
          <cell r="A973" t="str">
            <v>2767</v>
          </cell>
          <cell r="B973" t="str">
            <v>池永　昌治　　　</v>
          </cell>
          <cell r="C973">
            <v>572860</v>
          </cell>
          <cell r="D973">
            <v>648460</v>
          </cell>
          <cell r="E973">
            <v>1221320</v>
          </cell>
          <cell r="F973">
            <v>3093586</v>
          </cell>
          <cell r="G973">
            <v>4314906</v>
          </cell>
          <cell r="H973">
            <v>603990</v>
          </cell>
        </row>
        <row r="974">
          <cell r="A974" t="str">
            <v>3431</v>
          </cell>
          <cell r="B974" t="str">
            <v>佐藤　道夫　　　</v>
          </cell>
          <cell r="C974">
            <v>604860</v>
          </cell>
          <cell r="D974">
            <v>648130</v>
          </cell>
          <cell r="E974">
            <v>1252990</v>
          </cell>
          <cell r="F974">
            <v>3021622</v>
          </cell>
          <cell r="G974">
            <v>4274612</v>
          </cell>
          <cell r="H974">
            <v>551210</v>
          </cell>
        </row>
        <row r="975">
          <cell r="A975" t="str">
            <v>3454</v>
          </cell>
          <cell r="B975" t="str">
            <v>溝口　宗平　　　</v>
          </cell>
          <cell r="C975">
            <v>515790</v>
          </cell>
          <cell r="D975">
            <v>648050</v>
          </cell>
          <cell r="E975">
            <v>1163840</v>
          </cell>
          <cell r="F975">
            <v>3275560</v>
          </cell>
          <cell r="G975">
            <v>4439400</v>
          </cell>
          <cell r="H975">
            <v>562500</v>
          </cell>
        </row>
        <row r="976">
          <cell r="A976" t="str">
            <v>2978</v>
          </cell>
          <cell r="B976" t="str">
            <v>佐藤　吉一　　　</v>
          </cell>
          <cell r="C976">
            <v>547540</v>
          </cell>
          <cell r="D976">
            <v>645920</v>
          </cell>
          <cell r="E976">
            <v>1193460</v>
          </cell>
          <cell r="F976">
            <v>2336554</v>
          </cell>
          <cell r="G976">
            <v>3530014</v>
          </cell>
          <cell r="H976">
            <v>601000</v>
          </cell>
        </row>
        <row r="977">
          <cell r="A977" t="str">
            <v>3003</v>
          </cell>
          <cell r="B977" t="str">
            <v>西村　謙介　　　</v>
          </cell>
          <cell r="C977">
            <v>579330</v>
          </cell>
          <cell r="D977">
            <v>645390</v>
          </cell>
          <cell r="E977">
            <v>1224720</v>
          </cell>
          <cell r="F977">
            <v>2415760</v>
          </cell>
          <cell r="G977">
            <v>3640480</v>
          </cell>
          <cell r="H977">
            <v>601020</v>
          </cell>
        </row>
        <row r="978">
          <cell r="A978" t="str">
            <v>2806</v>
          </cell>
          <cell r="B978" t="str">
            <v>浜田　裕一　　　</v>
          </cell>
          <cell r="C978">
            <v>581770</v>
          </cell>
          <cell r="D978">
            <v>645210</v>
          </cell>
          <cell r="E978">
            <v>1226980</v>
          </cell>
          <cell r="F978">
            <v>2466698</v>
          </cell>
          <cell r="G978">
            <v>3693678</v>
          </cell>
          <cell r="H978">
            <v>600980</v>
          </cell>
        </row>
        <row r="979">
          <cell r="A979" t="str">
            <v>2959</v>
          </cell>
          <cell r="B979" t="str">
            <v>榎園　純一　　　</v>
          </cell>
          <cell r="C979">
            <v>556450</v>
          </cell>
          <cell r="D979">
            <v>645210</v>
          </cell>
          <cell r="E979">
            <v>1201660</v>
          </cell>
          <cell r="F979">
            <v>2507402</v>
          </cell>
          <cell r="G979">
            <v>3709062</v>
          </cell>
          <cell r="H979">
            <v>600980</v>
          </cell>
        </row>
        <row r="980">
          <cell r="A980" t="str">
            <v>3002</v>
          </cell>
          <cell r="B980" t="str">
            <v>西田　泰士　　　</v>
          </cell>
          <cell r="C980">
            <v>556450</v>
          </cell>
          <cell r="D980">
            <v>645210</v>
          </cell>
          <cell r="E980">
            <v>1201660</v>
          </cell>
          <cell r="F980">
            <v>2712342</v>
          </cell>
          <cell r="G980">
            <v>3914002</v>
          </cell>
          <cell r="H980">
            <v>613450</v>
          </cell>
        </row>
        <row r="981">
          <cell r="A981" t="str">
            <v>2773</v>
          </cell>
          <cell r="B981" t="str">
            <v>氏林　睦生　　　</v>
          </cell>
          <cell r="C981">
            <v>581770</v>
          </cell>
          <cell r="D981">
            <v>645210</v>
          </cell>
          <cell r="E981">
            <v>1226980</v>
          </cell>
          <cell r="F981">
            <v>3576560</v>
          </cell>
          <cell r="G981">
            <v>4803540</v>
          </cell>
          <cell r="H981">
            <v>600980</v>
          </cell>
        </row>
        <row r="982">
          <cell r="A982" t="str">
            <v>2799</v>
          </cell>
          <cell r="B982" t="str">
            <v>中村　仁弥　　　</v>
          </cell>
          <cell r="C982">
            <v>581770</v>
          </cell>
          <cell r="D982">
            <v>645210</v>
          </cell>
          <cell r="E982">
            <v>1226980</v>
          </cell>
          <cell r="F982">
            <v>2469543</v>
          </cell>
          <cell r="G982">
            <v>3696523</v>
          </cell>
          <cell r="H982">
            <v>588510</v>
          </cell>
        </row>
        <row r="983">
          <cell r="A983" t="str">
            <v>2962</v>
          </cell>
          <cell r="B983" t="str">
            <v>大村　忠仁　　　</v>
          </cell>
          <cell r="C983">
            <v>566000</v>
          </cell>
          <cell r="D983">
            <v>645210</v>
          </cell>
          <cell r="E983">
            <v>1211210</v>
          </cell>
          <cell r="F983">
            <v>2662788</v>
          </cell>
          <cell r="G983">
            <v>3873998</v>
          </cell>
          <cell r="H983">
            <v>566450</v>
          </cell>
        </row>
        <row r="984">
          <cell r="A984" t="str">
            <v>2817</v>
          </cell>
          <cell r="B984" t="str">
            <v>山口　剛史　　　</v>
          </cell>
          <cell r="C984">
            <v>584790</v>
          </cell>
          <cell r="D984">
            <v>645210</v>
          </cell>
          <cell r="E984">
            <v>1230000</v>
          </cell>
          <cell r="F984">
            <v>2779248</v>
          </cell>
          <cell r="G984">
            <v>4009248</v>
          </cell>
          <cell r="H984">
            <v>600980</v>
          </cell>
        </row>
        <row r="985">
          <cell r="A985" t="str">
            <v>2830</v>
          </cell>
          <cell r="B985" t="str">
            <v>岡本　洋　　　　</v>
          </cell>
          <cell r="C985">
            <v>553100</v>
          </cell>
          <cell r="D985">
            <v>644970</v>
          </cell>
          <cell r="E985">
            <v>1198070</v>
          </cell>
          <cell r="F985">
            <v>2976649</v>
          </cell>
          <cell r="G985">
            <v>4174719</v>
          </cell>
          <cell r="H985">
            <v>561410</v>
          </cell>
        </row>
        <row r="986">
          <cell r="A986" t="str">
            <v>2665</v>
          </cell>
          <cell r="B986" t="str">
            <v>森口　宏明　　　</v>
          </cell>
          <cell r="C986">
            <v>549000</v>
          </cell>
          <cell r="D986">
            <v>644040</v>
          </cell>
          <cell r="E986">
            <v>1193040</v>
          </cell>
          <cell r="F986">
            <v>2689040</v>
          </cell>
          <cell r="G986">
            <v>3882080</v>
          </cell>
          <cell r="H986">
            <v>608230</v>
          </cell>
        </row>
        <row r="987">
          <cell r="A987" t="str">
            <v>0425</v>
          </cell>
          <cell r="B987" t="str">
            <v>岡田　千代子　　</v>
          </cell>
          <cell r="C987">
            <v>580760</v>
          </cell>
          <cell r="D987">
            <v>643080</v>
          </cell>
          <cell r="E987">
            <v>1223840</v>
          </cell>
          <cell r="F987">
            <v>3030256</v>
          </cell>
          <cell r="G987">
            <v>4254096</v>
          </cell>
          <cell r="H987">
            <v>582530</v>
          </cell>
        </row>
        <row r="988">
          <cell r="A988" t="str">
            <v>2984</v>
          </cell>
          <cell r="B988" t="str">
            <v>瀬木　雅文　　　</v>
          </cell>
          <cell r="C988">
            <v>566000</v>
          </cell>
          <cell r="D988">
            <v>641920</v>
          </cell>
          <cell r="E988">
            <v>1207920</v>
          </cell>
          <cell r="F988">
            <v>2402477</v>
          </cell>
          <cell r="G988">
            <v>3610397</v>
          </cell>
          <cell r="H988">
            <v>585510</v>
          </cell>
        </row>
        <row r="989">
          <cell r="A989" t="str">
            <v>2974</v>
          </cell>
          <cell r="B989" t="str">
            <v>近藤　昌司　　　</v>
          </cell>
          <cell r="C989">
            <v>577380</v>
          </cell>
          <cell r="D989">
            <v>640800</v>
          </cell>
          <cell r="E989">
            <v>1218180</v>
          </cell>
          <cell r="F989">
            <v>2779153</v>
          </cell>
          <cell r="G989">
            <v>3997333</v>
          </cell>
          <cell r="H989">
            <v>597400</v>
          </cell>
        </row>
        <row r="990">
          <cell r="A990" t="str">
            <v>2385</v>
          </cell>
          <cell r="B990" t="str">
            <v>小西　一広　　　</v>
          </cell>
          <cell r="C990">
            <v>548190</v>
          </cell>
          <cell r="D990">
            <v>640670</v>
          </cell>
          <cell r="E990">
            <v>1188860</v>
          </cell>
          <cell r="F990">
            <v>2531323</v>
          </cell>
          <cell r="G990">
            <v>3720183</v>
          </cell>
          <cell r="H990">
            <v>538180</v>
          </cell>
        </row>
        <row r="991">
          <cell r="A991" t="str">
            <v>0427</v>
          </cell>
          <cell r="B991" t="str">
            <v>中島　好美　　　</v>
          </cell>
          <cell r="C991">
            <v>555130</v>
          </cell>
          <cell r="D991">
            <v>640080</v>
          </cell>
          <cell r="E991">
            <v>1195210</v>
          </cell>
          <cell r="F991">
            <v>2891795</v>
          </cell>
          <cell r="G991">
            <v>4087005</v>
          </cell>
          <cell r="H991">
            <v>540060</v>
          </cell>
        </row>
        <row r="992">
          <cell r="A992" t="str">
            <v>3085</v>
          </cell>
          <cell r="B992" t="str">
            <v>杉本　啓　　　　</v>
          </cell>
          <cell r="C992">
            <v>575720</v>
          </cell>
          <cell r="D992">
            <v>638670</v>
          </cell>
          <cell r="E992">
            <v>1214390</v>
          </cell>
          <cell r="F992">
            <v>2519620</v>
          </cell>
          <cell r="G992">
            <v>3734010</v>
          </cell>
          <cell r="H992">
            <v>594890</v>
          </cell>
        </row>
        <row r="993">
          <cell r="A993" t="str">
            <v>3028</v>
          </cell>
          <cell r="B993" t="str">
            <v>横沼　敏孝　　　</v>
          </cell>
          <cell r="C993">
            <v>563490</v>
          </cell>
          <cell r="D993">
            <v>638670</v>
          </cell>
          <cell r="E993">
            <v>1202160</v>
          </cell>
          <cell r="F993">
            <v>2535950</v>
          </cell>
          <cell r="G993">
            <v>3738110</v>
          </cell>
          <cell r="H993">
            <v>594890</v>
          </cell>
        </row>
        <row r="994">
          <cell r="A994" t="str">
            <v>2780</v>
          </cell>
          <cell r="B994" t="str">
            <v>木本　修司　　　</v>
          </cell>
          <cell r="C994">
            <v>575830</v>
          </cell>
          <cell r="D994">
            <v>637610</v>
          </cell>
          <cell r="E994">
            <v>1213440</v>
          </cell>
          <cell r="F994">
            <v>3279344</v>
          </cell>
          <cell r="G994">
            <v>4492784</v>
          </cell>
          <cell r="H994">
            <v>607030</v>
          </cell>
        </row>
        <row r="995">
          <cell r="A995" t="str">
            <v>0423</v>
          </cell>
          <cell r="B995" t="str">
            <v>岩井　愛子　　　</v>
          </cell>
          <cell r="C995">
            <v>571810</v>
          </cell>
          <cell r="D995">
            <v>636850</v>
          </cell>
          <cell r="E995">
            <v>1208660</v>
          </cell>
          <cell r="F995">
            <v>2999758</v>
          </cell>
          <cell r="G995">
            <v>4208418</v>
          </cell>
          <cell r="H995">
            <v>577900</v>
          </cell>
        </row>
        <row r="996">
          <cell r="A996" t="str">
            <v>0487</v>
          </cell>
          <cell r="B996" t="str">
            <v>岩井　弘子　　　</v>
          </cell>
          <cell r="C996">
            <v>552210</v>
          </cell>
          <cell r="D996">
            <v>635750</v>
          </cell>
          <cell r="E996">
            <v>1187960</v>
          </cell>
          <cell r="F996">
            <v>3171011</v>
          </cell>
          <cell r="G996">
            <v>4358971</v>
          </cell>
          <cell r="H996">
            <v>557180</v>
          </cell>
        </row>
        <row r="997">
          <cell r="A997" t="str">
            <v>2775</v>
          </cell>
          <cell r="B997" t="str">
            <v>大重　司　　　　</v>
          </cell>
          <cell r="C997">
            <v>562510</v>
          </cell>
          <cell r="D997">
            <v>635600</v>
          </cell>
          <cell r="E997">
            <v>1198110</v>
          </cell>
          <cell r="F997">
            <v>2999900</v>
          </cell>
          <cell r="G997">
            <v>4198010</v>
          </cell>
          <cell r="H997">
            <v>604110</v>
          </cell>
        </row>
        <row r="998">
          <cell r="A998" t="str">
            <v>1111</v>
          </cell>
          <cell r="B998" t="str">
            <v>春戸　喜代美　　</v>
          </cell>
          <cell r="C998">
            <v>567780</v>
          </cell>
          <cell r="D998">
            <v>635200</v>
          </cell>
          <cell r="E998">
            <v>1202980</v>
          </cell>
          <cell r="F998">
            <v>3053498</v>
          </cell>
          <cell r="G998">
            <v>4256478</v>
          </cell>
          <cell r="H998">
            <v>573160</v>
          </cell>
        </row>
        <row r="999">
          <cell r="A999" t="str">
            <v>2879</v>
          </cell>
          <cell r="B999" t="str">
            <v>四方　雅人　　　</v>
          </cell>
          <cell r="C999">
            <v>572860</v>
          </cell>
          <cell r="D999">
            <v>634450</v>
          </cell>
          <cell r="E999">
            <v>1207310</v>
          </cell>
          <cell r="F999">
            <v>2776308</v>
          </cell>
          <cell r="G999">
            <v>3983618</v>
          </cell>
          <cell r="H999">
            <v>603990</v>
          </cell>
        </row>
        <row r="1000">
          <cell r="A1000" t="str">
            <v>3424</v>
          </cell>
          <cell r="B1000" t="str">
            <v>横矢　秀博　　　</v>
          </cell>
          <cell r="C1000">
            <v>566460</v>
          </cell>
          <cell r="D1000">
            <v>634450</v>
          </cell>
          <cell r="E1000">
            <v>1200910</v>
          </cell>
          <cell r="F1000">
            <v>2529884</v>
          </cell>
          <cell r="G1000">
            <v>3730794</v>
          </cell>
          <cell r="H1000">
            <v>591460</v>
          </cell>
        </row>
        <row r="1001">
          <cell r="A1001" t="str">
            <v>2709</v>
          </cell>
          <cell r="B1001" t="str">
            <v>木山　東希子　　</v>
          </cell>
          <cell r="C1001">
            <v>575830</v>
          </cell>
          <cell r="D1001">
            <v>634450</v>
          </cell>
          <cell r="E1001">
            <v>1210280</v>
          </cell>
          <cell r="F1001">
            <v>2435720</v>
          </cell>
          <cell r="G1001">
            <v>3646000</v>
          </cell>
          <cell r="H1001">
            <v>591460</v>
          </cell>
        </row>
        <row r="1002">
          <cell r="A1002" t="str">
            <v>2791</v>
          </cell>
          <cell r="B1002" t="str">
            <v>田中　稔　　　　</v>
          </cell>
          <cell r="C1002">
            <v>572860</v>
          </cell>
          <cell r="D1002">
            <v>634450</v>
          </cell>
          <cell r="E1002">
            <v>1207310</v>
          </cell>
          <cell r="F1002">
            <v>2415918</v>
          </cell>
          <cell r="G1002">
            <v>3623228</v>
          </cell>
          <cell r="H1002">
            <v>591460</v>
          </cell>
        </row>
        <row r="1003">
          <cell r="A1003" t="str">
            <v>2958</v>
          </cell>
          <cell r="B1003" t="str">
            <v>植岡　義貴　　　</v>
          </cell>
          <cell r="C1003">
            <v>558910</v>
          </cell>
          <cell r="D1003">
            <v>634450</v>
          </cell>
          <cell r="E1003">
            <v>1193360</v>
          </cell>
          <cell r="F1003">
            <v>2724716</v>
          </cell>
          <cell r="G1003">
            <v>3918076</v>
          </cell>
          <cell r="H1003">
            <v>591460</v>
          </cell>
        </row>
        <row r="1004">
          <cell r="A1004" t="str">
            <v>0424</v>
          </cell>
          <cell r="B1004" t="str">
            <v>辻村　静枝　　　</v>
          </cell>
          <cell r="C1004">
            <v>569110</v>
          </cell>
          <cell r="D1004">
            <v>632850</v>
          </cell>
          <cell r="E1004">
            <v>1201960</v>
          </cell>
          <cell r="F1004">
            <v>2952973</v>
          </cell>
          <cell r="G1004">
            <v>4154933</v>
          </cell>
          <cell r="H1004">
            <v>553480</v>
          </cell>
        </row>
        <row r="1005">
          <cell r="A1005" t="str">
            <v>3140</v>
          </cell>
          <cell r="B1005" t="str">
            <v>剱持　昌史　　　</v>
          </cell>
          <cell r="C1005">
            <v>533400</v>
          </cell>
          <cell r="D1005">
            <v>632660</v>
          </cell>
          <cell r="E1005">
            <v>1166060</v>
          </cell>
          <cell r="F1005">
            <v>2593862</v>
          </cell>
          <cell r="G1005">
            <v>3759922</v>
          </cell>
          <cell r="H1005">
            <v>593680</v>
          </cell>
        </row>
        <row r="1006">
          <cell r="A1006" t="str">
            <v>3239</v>
          </cell>
          <cell r="B1006" t="str">
            <v>石田　英明　　　</v>
          </cell>
          <cell r="C1006">
            <v>593620</v>
          </cell>
          <cell r="D1006">
            <v>631890</v>
          </cell>
          <cell r="E1006">
            <v>1225510</v>
          </cell>
          <cell r="F1006">
            <v>3140534</v>
          </cell>
          <cell r="G1006">
            <v>4366044</v>
          </cell>
          <cell r="H1006">
            <v>609290</v>
          </cell>
        </row>
        <row r="1007">
          <cell r="A1007" t="str">
            <v>3012</v>
          </cell>
          <cell r="B1007" t="str">
            <v>福原　武人　　　</v>
          </cell>
          <cell r="C1007">
            <v>581910</v>
          </cell>
          <cell r="D1007">
            <v>631260</v>
          </cell>
          <cell r="E1007">
            <v>1213170</v>
          </cell>
          <cell r="F1007">
            <v>2497142</v>
          </cell>
          <cell r="G1007">
            <v>3710312</v>
          </cell>
          <cell r="H1007">
            <v>600980</v>
          </cell>
        </row>
        <row r="1008">
          <cell r="A1008" t="str">
            <v>2973</v>
          </cell>
          <cell r="B1008" t="str">
            <v>小林　郁夫　　　</v>
          </cell>
          <cell r="C1008">
            <v>594640</v>
          </cell>
          <cell r="D1008">
            <v>631260</v>
          </cell>
          <cell r="E1008">
            <v>1225900</v>
          </cell>
          <cell r="F1008">
            <v>2745414</v>
          </cell>
          <cell r="G1008">
            <v>3971314</v>
          </cell>
          <cell r="H1008">
            <v>588510</v>
          </cell>
        </row>
        <row r="1009">
          <cell r="A1009" t="str">
            <v>2789</v>
          </cell>
          <cell r="B1009" t="str">
            <v>高橋　伸志　　　</v>
          </cell>
          <cell r="C1009">
            <v>569900</v>
          </cell>
          <cell r="D1009">
            <v>631260</v>
          </cell>
          <cell r="E1009">
            <v>1201160</v>
          </cell>
          <cell r="F1009">
            <v>3424013</v>
          </cell>
          <cell r="G1009">
            <v>4625173</v>
          </cell>
          <cell r="H1009">
            <v>588510</v>
          </cell>
        </row>
        <row r="1010">
          <cell r="A1010" t="str">
            <v>3096</v>
          </cell>
          <cell r="B1010" t="str">
            <v>白方　宏一　　　</v>
          </cell>
          <cell r="C1010">
            <v>572860</v>
          </cell>
          <cell r="D1010">
            <v>631260</v>
          </cell>
          <cell r="E1010">
            <v>1204120</v>
          </cell>
          <cell r="F1010">
            <v>3202054</v>
          </cell>
          <cell r="G1010">
            <v>4406174</v>
          </cell>
          <cell r="H1010">
            <v>588510</v>
          </cell>
        </row>
        <row r="1011">
          <cell r="A1011" t="str">
            <v>3073</v>
          </cell>
          <cell r="B1011" t="str">
            <v>松井　貴美　　　</v>
          </cell>
          <cell r="C1011">
            <v>556450</v>
          </cell>
          <cell r="D1011">
            <v>631260</v>
          </cell>
          <cell r="E1011">
            <v>1187710</v>
          </cell>
          <cell r="F1011">
            <v>2449759</v>
          </cell>
          <cell r="G1011">
            <v>3637469</v>
          </cell>
          <cell r="H1011">
            <v>600980</v>
          </cell>
        </row>
        <row r="1012">
          <cell r="A1012" t="str">
            <v>2797</v>
          </cell>
          <cell r="B1012" t="str">
            <v>中田　義広　　　</v>
          </cell>
          <cell r="C1012">
            <v>569900</v>
          </cell>
          <cell r="D1012">
            <v>631260</v>
          </cell>
          <cell r="E1012">
            <v>1201160</v>
          </cell>
          <cell r="F1012">
            <v>2670242</v>
          </cell>
          <cell r="G1012">
            <v>3871402</v>
          </cell>
          <cell r="H1012">
            <v>588510</v>
          </cell>
        </row>
        <row r="1013">
          <cell r="A1013" t="str">
            <v>3039</v>
          </cell>
          <cell r="B1013" t="str">
            <v>矢野　博子　　　</v>
          </cell>
          <cell r="C1013">
            <v>556450</v>
          </cell>
          <cell r="D1013">
            <v>631260</v>
          </cell>
          <cell r="E1013">
            <v>1187710</v>
          </cell>
          <cell r="F1013">
            <v>2459967</v>
          </cell>
          <cell r="G1013">
            <v>3647677</v>
          </cell>
          <cell r="H1013">
            <v>600980</v>
          </cell>
        </row>
        <row r="1014">
          <cell r="A1014" t="str">
            <v>2953</v>
          </cell>
          <cell r="B1014" t="str">
            <v>石塚　孝幸　　　</v>
          </cell>
          <cell r="C1014">
            <v>556450</v>
          </cell>
          <cell r="D1014">
            <v>631260</v>
          </cell>
          <cell r="E1014">
            <v>1187710</v>
          </cell>
          <cell r="F1014">
            <v>2608330</v>
          </cell>
          <cell r="G1014">
            <v>3796040</v>
          </cell>
          <cell r="H1014">
            <v>588510</v>
          </cell>
        </row>
        <row r="1015">
          <cell r="A1015" t="str">
            <v>2845</v>
          </cell>
          <cell r="B1015" t="str">
            <v>小岩　千香子　　</v>
          </cell>
          <cell r="C1015">
            <v>569900</v>
          </cell>
          <cell r="D1015">
            <v>631260</v>
          </cell>
          <cell r="E1015">
            <v>1201160</v>
          </cell>
          <cell r="F1015">
            <v>2565141</v>
          </cell>
          <cell r="G1015">
            <v>3766301</v>
          </cell>
          <cell r="H1015">
            <v>588510</v>
          </cell>
        </row>
        <row r="1016">
          <cell r="A1016" t="str">
            <v>3135</v>
          </cell>
          <cell r="B1016" t="str">
            <v>河合　充司　　　</v>
          </cell>
          <cell r="C1016">
            <v>533400</v>
          </cell>
          <cell r="D1016">
            <v>629950</v>
          </cell>
          <cell r="E1016">
            <v>1163350</v>
          </cell>
          <cell r="F1016">
            <v>3165048</v>
          </cell>
          <cell r="G1016">
            <v>4328398</v>
          </cell>
          <cell r="H1016">
            <v>614880</v>
          </cell>
        </row>
        <row r="1017">
          <cell r="A1017" t="str">
            <v>3166</v>
          </cell>
          <cell r="B1017" t="str">
            <v>福島　浩道　　　</v>
          </cell>
          <cell r="C1017">
            <v>549110</v>
          </cell>
          <cell r="D1017">
            <v>629950</v>
          </cell>
          <cell r="E1017">
            <v>1179060</v>
          </cell>
          <cell r="F1017">
            <v>2617151</v>
          </cell>
          <cell r="G1017">
            <v>3796211</v>
          </cell>
          <cell r="H1017">
            <v>591130</v>
          </cell>
        </row>
        <row r="1018">
          <cell r="A1018" t="str">
            <v>3183</v>
          </cell>
          <cell r="B1018" t="str">
            <v>山田　麻里　　　</v>
          </cell>
          <cell r="C1018">
            <v>533400</v>
          </cell>
          <cell r="D1018">
            <v>629950</v>
          </cell>
          <cell r="E1018">
            <v>1163350</v>
          </cell>
          <cell r="F1018">
            <v>2626077</v>
          </cell>
          <cell r="G1018">
            <v>3789427</v>
          </cell>
          <cell r="H1018">
            <v>591130</v>
          </cell>
        </row>
        <row r="1019">
          <cell r="A1019" t="str">
            <v>3160</v>
          </cell>
          <cell r="B1019" t="str">
            <v>中村　博文　　　</v>
          </cell>
          <cell r="C1019">
            <v>533400</v>
          </cell>
          <cell r="D1019">
            <v>629950</v>
          </cell>
          <cell r="E1019">
            <v>1163350</v>
          </cell>
          <cell r="F1019">
            <v>2656658</v>
          </cell>
          <cell r="G1019">
            <v>3820008</v>
          </cell>
          <cell r="H1019">
            <v>614880</v>
          </cell>
        </row>
        <row r="1020">
          <cell r="A1020" t="str">
            <v>3126</v>
          </cell>
          <cell r="B1020" t="str">
            <v>井上　勝二　　　</v>
          </cell>
          <cell r="C1020">
            <v>549110</v>
          </cell>
          <cell r="D1020">
            <v>629950</v>
          </cell>
          <cell r="E1020">
            <v>1179060</v>
          </cell>
          <cell r="F1020">
            <v>2854107</v>
          </cell>
          <cell r="G1020">
            <v>4033167</v>
          </cell>
          <cell r="H1020">
            <v>603800</v>
          </cell>
        </row>
        <row r="1021">
          <cell r="A1021" t="str">
            <v>2167</v>
          </cell>
          <cell r="B1021" t="str">
            <v>小西　房子　　　</v>
          </cell>
          <cell r="C1021">
            <v>563120</v>
          </cell>
          <cell r="D1021">
            <v>629460</v>
          </cell>
          <cell r="E1021">
            <v>1192580</v>
          </cell>
          <cell r="F1021">
            <v>3006360</v>
          </cell>
          <cell r="G1021">
            <v>4198940</v>
          </cell>
          <cell r="H1021">
            <v>588030</v>
          </cell>
        </row>
        <row r="1022">
          <cell r="A1022" t="str">
            <v>2287</v>
          </cell>
          <cell r="B1022" t="str">
            <v>佐々木　信一　　</v>
          </cell>
          <cell r="C1022">
            <v>562510</v>
          </cell>
          <cell r="D1022">
            <v>629190</v>
          </cell>
          <cell r="E1022">
            <v>1191700</v>
          </cell>
          <cell r="F1022">
            <v>2880820</v>
          </cell>
          <cell r="G1022">
            <v>4072520</v>
          </cell>
          <cell r="H1022">
            <v>607130</v>
          </cell>
        </row>
        <row r="1023">
          <cell r="A1023" t="str">
            <v>2938</v>
          </cell>
          <cell r="B1023" t="str">
            <v>片岡　みどり　　</v>
          </cell>
          <cell r="C1023">
            <v>566630</v>
          </cell>
          <cell r="D1023">
            <v>628920</v>
          </cell>
          <cell r="E1023">
            <v>1195550</v>
          </cell>
          <cell r="F1023">
            <v>2758564</v>
          </cell>
          <cell r="G1023">
            <v>3954114</v>
          </cell>
          <cell r="H1023">
            <v>585810</v>
          </cell>
        </row>
        <row r="1024">
          <cell r="A1024" t="str">
            <v>3263</v>
          </cell>
          <cell r="B1024" t="str">
            <v>石川　進　　　　</v>
          </cell>
          <cell r="C1024">
            <v>572210</v>
          </cell>
          <cell r="D1024">
            <v>628820</v>
          </cell>
          <cell r="E1024">
            <v>1201030</v>
          </cell>
          <cell r="F1024">
            <v>2884010</v>
          </cell>
          <cell r="G1024">
            <v>4085040</v>
          </cell>
          <cell r="H1024">
            <v>587060</v>
          </cell>
        </row>
        <row r="1025">
          <cell r="A1025" t="str">
            <v>2968</v>
          </cell>
          <cell r="B1025" t="str">
            <v>北畑　秀修　　　</v>
          </cell>
          <cell r="C1025">
            <v>556450</v>
          </cell>
          <cell r="D1025">
            <v>628040</v>
          </cell>
          <cell r="E1025">
            <v>1184490</v>
          </cell>
          <cell r="F1025">
            <v>2339129</v>
          </cell>
          <cell r="G1025">
            <v>3523619</v>
          </cell>
          <cell r="H1025">
            <v>585510</v>
          </cell>
        </row>
        <row r="1026">
          <cell r="A1026" t="str">
            <v>3006</v>
          </cell>
          <cell r="B1026" t="str">
            <v>長谷川　義則　　</v>
          </cell>
          <cell r="C1026">
            <v>553980</v>
          </cell>
          <cell r="D1026">
            <v>628040</v>
          </cell>
          <cell r="E1026">
            <v>1182020</v>
          </cell>
          <cell r="F1026">
            <v>2745712</v>
          </cell>
          <cell r="G1026">
            <v>3927732</v>
          </cell>
          <cell r="H1026">
            <v>585510</v>
          </cell>
        </row>
        <row r="1027">
          <cell r="A1027" t="str">
            <v>2790</v>
          </cell>
          <cell r="B1027" t="str">
            <v>瀧本　博之　　　</v>
          </cell>
          <cell r="C1027">
            <v>566940</v>
          </cell>
          <cell r="D1027">
            <v>628040</v>
          </cell>
          <cell r="E1027">
            <v>1194980</v>
          </cell>
          <cell r="F1027">
            <v>2931162</v>
          </cell>
          <cell r="G1027">
            <v>4126142</v>
          </cell>
          <cell r="H1027">
            <v>585510</v>
          </cell>
        </row>
        <row r="1028">
          <cell r="A1028" t="str">
            <v>2990</v>
          </cell>
          <cell r="B1028" t="str">
            <v>綱島　洋之　　　</v>
          </cell>
          <cell r="C1028">
            <v>556450</v>
          </cell>
          <cell r="D1028">
            <v>628040</v>
          </cell>
          <cell r="E1028">
            <v>1184490</v>
          </cell>
          <cell r="F1028">
            <v>2379818</v>
          </cell>
          <cell r="G1028">
            <v>3564308</v>
          </cell>
          <cell r="H1028">
            <v>585510</v>
          </cell>
        </row>
        <row r="1029">
          <cell r="A1029" t="str">
            <v>2788</v>
          </cell>
          <cell r="B1029" t="str">
            <v>杉原　耕司　　　</v>
          </cell>
          <cell r="C1029">
            <v>566940</v>
          </cell>
          <cell r="D1029">
            <v>628040</v>
          </cell>
          <cell r="E1029">
            <v>1194980</v>
          </cell>
          <cell r="F1029">
            <v>3417894</v>
          </cell>
          <cell r="G1029">
            <v>4612874</v>
          </cell>
          <cell r="H1029">
            <v>597920</v>
          </cell>
        </row>
        <row r="1030">
          <cell r="A1030" t="str">
            <v>0543</v>
          </cell>
          <cell r="B1030" t="str">
            <v>三崎　寿美子　　</v>
          </cell>
          <cell r="C1030">
            <v>542540</v>
          </cell>
          <cell r="D1030">
            <v>627000</v>
          </cell>
          <cell r="E1030">
            <v>1169540</v>
          </cell>
          <cell r="F1030">
            <v>2898284</v>
          </cell>
          <cell r="G1030">
            <v>4067824</v>
          </cell>
          <cell r="H1030">
            <v>548440</v>
          </cell>
        </row>
        <row r="1031">
          <cell r="A1031" t="str">
            <v>2505</v>
          </cell>
          <cell r="B1031" t="str">
            <v>工藤　秀成　　　</v>
          </cell>
          <cell r="C1031">
            <v>562310</v>
          </cell>
          <cell r="D1031">
            <v>626970</v>
          </cell>
          <cell r="E1031">
            <v>1189280</v>
          </cell>
          <cell r="F1031">
            <v>3200493</v>
          </cell>
          <cell r="G1031">
            <v>4389773</v>
          </cell>
          <cell r="H1031">
            <v>582840</v>
          </cell>
        </row>
        <row r="1032">
          <cell r="A1032" t="str">
            <v>2994</v>
          </cell>
          <cell r="B1032" t="str">
            <v>中島　央雄　　　</v>
          </cell>
          <cell r="C1032">
            <v>552960</v>
          </cell>
          <cell r="D1032">
            <v>626720</v>
          </cell>
          <cell r="E1032">
            <v>1179680</v>
          </cell>
          <cell r="F1032">
            <v>2768959</v>
          </cell>
          <cell r="G1032">
            <v>3948639</v>
          </cell>
          <cell r="H1032">
            <v>585510</v>
          </cell>
        </row>
        <row r="1033">
          <cell r="A1033" t="str">
            <v>2964</v>
          </cell>
          <cell r="B1033" t="str">
            <v>荻野　尊雄　　　</v>
          </cell>
          <cell r="C1033">
            <v>553980</v>
          </cell>
          <cell r="D1033">
            <v>624870</v>
          </cell>
          <cell r="E1033">
            <v>1178850</v>
          </cell>
          <cell r="F1033">
            <v>2486129</v>
          </cell>
          <cell r="G1033">
            <v>3664979</v>
          </cell>
          <cell r="H1033">
            <v>582550</v>
          </cell>
        </row>
        <row r="1034">
          <cell r="A1034" t="str">
            <v>2977</v>
          </cell>
          <cell r="B1034" t="str">
            <v>櫻井　孝彦　　　</v>
          </cell>
          <cell r="C1034">
            <v>553980</v>
          </cell>
          <cell r="D1034">
            <v>624870</v>
          </cell>
          <cell r="E1034">
            <v>1178850</v>
          </cell>
          <cell r="F1034">
            <v>3077598</v>
          </cell>
          <cell r="G1034">
            <v>4256448</v>
          </cell>
          <cell r="H1034">
            <v>582550</v>
          </cell>
        </row>
        <row r="1035">
          <cell r="A1035" t="str">
            <v>3129</v>
          </cell>
          <cell r="B1035" t="str">
            <v>江原　伸夫　　　</v>
          </cell>
          <cell r="C1035">
            <v>520840</v>
          </cell>
          <cell r="D1035">
            <v>624520</v>
          </cell>
          <cell r="E1035">
            <v>1145360</v>
          </cell>
          <cell r="F1035">
            <v>2639145</v>
          </cell>
          <cell r="G1035">
            <v>3784505</v>
          </cell>
          <cell r="H1035">
            <v>586040</v>
          </cell>
        </row>
        <row r="1036">
          <cell r="A1036" t="str">
            <v>3169</v>
          </cell>
          <cell r="B1036" t="str">
            <v>松岡　晃司　　　</v>
          </cell>
          <cell r="C1036">
            <v>533400</v>
          </cell>
          <cell r="D1036">
            <v>624520</v>
          </cell>
          <cell r="E1036">
            <v>1157920</v>
          </cell>
          <cell r="F1036">
            <v>2551614</v>
          </cell>
          <cell r="G1036">
            <v>3709534</v>
          </cell>
          <cell r="H1036">
            <v>576620</v>
          </cell>
        </row>
        <row r="1037">
          <cell r="A1037" t="str">
            <v>3145</v>
          </cell>
          <cell r="B1037" t="str">
            <v>新藤　昭彦　　　</v>
          </cell>
          <cell r="C1037">
            <v>533400</v>
          </cell>
          <cell r="D1037">
            <v>624520</v>
          </cell>
          <cell r="E1037">
            <v>1157920</v>
          </cell>
          <cell r="F1037">
            <v>2728691</v>
          </cell>
          <cell r="G1037">
            <v>3886611</v>
          </cell>
          <cell r="H1037">
            <v>598590</v>
          </cell>
        </row>
        <row r="1038">
          <cell r="A1038" t="str">
            <v>3005</v>
          </cell>
          <cell r="B1038" t="str">
            <v>橋本　敏一　　　</v>
          </cell>
          <cell r="C1038">
            <v>567300</v>
          </cell>
          <cell r="D1038">
            <v>622840</v>
          </cell>
          <cell r="E1038">
            <v>1190140</v>
          </cell>
          <cell r="F1038">
            <v>2611801</v>
          </cell>
          <cell r="G1038">
            <v>3801941</v>
          </cell>
          <cell r="H1038">
            <v>627380</v>
          </cell>
        </row>
        <row r="1039">
          <cell r="A1039" t="str">
            <v>2966</v>
          </cell>
          <cell r="B1039" t="str">
            <v>川島　武之　　　</v>
          </cell>
          <cell r="C1039">
            <v>554860</v>
          </cell>
          <cell r="D1039">
            <v>622840</v>
          </cell>
          <cell r="E1039">
            <v>1177700</v>
          </cell>
          <cell r="F1039">
            <v>2477580</v>
          </cell>
          <cell r="G1039">
            <v>3655280</v>
          </cell>
          <cell r="H1039">
            <v>560710</v>
          </cell>
        </row>
        <row r="1040">
          <cell r="A1040" t="str">
            <v>3009</v>
          </cell>
          <cell r="B1040" t="str">
            <v>羽原　義和　　　</v>
          </cell>
          <cell r="C1040">
            <v>551530</v>
          </cell>
          <cell r="D1040">
            <v>621680</v>
          </cell>
          <cell r="E1040">
            <v>1173210</v>
          </cell>
          <cell r="F1040">
            <v>2571641</v>
          </cell>
          <cell r="G1040">
            <v>3744851</v>
          </cell>
          <cell r="H1040">
            <v>579590</v>
          </cell>
        </row>
        <row r="1041">
          <cell r="A1041" t="str">
            <v>3023</v>
          </cell>
          <cell r="B1041" t="str">
            <v>山口　雅士　　　</v>
          </cell>
          <cell r="C1041">
            <v>551530</v>
          </cell>
          <cell r="D1041">
            <v>621680</v>
          </cell>
          <cell r="E1041">
            <v>1173210</v>
          </cell>
          <cell r="F1041">
            <v>2369484</v>
          </cell>
          <cell r="G1041">
            <v>3542694</v>
          </cell>
          <cell r="H1041">
            <v>579590</v>
          </cell>
        </row>
        <row r="1042">
          <cell r="A1042" t="str">
            <v>2993</v>
          </cell>
          <cell r="B1042" t="str">
            <v>中江　淳文　　　</v>
          </cell>
          <cell r="C1042">
            <v>551530</v>
          </cell>
          <cell r="D1042">
            <v>621680</v>
          </cell>
          <cell r="E1042">
            <v>1173210</v>
          </cell>
          <cell r="F1042">
            <v>2339891</v>
          </cell>
          <cell r="G1042">
            <v>3513101</v>
          </cell>
          <cell r="H1042">
            <v>579590</v>
          </cell>
        </row>
        <row r="1043">
          <cell r="A1043" t="str">
            <v>2965</v>
          </cell>
          <cell r="B1043" t="str">
            <v>加藤　顕道　　　</v>
          </cell>
          <cell r="C1043">
            <v>537330</v>
          </cell>
          <cell r="D1043">
            <v>621680</v>
          </cell>
          <cell r="E1043">
            <v>1159010</v>
          </cell>
          <cell r="F1043">
            <v>3127090</v>
          </cell>
          <cell r="G1043">
            <v>4286100</v>
          </cell>
          <cell r="H1043">
            <v>579590</v>
          </cell>
        </row>
        <row r="1044">
          <cell r="A1044" t="str">
            <v>2956</v>
          </cell>
          <cell r="B1044" t="str">
            <v>入船　英樹　　　</v>
          </cell>
          <cell r="C1044">
            <v>551530</v>
          </cell>
          <cell r="D1044">
            <v>621680</v>
          </cell>
          <cell r="E1044">
            <v>1173210</v>
          </cell>
          <cell r="F1044">
            <v>2563445</v>
          </cell>
          <cell r="G1044">
            <v>3736655</v>
          </cell>
          <cell r="H1044">
            <v>579590</v>
          </cell>
        </row>
        <row r="1045">
          <cell r="A1045" t="str">
            <v>2812</v>
          </cell>
          <cell r="B1045" t="str">
            <v>舩木　建生　　　</v>
          </cell>
          <cell r="C1045">
            <v>619480</v>
          </cell>
          <cell r="D1045">
            <v>621630</v>
          </cell>
          <cell r="E1045">
            <v>1241110</v>
          </cell>
          <cell r="F1045">
            <v>2650333</v>
          </cell>
          <cell r="G1045">
            <v>3891443</v>
          </cell>
          <cell r="H1045">
            <v>649680</v>
          </cell>
        </row>
        <row r="1046">
          <cell r="A1046" t="str">
            <v>3174</v>
          </cell>
          <cell r="B1046" t="str">
            <v>村松　秀隆　　　</v>
          </cell>
          <cell r="C1046">
            <v>549110</v>
          </cell>
          <cell r="D1046">
            <v>620650</v>
          </cell>
          <cell r="E1046">
            <v>1169760</v>
          </cell>
          <cell r="F1046">
            <v>2577168</v>
          </cell>
          <cell r="G1046">
            <v>3746928</v>
          </cell>
          <cell r="H1046">
            <v>614880</v>
          </cell>
        </row>
        <row r="1047">
          <cell r="A1047" t="str">
            <v>3164</v>
          </cell>
          <cell r="B1047" t="str">
            <v>平尾　光治　　　</v>
          </cell>
          <cell r="C1047">
            <v>533400</v>
          </cell>
          <cell r="D1047">
            <v>620650</v>
          </cell>
          <cell r="E1047">
            <v>1154050</v>
          </cell>
          <cell r="F1047">
            <v>2584718</v>
          </cell>
          <cell r="G1047">
            <v>3738768</v>
          </cell>
          <cell r="H1047">
            <v>603800</v>
          </cell>
        </row>
        <row r="1048">
          <cell r="A1048" t="str">
            <v>3153</v>
          </cell>
          <cell r="B1048" t="str">
            <v>田邉　祥二　　　</v>
          </cell>
          <cell r="C1048">
            <v>541260</v>
          </cell>
          <cell r="D1048">
            <v>620650</v>
          </cell>
          <cell r="E1048">
            <v>1161910</v>
          </cell>
          <cell r="F1048">
            <v>2645594</v>
          </cell>
          <cell r="G1048">
            <v>3807504</v>
          </cell>
          <cell r="H1048">
            <v>603800</v>
          </cell>
        </row>
        <row r="1049">
          <cell r="A1049" t="str">
            <v>3107</v>
          </cell>
          <cell r="B1049" t="str">
            <v>高橋　剛　　　　</v>
          </cell>
          <cell r="C1049">
            <v>561000</v>
          </cell>
          <cell r="D1049">
            <v>618520</v>
          </cell>
          <cell r="E1049">
            <v>1179520</v>
          </cell>
          <cell r="F1049">
            <v>2364527</v>
          </cell>
          <cell r="G1049">
            <v>3544047</v>
          </cell>
          <cell r="H1049">
            <v>588840</v>
          </cell>
        </row>
        <row r="1050">
          <cell r="A1050" t="str">
            <v>3172</v>
          </cell>
          <cell r="B1050" t="str">
            <v>三辻　泰則　　　</v>
          </cell>
          <cell r="C1050">
            <v>541260</v>
          </cell>
          <cell r="D1050">
            <v>617970</v>
          </cell>
          <cell r="E1050">
            <v>1159230</v>
          </cell>
          <cell r="F1050">
            <v>2631469</v>
          </cell>
          <cell r="G1050">
            <v>3790699</v>
          </cell>
          <cell r="H1050">
            <v>601200</v>
          </cell>
        </row>
        <row r="1051">
          <cell r="A1051" t="str">
            <v>3162</v>
          </cell>
          <cell r="B1051" t="str">
            <v>長谷　司　　　　</v>
          </cell>
          <cell r="C1051">
            <v>541260</v>
          </cell>
          <cell r="D1051">
            <v>617970</v>
          </cell>
          <cell r="E1051">
            <v>1159230</v>
          </cell>
          <cell r="F1051">
            <v>2618665</v>
          </cell>
          <cell r="G1051">
            <v>3777895</v>
          </cell>
          <cell r="H1051">
            <v>579130</v>
          </cell>
        </row>
        <row r="1052">
          <cell r="A1052" t="str">
            <v>2636</v>
          </cell>
          <cell r="B1052" t="str">
            <v>竹内　俊一　　　</v>
          </cell>
          <cell r="C1052">
            <v>602980</v>
          </cell>
          <cell r="D1052">
            <v>617440</v>
          </cell>
          <cell r="E1052">
            <v>1220420</v>
          </cell>
          <cell r="F1052">
            <v>2707309</v>
          </cell>
          <cell r="G1052">
            <v>3927729</v>
          </cell>
          <cell r="H1052">
            <v>620490</v>
          </cell>
        </row>
        <row r="1053">
          <cell r="A1053" t="str">
            <v>2395</v>
          </cell>
          <cell r="B1053" t="str">
            <v>坂井　小枝佳　　</v>
          </cell>
          <cell r="C1053">
            <v>558030</v>
          </cell>
          <cell r="D1053">
            <v>615330</v>
          </cell>
          <cell r="E1053">
            <v>1173360</v>
          </cell>
          <cell r="F1053">
            <v>2328646</v>
          </cell>
          <cell r="G1053">
            <v>3502006</v>
          </cell>
          <cell r="H1053">
            <v>573660</v>
          </cell>
        </row>
        <row r="1054">
          <cell r="A1054" t="str">
            <v>3142</v>
          </cell>
          <cell r="B1054" t="str">
            <v>柴田　宏治　　　</v>
          </cell>
          <cell r="C1054">
            <v>508280</v>
          </cell>
          <cell r="D1054">
            <v>615300</v>
          </cell>
          <cell r="E1054">
            <v>1123580</v>
          </cell>
          <cell r="F1054">
            <v>2994346</v>
          </cell>
          <cell r="G1054">
            <v>4117926</v>
          </cell>
          <cell r="H1054">
            <v>559350</v>
          </cell>
        </row>
        <row r="1055">
          <cell r="A1055" t="str">
            <v>1405</v>
          </cell>
          <cell r="B1055" t="str">
            <v>岡本　和也　　　</v>
          </cell>
          <cell r="C1055">
            <v>567560</v>
          </cell>
          <cell r="D1055">
            <v>614410</v>
          </cell>
          <cell r="E1055">
            <v>1181970</v>
          </cell>
          <cell r="F1055">
            <v>2542268</v>
          </cell>
          <cell r="G1055">
            <v>3724238</v>
          </cell>
          <cell r="H1055">
            <v>556870</v>
          </cell>
        </row>
        <row r="1056">
          <cell r="A1056" t="str">
            <v>3128</v>
          </cell>
          <cell r="B1056" t="str">
            <v>魚住　幸司　　　</v>
          </cell>
          <cell r="C1056">
            <v>520840</v>
          </cell>
          <cell r="D1056">
            <v>613980</v>
          </cell>
          <cell r="E1056">
            <v>1134820</v>
          </cell>
          <cell r="F1056">
            <v>2601451</v>
          </cell>
          <cell r="G1056">
            <v>3736271</v>
          </cell>
          <cell r="H1056">
            <v>584130</v>
          </cell>
        </row>
        <row r="1057">
          <cell r="A1057" t="str">
            <v>3157</v>
          </cell>
          <cell r="B1057" t="str">
            <v>富沢　和彦　　　</v>
          </cell>
          <cell r="C1057">
            <v>533400</v>
          </cell>
          <cell r="D1057">
            <v>613980</v>
          </cell>
          <cell r="E1057">
            <v>1147380</v>
          </cell>
          <cell r="F1057">
            <v>2561717</v>
          </cell>
          <cell r="G1057">
            <v>3709097</v>
          </cell>
          <cell r="H1057">
            <v>606400</v>
          </cell>
        </row>
        <row r="1058">
          <cell r="A1058" t="str">
            <v>2850</v>
          </cell>
          <cell r="B1058" t="str">
            <v>畑中　康代　　　</v>
          </cell>
          <cell r="C1058">
            <v>554970</v>
          </cell>
          <cell r="D1058">
            <v>613420</v>
          </cell>
          <cell r="E1058">
            <v>1168390</v>
          </cell>
          <cell r="F1058">
            <v>2426213</v>
          </cell>
          <cell r="G1058">
            <v>3594603</v>
          </cell>
          <cell r="H1058">
            <v>603990</v>
          </cell>
        </row>
        <row r="1059">
          <cell r="A1059" t="str">
            <v>3462</v>
          </cell>
          <cell r="B1059" t="str">
            <v>高橋　通　　　　</v>
          </cell>
          <cell r="C1059">
            <v>150000</v>
          </cell>
          <cell r="D1059">
            <v>611520</v>
          </cell>
          <cell r="E1059">
            <v>761520</v>
          </cell>
          <cell r="F1059">
            <v>2654986</v>
          </cell>
          <cell r="G1059">
            <v>3416506</v>
          </cell>
          <cell r="H1059">
            <v>592800</v>
          </cell>
        </row>
        <row r="1060">
          <cell r="A1060" t="str">
            <v>3168</v>
          </cell>
          <cell r="B1060" t="str">
            <v>前田　健　　　　</v>
          </cell>
          <cell r="C1060">
            <v>533400</v>
          </cell>
          <cell r="D1060">
            <v>611350</v>
          </cell>
          <cell r="E1060">
            <v>1144750</v>
          </cell>
          <cell r="F1060">
            <v>2436172</v>
          </cell>
          <cell r="G1060">
            <v>3580922</v>
          </cell>
          <cell r="H1060">
            <v>581630</v>
          </cell>
        </row>
        <row r="1061">
          <cell r="A1061" t="str">
            <v>3159</v>
          </cell>
          <cell r="B1061" t="str">
            <v>中尾　一徳　　　</v>
          </cell>
          <cell r="C1061">
            <v>533400</v>
          </cell>
          <cell r="D1061">
            <v>611350</v>
          </cell>
          <cell r="E1061">
            <v>1144750</v>
          </cell>
          <cell r="F1061">
            <v>2547756</v>
          </cell>
          <cell r="G1061">
            <v>3692506</v>
          </cell>
          <cell r="H1061">
            <v>591130</v>
          </cell>
        </row>
        <row r="1062">
          <cell r="A1062" t="str">
            <v>3179</v>
          </cell>
          <cell r="B1062" t="str">
            <v>川原　晴美　　　</v>
          </cell>
          <cell r="C1062">
            <v>541260</v>
          </cell>
          <cell r="D1062">
            <v>611350</v>
          </cell>
          <cell r="E1062">
            <v>1152610</v>
          </cell>
          <cell r="F1062">
            <v>2534415</v>
          </cell>
          <cell r="G1062">
            <v>3687025</v>
          </cell>
          <cell r="H1062">
            <v>546800</v>
          </cell>
        </row>
        <row r="1063">
          <cell r="A1063" t="str">
            <v>2986</v>
          </cell>
          <cell r="B1063" t="str">
            <v>田上　道章　　　</v>
          </cell>
          <cell r="C1063">
            <v>556450</v>
          </cell>
          <cell r="D1063">
            <v>610340</v>
          </cell>
          <cell r="E1063">
            <v>1166790</v>
          </cell>
          <cell r="F1063">
            <v>2691911</v>
          </cell>
          <cell r="G1063">
            <v>3858701</v>
          </cell>
          <cell r="H1063">
            <v>600980</v>
          </cell>
        </row>
        <row r="1064">
          <cell r="A1064" t="str">
            <v>2882</v>
          </cell>
          <cell r="B1064" t="str">
            <v>山口　尚孝　　　</v>
          </cell>
          <cell r="C1064">
            <v>572860</v>
          </cell>
          <cell r="D1064">
            <v>610340</v>
          </cell>
          <cell r="E1064">
            <v>1183200</v>
          </cell>
          <cell r="F1064">
            <v>3129174</v>
          </cell>
          <cell r="G1064">
            <v>4312374</v>
          </cell>
          <cell r="H1064">
            <v>569810</v>
          </cell>
        </row>
        <row r="1065">
          <cell r="A1065" t="str">
            <v>3144</v>
          </cell>
          <cell r="B1065" t="str">
            <v>神　健夫　　　　</v>
          </cell>
          <cell r="C1065">
            <v>508280</v>
          </cell>
          <cell r="D1065">
            <v>608710</v>
          </cell>
          <cell r="E1065">
            <v>1116990</v>
          </cell>
          <cell r="F1065">
            <v>2534753</v>
          </cell>
          <cell r="G1065">
            <v>3651743</v>
          </cell>
          <cell r="H1065">
            <v>563370</v>
          </cell>
        </row>
        <row r="1066">
          <cell r="A1066" t="str">
            <v>3125</v>
          </cell>
          <cell r="B1066" t="str">
            <v>新井　雅晴　　　</v>
          </cell>
          <cell r="C1066">
            <v>520840</v>
          </cell>
          <cell r="D1066">
            <v>608710</v>
          </cell>
          <cell r="E1066">
            <v>1129550</v>
          </cell>
          <cell r="F1066">
            <v>2594810</v>
          </cell>
          <cell r="G1066">
            <v>3724360</v>
          </cell>
          <cell r="H1066">
            <v>561790</v>
          </cell>
        </row>
        <row r="1067">
          <cell r="A1067" t="str">
            <v>3138</v>
          </cell>
          <cell r="B1067" t="str">
            <v>川村　英毅　　　</v>
          </cell>
          <cell r="C1067">
            <v>541260</v>
          </cell>
          <cell r="D1067">
            <v>608710</v>
          </cell>
          <cell r="E1067">
            <v>1149970</v>
          </cell>
          <cell r="F1067">
            <v>2499829</v>
          </cell>
          <cell r="G1067">
            <v>3649799</v>
          </cell>
          <cell r="H1067">
            <v>561790</v>
          </cell>
        </row>
        <row r="1068">
          <cell r="A1068" t="str">
            <v>2975</v>
          </cell>
          <cell r="B1068" t="str">
            <v>阪口　徹　　　　</v>
          </cell>
          <cell r="C1068">
            <v>553980</v>
          </cell>
          <cell r="D1068">
            <v>607230</v>
          </cell>
          <cell r="E1068">
            <v>1161210</v>
          </cell>
          <cell r="F1068">
            <v>2580438</v>
          </cell>
          <cell r="G1068">
            <v>3741648</v>
          </cell>
          <cell r="H1068">
            <v>566910</v>
          </cell>
        </row>
        <row r="1069">
          <cell r="A1069" t="str">
            <v>1927</v>
          </cell>
          <cell r="B1069" t="str">
            <v>篠崎　丞　　　　</v>
          </cell>
          <cell r="C1069">
            <v>600940</v>
          </cell>
          <cell r="D1069">
            <v>606890</v>
          </cell>
          <cell r="E1069">
            <v>1207830</v>
          </cell>
          <cell r="F1069">
            <v>3859547</v>
          </cell>
          <cell r="G1069">
            <v>5067377</v>
          </cell>
          <cell r="H1069">
            <v>569220</v>
          </cell>
        </row>
        <row r="1070">
          <cell r="A1070" t="str">
            <v>3038</v>
          </cell>
          <cell r="B1070" t="str">
            <v>増田　栄子　　　</v>
          </cell>
          <cell r="C1070">
            <v>523740</v>
          </cell>
          <cell r="D1070">
            <v>606410</v>
          </cell>
          <cell r="E1070">
            <v>1130150</v>
          </cell>
          <cell r="F1070">
            <v>2606839</v>
          </cell>
          <cell r="G1070">
            <v>3736989</v>
          </cell>
          <cell r="H1070">
            <v>546040</v>
          </cell>
        </row>
        <row r="1071">
          <cell r="A1071" t="str">
            <v>2950</v>
          </cell>
          <cell r="B1071" t="str">
            <v>五十里　寛　　　</v>
          </cell>
          <cell r="C1071">
            <v>542070</v>
          </cell>
          <cell r="D1071">
            <v>606410</v>
          </cell>
          <cell r="E1071">
            <v>1148480</v>
          </cell>
          <cell r="F1071">
            <v>2659116</v>
          </cell>
          <cell r="G1071">
            <v>3807596</v>
          </cell>
          <cell r="H1071">
            <v>607130</v>
          </cell>
        </row>
        <row r="1072">
          <cell r="A1072" t="str">
            <v>2288</v>
          </cell>
          <cell r="B1072" t="str">
            <v>須藤　純明　　　</v>
          </cell>
          <cell r="C1072">
            <v>575010</v>
          </cell>
          <cell r="D1072">
            <v>606120</v>
          </cell>
          <cell r="E1072">
            <v>1181130</v>
          </cell>
          <cell r="F1072">
            <v>2513438</v>
          </cell>
          <cell r="G1072">
            <v>3694568</v>
          </cell>
          <cell r="H1072">
            <v>564450</v>
          </cell>
        </row>
        <row r="1073">
          <cell r="A1073" t="str">
            <v>2128</v>
          </cell>
          <cell r="B1073" t="str">
            <v>大内　祐子　　　</v>
          </cell>
          <cell r="C1073">
            <v>456260</v>
          </cell>
          <cell r="D1073">
            <v>605120</v>
          </cell>
          <cell r="E1073">
            <v>1061380</v>
          </cell>
          <cell r="F1073">
            <v>2569530</v>
          </cell>
          <cell r="G1073">
            <v>3630910</v>
          </cell>
          <cell r="H1073">
            <v>544150</v>
          </cell>
        </row>
        <row r="1074">
          <cell r="A1074" t="str">
            <v>2944</v>
          </cell>
          <cell r="B1074" t="str">
            <v>朝倉　律充　　　</v>
          </cell>
          <cell r="C1074">
            <v>553980</v>
          </cell>
          <cell r="D1074">
            <v>604160</v>
          </cell>
          <cell r="E1074">
            <v>1158140</v>
          </cell>
          <cell r="F1074">
            <v>3043243</v>
          </cell>
          <cell r="G1074">
            <v>4201383</v>
          </cell>
          <cell r="H1074">
            <v>582550</v>
          </cell>
        </row>
        <row r="1075">
          <cell r="A1075" t="str">
            <v>3025</v>
          </cell>
          <cell r="B1075" t="str">
            <v>山田　博史　　　</v>
          </cell>
          <cell r="C1075">
            <v>539720</v>
          </cell>
          <cell r="D1075">
            <v>604160</v>
          </cell>
          <cell r="E1075">
            <v>1143880</v>
          </cell>
          <cell r="F1075">
            <v>2756642</v>
          </cell>
          <cell r="G1075">
            <v>3900522</v>
          </cell>
          <cell r="H1075">
            <v>564040</v>
          </cell>
        </row>
        <row r="1076">
          <cell r="A1076" t="str">
            <v>3130</v>
          </cell>
          <cell r="B1076" t="str">
            <v>海老名　圭介　　</v>
          </cell>
          <cell r="C1076">
            <v>549110</v>
          </cell>
          <cell r="D1076">
            <v>603490</v>
          </cell>
          <cell r="E1076">
            <v>1152600</v>
          </cell>
          <cell r="F1076">
            <v>2909255</v>
          </cell>
          <cell r="G1076">
            <v>4061855</v>
          </cell>
          <cell r="H1076">
            <v>539760</v>
          </cell>
        </row>
        <row r="1077">
          <cell r="A1077" t="str">
            <v>3137</v>
          </cell>
          <cell r="B1077" t="str">
            <v>川田　徳司　　　</v>
          </cell>
          <cell r="C1077">
            <v>531010</v>
          </cell>
          <cell r="D1077">
            <v>603490</v>
          </cell>
          <cell r="E1077">
            <v>1134500</v>
          </cell>
          <cell r="F1077">
            <v>2554357</v>
          </cell>
          <cell r="G1077">
            <v>3688857</v>
          </cell>
          <cell r="H1077">
            <v>574150</v>
          </cell>
        </row>
        <row r="1078">
          <cell r="A1078" t="str">
            <v>1074</v>
          </cell>
          <cell r="B1078" t="str">
            <v>西尾　成子　　　</v>
          </cell>
          <cell r="C1078">
            <v>517840</v>
          </cell>
          <cell r="D1078">
            <v>600270</v>
          </cell>
          <cell r="E1078">
            <v>1118110</v>
          </cell>
          <cell r="F1078">
            <v>3026861</v>
          </cell>
          <cell r="G1078">
            <v>4144971</v>
          </cell>
          <cell r="H1078">
            <v>524570</v>
          </cell>
        </row>
        <row r="1079">
          <cell r="A1079" t="str">
            <v>3136</v>
          </cell>
          <cell r="B1079" t="str">
            <v>河島　光晴　　　</v>
          </cell>
          <cell r="C1079">
            <v>533400</v>
          </cell>
          <cell r="D1079">
            <v>599030</v>
          </cell>
          <cell r="E1079">
            <v>1132430</v>
          </cell>
          <cell r="F1079">
            <v>2659200</v>
          </cell>
          <cell r="G1079">
            <v>3791630</v>
          </cell>
          <cell r="H1079">
            <v>533250</v>
          </cell>
        </row>
        <row r="1080">
          <cell r="A1080" t="str">
            <v>3265</v>
          </cell>
          <cell r="B1080" t="str">
            <v>石田　哲也　　　</v>
          </cell>
          <cell r="C1080">
            <v>480010</v>
          </cell>
          <cell r="D1080">
            <v>598020</v>
          </cell>
          <cell r="E1080">
            <v>1078030</v>
          </cell>
          <cell r="F1080">
            <v>2922935</v>
          </cell>
          <cell r="G1080">
            <v>4000965</v>
          </cell>
          <cell r="H1080">
            <v>558300</v>
          </cell>
        </row>
        <row r="1081">
          <cell r="A1081" t="str">
            <v>3228</v>
          </cell>
          <cell r="B1081" t="str">
            <v>金本　禮子　　　</v>
          </cell>
          <cell r="C1081">
            <v>517700</v>
          </cell>
          <cell r="D1081">
            <v>597600</v>
          </cell>
          <cell r="E1081">
            <v>1115300</v>
          </cell>
          <cell r="F1081">
            <v>2444267</v>
          </cell>
          <cell r="G1081">
            <v>3559567</v>
          </cell>
          <cell r="H1081">
            <v>563370</v>
          </cell>
        </row>
        <row r="1082">
          <cell r="A1082" t="str">
            <v>3152</v>
          </cell>
          <cell r="B1082" t="str">
            <v>田中　俊幸　　　</v>
          </cell>
          <cell r="C1082">
            <v>523980</v>
          </cell>
          <cell r="D1082">
            <v>597600</v>
          </cell>
          <cell r="E1082">
            <v>1121580</v>
          </cell>
          <cell r="F1082">
            <v>2582682</v>
          </cell>
          <cell r="G1082">
            <v>3704262</v>
          </cell>
          <cell r="H1082">
            <v>563370</v>
          </cell>
        </row>
        <row r="1083">
          <cell r="A1083" t="str">
            <v>3181</v>
          </cell>
          <cell r="B1083" t="str">
            <v>川村　直美　　　</v>
          </cell>
          <cell r="C1083">
            <v>517700</v>
          </cell>
          <cell r="D1083">
            <v>597600</v>
          </cell>
          <cell r="E1083">
            <v>1115300</v>
          </cell>
          <cell r="F1083">
            <v>2458754</v>
          </cell>
          <cell r="G1083">
            <v>3574054</v>
          </cell>
          <cell r="H1083">
            <v>563370</v>
          </cell>
        </row>
        <row r="1084">
          <cell r="A1084" t="str">
            <v>3150</v>
          </cell>
          <cell r="B1084" t="str">
            <v>田中　隆行　　　</v>
          </cell>
          <cell r="C1084">
            <v>533400</v>
          </cell>
          <cell r="D1084">
            <v>596470</v>
          </cell>
          <cell r="E1084">
            <v>1129870</v>
          </cell>
          <cell r="F1084">
            <v>2593257</v>
          </cell>
          <cell r="G1084">
            <v>3723127</v>
          </cell>
          <cell r="H1084">
            <v>591130</v>
          </cell>
        </row>
        <row r="1085">
          <cell r="A1085" t="str">
            <v>0486</v>
          </cell>
          <cell r="B1085" t="str">
            <v>東郷　ひで子　　</v>
          </cell>
          <cell r="C1085">
            <v>519280</v>
          </cell>
          <cell r="D1085">
            <v>595580</v>
          </cell>
          <cell r="E1085">
            <v>1114860</v>
          </cell>
          <cell r="F1085">
            <v>2976205</v>
          </cell>
          <cell r="G1085">
            <v>4091065</v>
          </cell>
          <cell r="H1085">
            <v>535410</v>
          </cell>
        </row>
        <row r="1086">
          <cell r="A1086" t="str">
            <v>3133</v>
          </cell>
          <cell r="B1086" t="str">
            <v>片山　信吾　　　</v>
          </cell>
          <cell r="C1086">
            <v>523980</v>
          </cell>
          <cell r="D1086">
            <v>595010</v>
          </cell>
          <cell r="E1086">
            <v>1118990</v>
          </cell>
          <cell r="F1086">
            <v>2739306</v>
          </cell>
          <cell r="G1086">
            <v>3858296</v>
          </cell>
          <cell r="H1086">
            <v>579760</v>
          </cell>
        </row>
        <row r="1087">
          <cell r="A1087" t="str">
            <v>3132</v>
          </cell>
          <cell r="B1087" t="str">
            <v>薫　浩昭　　　　</v>
          </cell>
          <cell r="C1087">
            <v>517700</v>
          </cell>
          <cell r="D1087">
            <v>595010</v>
          </cell>
          <cell r="E1087">
            <v>1112710</v>
          </cell>
          <cell r="F1087">
            <v>2650619</v>
          </cell>
          <cell r="G1087">
            <v>3763329</v>
          </cell>
          <cell r="H1087">
            <v>560920</v>
          </cell>
        </row>
        <row r="1088">
          <cell r="A1088" t="str">
            <v>3173</v>
          </cell>
          <cell r="B1088" t="str">
            <v>南　徹　　　　　</v>
          </cell>
          <cell r="C1088">
            <v>508280</v>
          </cell>
          <cell r="D1088">
            <v>593890</v>
          </cell>
          <cell r="E1088">
            <v>1102170</v>
          </cell>
          <cell r="F1088">
            <v>2620229</v>
          </cell>
          <cell r="G1088">
            <v>3722399</v>
          </cell>
          <cell r="H1088">
            <v>528680</v>
          </cell>
        </row>
        <row r="1089">
          <cell r="A1089" t="str">
            <v>2504</v>
          </cell>
          <cell r="B1089" t="str">
            <v>木村　典哲　　　</v>
          </cell>
          <cell r="C1089">
            <v>522430</v>
          </cell>
          <cell r="D1089">
            <v>593100</v>
          </cell>
          <cell r="E1089">
            <v>1115530</v>
          </cell>
          <cell r="F1089">
            <v>2505971</v>
          </cell>
          <cell r="G1089">
            <v>3621501</v>
          </cell>
          <cell r="H1089">
            <v>552450</v>
          </cell>
        </row>
        <row r="1090">
          <cell r="A1090" t="str">
            <v>2683</v>
          </cell>
          <cell r="B1090" t="str">
            <v>近松　素子　　　</v>
          </cell>
          <cell r="C1090">
            <v>521190</v>
          </cell>
          <cell r="D1090">
            <v>593000</v>
          </cell>
          <cell r="E1090">
            <v>1114190</v>
          </cell>
          <cell r="F1090">
            <v>2315241</v>
          </cell>
          <cell r="G1090">
            <v>3429431</v>
          </cell>
          <cell r="H1090">
            <v>551730</v>
          </cell>
        </row>
        <row r="1091">
          <cell r="A1091" t="str">
            <v>3109</v>
          </cell>
          <cell r="B1091" t="str">
            <v>志村　宏　　　　</v>
          </cell>
          <cell r="C1091">
            <v>537730</v>
          </cell>
          <cell r="D1091">
            <v>591830</v>
          </cell>
          <cell r="E1091">
            <v>1129560</v>
          </cell>
          <cell r="F1091">
            <v>2276918</v>
          </cell>
          <cell r="G1091">
            <v>3406478</v>
          </cell>
          <cell r="H1091">
            <v>552530</v>
          </cell>
        </row>
        <row r="1092">
          <cell r="A1092" t="str">
            <v>3178</v>
          </cell>
          <cell r="B1092" t="str">
            <v>加藤　千波　　　</v>
          </cell>
          <cell r="C1092">
            <v>520840</v>
          </cell>
          <cell r="D1092">
            <v>591330</v>
          </cell>
          <cell r="E1092">
            <v>1112170</v>
          </cell>
          <cell r="F1092">
            <v>2526262</v>
          </cell>
          <cell r="G1092">
            <v>3638432</v>
          </cell>
          <cell r="H1092">
            <v>542090</v>
          </cell>
        </row>
        <row r="1093">
          <cell r="A1093" t="str">
            <v>3127</v>
          </cell>
          <cell r="B1093" t="str">
            <v>井上　康　　　　</v>
          </cell>
          <cell r="C1093">
            <v>517700</v>
          </cell>
          <cell r="D1093">
            <v>590190</v>
          </cell>
          <cell r="E1093">
            <v>1107890</v>
          </cell>
          <cell r="F1093">
            <v>2401676</v>
          </cell>
          <cell r="G1093">
            <v>3509566</v>
          </cell>
          <cell r="H1093">
            <v>571730</v>
          </cell>
        </row>
        <row r="1094">
          <cell r="A1094" t="str">
            <v>3170</v>
          </cell>
          <cell r="B1094" t="str">
            <v>松本　能幸　　　</v>
          </cell>
          <cell r="C1094">
            <v>517700</v>
          </cell>
          <cell r="D1094">
            <v>590190</v>
          </cell>
          <cell r="E1094">
            <v>1107890</v>
          </cell>
          <cell r="F1094">
            <v>2332243</v>
          </cell>
          <cell r="G1094">
            <v>3440133</v>
          </cell>
          <cell r="H1094">
            <v>572820</v>
          </cell>
        </row>
        <row r="1095">
          <cell r="A1095" t="str">
            <v>2829</v>
          </cell>
          <cell r="B1095" t="str">
            <v>梅原　慎一　　　</v>
          </cell>
          <cell r="C1095">
            <v>519450</v>
          </cell>
          <cell r="D1095">
            <v>589820</v>
          </cell>
          <cell r="E1095">
            <v>1109270</v>
          </cell>
          <cell r="F1095">
            <v>2557756</v>
          </cell>
          <cell r="G1095">
            <v>3667026</v>
          </cell>
          <cell r="H1095">
            <v>520900</v>
          </cell>
        </row>
        <row r="1096">
          <cell r="A1096" t="str">
            <v>2831</v>
          </cell>
          <cell r="B1096" t="str">
            <v>高林　真一郎　　</v>
          </cell>
          <cell r="C1096">
            <v>519450</v>
          </cell>
          <cell r="D1096">
            <v>589820</v>
          </cell>
          <cell r="E1096">
            <v>1109270</v>
          </cell>
          <cell r="F1096">
            <v>2639701</v>
          </cell>
          <cell r="G1096">
            <v>3748971</v>
          </cell>
          <cell r="H1096">
            <v>537990</v>
          </cell>
        </row>
        <row r="1097">
          <cell r="A1097" t="str">
            <v>2832</v>
          </cell>
          <cell r="B1097" t="str">
            <v>宮里　裕二　　　</v>
          </cell>
          <cell r="C1097">
            <v>530270</v>
          </cell>
          <cell r="D1097">
            <v>589820</v>
          </cell>
          <cell r="E1097">
            <v>1120090</v>
          </cell>
          <cell r="F1097">
            <v>2074077</v>
          </cell>
          <cell r="G1097">
            <v>3194167</v>
          </cell>
          <cell r="H1097">
            <v>549390</v>
          </cell>
        </row>
        <row r="1098">
          <cell r="A1098" t="str">
            <v>2386</v>
          </cell>
          <cell r="B1098" t="str">
            <v>小山　智　　　　</v>
          </cell>
          <cell r="C1098">
            <v>533310</v>
          </cell>
          <cell r="D1098">
            <v>589820</v>
          </cell>
          <cell r="E1098">
            <v>1123130</v>
          </cell>
          <cell r="F1098">
            <v>2600871</v>
          </cell>
          <cell r="G1098">
            <v>3724001</v>
          </cell>
          <cell r="H1098">
            <v>549390</v>
          </cell>
        </row>
        <row r="1099">
          <cell r="A1099" t="str">
            <v>3244</v>
          </cell>
          <cell r="B1099" t="str">
            <v>廣田　健次　　　</v>
          </cell>
          <cell r="C1099">
            <v>524560</v>
          </cell>
          <cell r="D1099">
            <v>589420</v>
          </cell>
          <cell r="E1099">
            <v>1113980</v>
          </cell>
          <cell r="F1099">
            <v>3225602</v>
          </cell>
          <cell r="G1099">
            <v>4339582</v>
          </cell>
          <cell r="H1099">
            <v>569810</v>
          </cell>
        </row>
        <row r="1100">
          <cell r="A1100" t="str">
            <v>3163</v>
          </cell>
          <cell r="B1100" t="str">
            <v>樋笠　歩　　　　</v>
          </cell>
          <cell r="C1100">
            <v>541260</v>
          </cell>
          <cell r="D1100">
            <v>588800</v>
          </cell>
          <cell r="E1100">
            <v>1130060</v>
          </cell>
          <cell r="F1100">
            <v>2582150</v>
          </cell>
          <cell r="G1100">
            <v>3712210</v>
          </cell>
          <cell r="H1100">
            <v>556950</v>
          </cell>
        </row>
        <row r="1101">
          <cell r="A1101" t="str">
            <v>3460</v>
          </cell>
          <cell r="B1101" t="str">
            <v>梅田　義光　　　</v>
          </cell>
          <cell r="C1101">
            <v>144000</v>
          </cell>
          <cell r="D1101">
            <v>588570</v>
          </cell>
          <cell r="E1101">
            <v>732570</v>
          </cell>
          <cell r="F1101">
            <v>2377954</v>
          </cell>
          <cell r="G1101">
            <v>3110524</v>
          </cell>
          <cell r="H1101">
            <v>570570</v>
          </cell>
        </row>
        <row r="1102">
          <cell r="A1102" t="str">
            <v>3151</v>
          </cell>
          <cell r="B1102" t="str">
            <v>田中　哲也　　　</v>
          </cell>
          <cell r="C1102">
            <v>533400</v>
          </cell>
          <cell r="D1102">
            <v>587640</v>
          </cell>
          <cell r="E1102">
            <v>1121040</v>
          </cell>
          <cell r="F1102">
            <v>2484212</v>
          </cell>
          <cell r="G1102">
            <v>3605252</v>
          </cell>
          <cell r="H1102">
            <v>560920</v>
          </cell>
        </row>
        <row r="1103">
          <cell r="A1103" t="str">
            <v>3134</v>
          </cell>
          <cell r="B1103" t="str">
            <v>加藤　義徳　　　</v>
          </cell>
          <cell r="C1103">
            <v>517700</v>
          </cell>
          <cell r="D1103">
            <v>587640</v>
          </cell>
          <cell r="E1103">
            <v>1105340</v>
          </cell>
          <cell r="F1103">
            <v>2782482</v>
          </cell>
          <cell r="G1103">
            <v>3887822</v>
          </cell>
          <cell r="H1103">
            <v>560920</v>
          </cell>
        </row>
        <row r="1104">
          <cell r="A1104" t="str">
            <v>3148</v>
          </cell>
          <cell r="B1104" t="str">
            <v>高木　聡　　　　</v>
          </cell>
          <cell r="C1104">
            <v>517700</v>
          </cell>
          <cell r="D1104">
            <v>587640</v>
          </cell>
          <cell r="E1104">
            <v>1105340</v>
          </cell>
          <cell r="F1104">
            <v>2446622</v>
          </cell>
          <cell r="G1104">
            <v>3551962</v>
          </cell>
          <cell r="H1104">
            <v>560920</v>
          </cell>
        </row>
        <row r="1105">
          <cell r="A1105" t="str">
            <v>3149</v>
          </cell>
          <cell r="B1105" t="str">
            <v>多田　典正　　　</v>
          </cell>
          <cell r="C1105">
            <v>517700</v>
          </cell>
          <cell r="D1105">
            <v>587640</v>
          </cell>
          <cell r="E1105">
            <v>1105340</v>
          </cell>
          <cell r="F1105">
            <v>2506581</v>
          </cell>
          <cell r="G1105">
            <v>3611921</v>
          </cell>
          <cell r="H1105">
            <v>560920</v>
          </cell>
        </row>
        <row r="1106">
          <cell r="A1106" t="str">
            <v>3143</v>
          </cell>
          <cell r="B1106" t="str">
            <v>清水　浩　　　　</v>
          </cell>
          <cell r="C1106">
            <v>506710</v>
          </cell>
          <cell r="D1106">
            <v>587640</v>
          </cell>
          <cell r="E1106">
            <v>1094350</v>
          </cell>
          <cell r="F1106">
            <v>2377643</v>
          </cell>
          <cell r="G1106">
            <v>3471993</v>
          </cell>
          <cell r="H1106">
            <v>560920</v>
          </cell>
        </row>
        <row r="1107">
          <cell r="A1107" t="str">
            <v>3156</v>
          </cell>
          <cell r="B1107" t="str">
            <v>寺井　正幸　　　</v>
          </cell>
          <cell r="C1107">
            <v>517700</v>
          </cell>
          <cell r="D1107">
            <v>587640</v>
          </cell>
          <cell r="E1107">
            <v>1105340</v>
          </cell>
          <cell r="F1107">
            <v>2311774</v>
          </cell>
          <cell r="G1107">
            <v>3417114</v>
          </cell>
          <cell r="H1107">
            <v>560920</v>
          </cell>
        </row>
        <row r="1108">
          <cell r="A1108" t="str">
            <v>3141</v>
          </cell>
          <cell r="B1108" t="str">
            <v>佐伯　貴範　　　</v>
          </cell>
          <cell r="C1108">
            <v>506710</v>
          </cell>
          <cell r="D1108">
            <v>587640</v>
          </cell>
          <cell r="E1108">
            <v>1094350</v>
          </cell>
          <cell r="F1108">
            <v>2404693</v>
          </cell>
          <cell r="G1108">
            <v>3499043</v>
          </cell>
          <cell r="H1108">
            <v>560920</v>
          </cell>
        </row>
        <row r="1109">
          <cell r="A1109" t="str">
            <v>3146</v>
          </cell>
          <cell r="B1109" t="str">
            <v>杉本　雅美　　　</v>
          </cell>
          <cell r="C1109">
            <v>517700</v>
          </cell>
          <cell r="D1109">
            <v>587640</v>
          </cell>
          <cell r="E1109">
            <v>1105340</v>
          </cell>
          <cell r="F1109">
            <v>2698258</v>
          </cell>
          <cell r="G1109">
            <v>3803598</v>
          </cell>
          <cell r="H1109">
            <v>560920</v>
          </cell>
        </row>
        <row r="1110">
          <cell r="A1110" t="str">
            <v>3165</v>
          </cell>
          <cell r="B1110" t="str">
            <v>平瀬　星二　　　</v>
          </cell>
          <cell r="C1110">
            <v>517700</v>
          </cell>
          <cell r="D1110">
            <v>587640</v>
          </cell>
          <cell r="E1110">
            <v>1105340</v>
          </cell>
          <cell r="F1110">
            <v>2999986</v>
          </cell>
          <cell r="G1110">
            <v>4105326</v>
          </cell>
          <cell r="H1110">
            <v>560920</v>
          </cell>
        </row>
        <row r="1111">
          <cell r="A1111" t="str">
            <v>3294</v>
          </cell>
          <cell r="B1111" t="str">
            <v>粟田　努　　　　</v>
          </cell>
          <cell r="C1111">
            <v>513990</v>
          </cell>
          <cell r="D1111">
            <v>587600</v>
          </cell>
          <cell r="E1111">
            <v>1101590</v>
          </cell>
          <cell r="F1111">
            <v>3018874</v>
          </cell>
          <cell r="G1111">
            <v>4120464</v>
          </cell>
          <cell r="H1111">
            <v>565970</v>
          </cell>
        </row>
        <row r="1112">
          <cell r="A1112" t="str">
            <v>2503</v>
          </cell>
          <cell r="B1112" t="str">
            <v>大西　輝男　　　</v>
          </cell>
          <cell r="C1112">
            <v>516490</v>
          </cell>
          <cell r="D1112">
            <v>586580</v>
          </cell>
          <cell r="E1112">
            <v>1103070</v>
          </cell>
          <cell r="F1112">
            <v>2331429</v>
          </cell>
          <cell r="G1112">
            <v>3434499</v>
          </cell>
          <cell r="H1112">
            <v>535030</v>
          </cell>
        </row>
        <row r="1113">
          <cell r="A1113" t="str">
            <v>3161</v>
          </cell>
          <cell r="B1113" t="str">
            <v>萩原　弘喜　　　</v>
          </cell>
          <cell r="C1113">
            <v>506710</v>
          </cell>
          <cell r="D1113">
            <v>585120</v>
          </cell>
          <cell r="E1113">
            <v>1091830</v>
          </cell>
          <cell r="F1113">
            <v>2621678</v>
          </cell>
          <cell r="G1113">
            <v>3713508</v>
          </cell>
          <cell r="H1113">
            <v>558520</v>
          </cell>
        </row>
        <row r="1114">
          <cell r="A1114" t="str">
            <v>3139</v>
          </cell>
          <cell r="B1114" t="str">
            <v>久徳　政明　　　</v>
          </cell>
          <cell r="C1114">
            <v>517700</v>
          </cell>
          <cell r="D1114">
            <v>585120</v>
          </cell>
          <cell r="E1114">
            <v>1102820</v>
          </cell>
          <cell r="F1114">
            <v>2400069</v>
          </cell>
          <cell r="G1114">
            <v>3502889</v>
          </cell>
          <cell r="H1114">
            <v>544450</v>
          </cell>
        </row>
        <row r="1115">
          <cell r="A1115" t="str">
            <v>3333</v>
          </cell>
          <cell r="B1115" t="str">
            <v>藤田　健太郎　　</v>
          </cell>
          <cell r="C1115">
            <v>488680</v>
          </cell>
          <cell r="D1115">
            <v>584400</v>
          </cell>
          <cell r="E1115">
            <v>1073080</v>
          </cell>
          <cell r="F1115">
            <v>2784849</v>
          </cell>
          <cell r="G1115">
            <v>3857929</v>
          </cell>
          <cell r="H1115">
            <v>556080</v>
          </cell>
        </row>
        <row r="1116">
          <cell r="A1116" t="str">
            <v>3101</v>
          </cell>
          <cell r="B1116" t="str">
            <v>安井　清　　　　</v>
          </cell>
          <cell r="C1116">
            <v>485360</v>
          </cell>
          <cell r="D1116">
            <v>583470</v>
          </cell>
          <cell r="E1116">
            <v>1068830</v>
          </cell>
          <cell r="F1116">
            <v>2731147</v>
          </cell>
          <cell r="G1116">
            <v>3799977</v>
          </cell>
          <cell r="H1116">
            <v>555480</v>
          </cell>
        </row>
        <row r="1117">
          <cell r="A1117" t="str">
            <v>3437</v>
          </cell>
          <cell r="B1117" t="str">
            <v>藤丸　弘二　　　</v>
          </cell>
          <cell r="C1117">
            <v>549990</v>
          </cell>
          <cell r="D1117">
            <v>583160</v>
          </cell>
          <cell r="E1117">
            <v>1133150</v>
          </cell>
          <cell r="F1117">
            <v>2624623</v>
          </cell>
          <cell r="G1117">
            <v>3757773</v>
          </cell>
          <cell r="H1117">
            <v>546920</v>
          </cell>
        </row>
        <row r="1118">
          <cell r="A1118" t="str">
            <v>2851</v>
          </cell>
          <cell r="B1118" t="str">
            <v>福谷　正美　　　</v>
          </cell>
          <cell r="C1118">
            <v>602810</v>
          </cell>
          <cell r="D1118">
            <v>582710</v>
          </cell>
          <cell r="E1118">
            <v>1185520</v>
          </cell>
          <cell r="F1118">
            <v>2677853</v>
          </cell>
          <cell r="G1118">
            <v>3863373</v>
          </cell>
          <cell r="H1118">
            <v>586770</v>
          </cell>
        </row>
        <row r="1119">
          <cell r="A1119" t="str">
            <v>2391</v>
          </cell>
          <cell r="B1119" t="str">
            <v>田中　靖子　　　</v>
          </cell>
          <cell r="C1119">
            <v>511540</v>
          </cell>
          <cell r="D1119">
            <v>582170</v>
          </cell>
          <cell r="E1119">
            <v>1093710</v>
          </cell>
          <cell r="F1119">
            <v>2509690</v>
          </cell>
          <cell r="G1119">
            <v>3603400</v>
          </cell>
          <cell r="H1119">
            <v>535730</v>
          </cell>
        </row>
        <row r="1120">
          <cell r="A1120" t="str">
            <v>3295</v>
          </cell>
          <cell r="B1120" t="str">
            <v>辻　裕二　　　　</v>
          </cell>
          <cell r="C1120">
            <v>504820</v>
          </cell>
          <cell r="D1120">
            <v>581760</v>
          </cell>
          <cell r="E1120">
            <v>1086580</v>
          </cell>
          <cell r="F1120">
            <v>2309937</v>
          </cell>
          <cell r="G1120">
            <v>3396517</v>
          </cell>
          <cell r="H1120">
            <v>559340</v>
          </cell>
        </row>
        <row r="1121">
          <cell r="A1121" t="str">
            <v>3296</v>
          </cell>
          <cell r="B1121" t="str">
            <v>和田　篤敬　　　</v>
          </cell>
          <cell r="C1121">
            <v>507350</v>
          </cell>
          <cell r="D1121">
            <v>581760</v>
          </cell>
          <cell r="E1121">
            <v>1089110</v>
          </cell>
          <cell r="F1121">
            <v>2604998</v>
          </cell>
          <cell r="G1121">
            <v>3694108</v>
          </cell>
          <cell r="H1121">
            <v>559340</v>
          </cell>
        </row>
        <row r="1122">
          <cell r="A1122" t="str">
            <v>3419</v>
          </cell>
          <cell r="B1122" t="str">
            <v>宇野　寅雄　　　</v>
          </cell>
          <cell r="C1122">
            <v>540000</v>
          </cell>
          <cell r="D1122">
            <v>581190</v>
          </cell>
          <cell r="E1122">
            <v>1121190</v>
          </cell>
          <cell r="F1122">
            <v>2478987</v>
          </cell>
          <cell r="G1122">
            <v>3600177</v>
          </cell>
          <cell r="H1122">
            <v>549480</v>
          </cell>
        </row>
        <row r="1123">
          <cell r="A1123" t="str">
            <v>3346</v>
          </cell>
          <cell r="B1123" t="str">
            <v>末久　智子　　　</v>
          </cell>
          <cell r="C1123">
            <v>513990</v>
          </cell>
          <cell r="D1123">
            <v>581130</v>
          </cell>
          <cell r="E1123">
            <v>1095120</v>
          </cell>
          <cell r="F1123">
            <v>2517666</v>
          </cell>
          <cell r="G1123">
            <v>3612786</v>
          </cell>
          <cell r="H1123">
            <v>559340</v>
          </cell>
        </row>
        <row r="1124">
          <cell r="A1124" t="str">
            <v>3464</v>
          </cell>
          <cell r="B1124" t="str">
            <v>浦　倫子　　　　</v>
          </cell>
          <cell r="C1124">
            <v>123000</v>
          </cell>
          <cell r="D1124">
            <v>579790</v>
          </cell>
          <cell r="E1124">
            <v>702790</v>
          </cell>
          <cell r="F1124">
            <v>2119104</v>
          </cell>
          <cell r="G1124">
            <v>2821894</v>
          </cell>
          <cell r="H1124">
            <v>543950</v>
          </cell>
        </row>
        <row r="1125">
          <cell r="A1125" t="str">
            <v>2909</v>
          </cell>
          <cell r="B1125" t="str">
            <v>西山　秀明　　　</v>
          </cell>
          <cell r="C1125">
            <v>543210</v>
          </cell>
          <cell r="D1125">
            <v>579540</v>
          </cell>
          <cell r="E1125">
            <v>1122750</v>
          </cell>
          <cell r="F1125">
            <v>3891517</v>
          </cell>
          <cell r="G1125">
            <v>5014267</v>
          </cell>
          <cell r="H1125">
            <v>558800</v>
          </cell>
        </row>
        <row r="1126">
          <cell r="A1126" t="str">
            <v>2995</v>
          </cell>
          <cell r="B1126" t="str">
            <v>中谷　隆之　　　</v>
          </cell>
          <cell r="C1126">
            <v>551530</v>
          </cell>
          <cell r="D1126">
            <v>578530</v>
          </cell>
          <cell r="E1126">
            <v>1130060</v>
          </cell>
          <cell r="F1126">
            <v>2755517</v>
          </cell>
          <cell r="G1126">
            <v>3885577</v>
          </cell>
          <cell r="H1126">
            <v>549570</v>
          </cell>
        </row>
        <row r="1127">
          <cell r="A1127" t="str">
            <v>3329</v>
          </cell>
          <cell r="B1127" t="str">
            <v>橋間　昌昭　　　</v>
          </cell>
          <cell r="C1127">
            <v>507320</v>
          </cell>
          <cell r="D1127">
            <v>577090</v>
          </cell>
          <cell r="E1127">
            <v>1084410</v>
          </cell>
          <cell r="F1127">
            <v>2596735</v>
          </cell>
          <cell r="G1127">
            <v>3681145</v>
          </cell>
          <cell r="H1127">
            <v>548300</v>
          </cell>
        </row>
        <row r="1128">
          <cell r="A1128" t="str">
            <v>3311</v>
          </cell>
          <cell r="B1128" t="str">
            <v>阪下　智彦　　　</v>
          </cell>
          <cell r="C1128">
            <v>502660</v>
          </cell>
          <cell r="D1128">
            <v>577090</v>
          </cell>
          <cell r="E1128">
            <v>1079750</v>
          </cell>
          <cell r="F1128">
            <v>2575485</v>
          </cell>
          <cell r="G1128">
            <v>3655235</v>
          </cell>
          <cell r="H1128">
            <v>556080</v>
          </cell>
        </row>
        <row r="1129">
          <cell r="A1129" t="str">
            <v>3345</v>
          </cell>
          <cell r="B1129" t="str">
            <v>吉田　隆一　　　</v>
          </cell>
          <cell r="C1129">
            <v>502660</v>
          </cell>
          <cell r="D1129">
            <v>577090</v>
          </cell>
          <cell r="E1129">
            <v>1079750</v>
          </cell>
          <cell r="F1129">
            <v>2609955</v>
          </cell>
          <cell r="G1129">
            <v>3689705</v>
          </cell>
          <cell r="H1129">
            <v>548300</v>
          </cell>
        </row>
        <row r="1130">
          <cell r="A1130" t="str">
            <v>3317</v>
          </cell>
          <cell r="B1130" t="str">
            <v>鷹見　一臣　　　</v>
          </cell>
          <cell r="C1130">
            <v>496450</v>
          </cell>
          <cell r="D1130">
            <v>577090</v>
          </cell>
          <cell r="E1130">
            <v>1073540</v>
          </cell>
          <cell r="F1130">
            <v>2637343</v>
          </cell>
          <cell r="G1130">
            <v>3710883</v>
          </cell>
          <cell r="H1130">
            <v>540520</v>
          </cell>
        </row>
        <row r="1131">
          <cell r="A1131" t="str">
            <v>3340</v>
          </cell>
          <cell r="B1131" t="str">
            <v>宮崎　竜也　　　</v>
          </cell>
          <cell r="C1131">
            <v>507320</v>
          </cell>
          <cell r="D1131">
            <v>577090</v>
          </cell>
          <cell r="E1131">
            <v>1084410</v>
          </cell>
          <cell r="F1131">
            <v>2520870</v>
          </cell>
          <cell r="G1131">
            <v>3605280</v>
          </cell>
          <cell r="H1131">
            <v>556080</v>
          </cell>
        </row>
        <row r="1132">
          <cell r="A1132" t="str">
            <v>3343</v>
          </cell>
          <cell r="B1132" t="str">
            <v>山本　伸之　　　</v>
          </cell>
          <cell r="C1132">
            <v>502660</v>
          </cell>
          <cell r="D1132">
            <v>577090</v>
          </cell>
          <cell r="E1132">
            <v>1079750</v>
          </cell>
          <cell r="F1132">
            <v>2617036</v>
          </cell>
          <cell r="G1132">
            <v>3696786</v>
          </cell>
          <cell r="H1132">
            <v>548300</v>
          </cell>
        </row>
        <row r="1133">
          <cell r="A1133" t="str">
            <v>3326</v>
          </cell>
          <cell r="B1133" t="str">
            <v>中野　修　　　　</v>
          </cell>
          <cell r="C1133">
            <v>496450</v>
          </cell>
          <cell r="D1133">
            <v>577090</v>
          </cell>
          <cell r="E1133">
            <v>1073540</v>
          </cell>
          <cell r="F1133">
            <v>2821000</v>
          </cell>
          <cell r="G1133">
            <v>3894540</v>
          </cell>
          <cell r="H1133">
            <v>548300</v>
          </cell>
        </row>
        <row r="1134">
          <cell r="A1134" t="str">
            <v>3304</v>
          </cell>
          <cell r="B1134" t="str">
            <v>大西　卓　　　　</v>
          </cell>
          <cell r="C1134">
            <v>496450</v>
          </cell>
          <cell r="D1134">
            <v>577090</v>
          </cell>
          <cell r="E1134">
            <v>1073540</v>
          </cell>
          <cell r="F1134">
            <v>2572197</v>
          </cell>
          <cell r="G1134">
            <v>3645737</v>
          </cell>
          <cell r="H1134">
            <v>556080</v>
          </cell>
        </row>
        <row r="1135">
          <cell r="A1135" t="str">
            <v>3336</v>
          </cell>
          <cell r="B1135" t="str">
            <v>松本　英一　　　</v>
          </cell>
          <cell r="C1135">
            <v>507320</v>
          </cell>
          <cell r="D1135">
            <v>577090</v>
          </cell>
          <cell r="E1135">
            <v>1084410</v>
          </cell>
          <cell r="F1135">
            <v>2671554</v>
          </cell>
          <cell r="G1135">
            <v>3755964</v>
          </cell>
          <cell r="H1135">
            <v>540520</v>
          </cell>
        </row>
        <row r="1136">
          <cell r="A1136" t="str">
            <v>3301</v>
          </cell>
          <cell r="B1136" t="str">
            <v>入江　直彦　　　</v>
          </cell>
          <cell r="C1136">
            <v>496450</v>
          </cell>
          <cell r="D1136">
            <v>577090</v>
          </cell>
          <cell r="E1136">
            <v>1073540</v>
          </cell>
          <cell r="F1136">
            <v>2535678</v>
          </cell>
          <cell r="G1136">
            <v>3609218</v>
          </cell>
          <cell r="H1136">
            <v>556080</v>
          </cell>
        </row>
        <row r="1137">
          <cell r="A1137" t="str">
            <v>3388</v>
          </cell>
          <cell r="B1137" t="str">
            <v>樋口　博美　　　</v>
          </cell>
          <cell r="C1137">
            <v>495200</v>
          </cell>
          <cell r="D1137">
            <v>577090</v>
          </cell>
          <cell r="E1137">
            <v>1072290</v>
          </cell>
          <cell r="F1137">
            <v>2525276</v>
          </cell>
          <cell r="G1137">
            <v>3597566</v>
          </cell>
          <cell r="H1137">
            <v>548300</v>
          </cell>
        </row>
        <row r="1138">
          <cell r="A1138" t="str">
            <v>3334</v>
          </cell>
          <cell r="B1138" t="str">
            <v>藤本　憲一　　　</v>
          </cell>
          <cell r="C1138">
            <v>502660</v>
          </cell>
          <cell r="D1138">
            <v>577090</v>
          </cell>
          <cell r="E1138">
            <v>1079750</v>
          </cell>
          <cell r="F1138">
            <v>2552634</v>
          </cell>
          <cell r="G1138">
            <v>3632384</v>
          </cell>
          <cell r="H1138">
            <v>548300</v>
          </cell>
        </row>
        <row r="1139">
          <cell r="A1139" t="str">
            <v>3316</v>
          </cell>
          <cell r="B1139" t="str">
            <v>高木　晋司　　　</v>
          </cell>
          <cell r="C1139">
            <v>496450</v>
          </cell>
          <cell r="D1139">
            <v>577090</v>
          </cell>
          <cell r="E1139">
            <v>1073540</v>
          </cell>
          <cell r="F1139">
            <v>2588386</v>
          </cell>
          <cell r="G1139">
            <v>3661926</v>
          </cell>
          <cell r="H1139">
            <v>548300</v>
          </cell>
        </row>
        <row r="1140">
          <cell r="A1140" t="str">
            <v>3308</v>
          </cell>
          <cell r="B1140" t="str">
            <v>金子　宜正　　　</v>
          </cell>
          <cell r="C1140">
            <v>502660</v>
          </cell>
          <cell r="D1140">
            <v>577090</v>
          </cell>
          <cell r="E1140">
            <v>1079750</v>
          </cell>
          <cell r="F1140">
            <v>2557292</v>
          </cell>
          <cell r="G1140">
            <v>3637042</v>
          </cell>
          <cell r="H1140">
            <v>540520</v>
          </cell>
        </row>
        <row r="1141">
          <cell r="A1141" t="str">
            <v>3348</v>
          </cell>
          <cell r="B1141" t="str">
            <v>田中　智子　　　</v>
          </cell>
          <cell r="C1141">
            <v>507320</v>
          </cell>
          <cell r="D1141">
            <v>577090</v>
          </cell>
          <cell r="E1141">
            <v>1084410</v>
          </cell>
          <cell r="F1141">
            <v>2603710</v>
          </cell>
          <cell r="G1141">
            <v>3688120</v>
          </cell>
          <cell r="H1141">
            <v>548300</v>
          </cell>
        </row>
        <row r="1142">
          <cell r="A1142" t="str">
            <v>3310</v>
          </cell>
          <cell r="B1142" t="str">
            <v>斉藤　浩嗣　　　</v>
          </cell>
          <cell r="C1142">
            <v>502660</v>
          </cell>
          <cell r="D1142">
            <v>577090</v>
          </cell>
          <cell r="E1142">
            <v>1079750</v>
          </cell>
          <cell r="F1142">
            <v>2557936</v>
          </cell>
          <cell r="G1142">
            <v>3637686</v>
          </cell>
          <cell r="H1142">
            <v>515620</v>
          </cell>
        </row>
        <row r="1143">
          <cell r="A1143" t="str">
            <v>3318</v>
          </cell>
          <cell r="B1143" t="str">
            <v>田島　伸夫　　　</v>
          </cell>
          <cell r="C1143">
            <v>488680</v>
          </cell>
          <cell r="D1143">
            <v>577090</v>
          </cell>
          <cell r="E1143">
            <v>1065770</v>
          </cell>
          <cell r="F1143">
            <v>2588202</v>
          </cell>
          <cell r="G1143">
            <v>3653972</v>
          </cell>
          <cell r="H1143">
            <v>556080</v>
          </cell>
        </row>
        <row r="1144">
          <cell r="A1144" t="str">
            <v>2828</v>
          </cell>
          <cell r="B1144" t="str">
            <v>伊藤　公　　　　</v>
          </cell>
          <cell r="C1144">
            <v>519450</v>
          </cell>
          <cell r="D1144">
            <v>577070</v>
          </cell>
          <cell r="E1144">
            <v>1096520</v>
          </cell>
          <cell r="F1144">
            <v>2512698</v>
          </cell>
          <cell r="G1144">
            <v>3609218</v>
          </cell>
          <cell r="H1144">
            <v>537990</v>
          </cell>
        </row>
        <row r="1145">
          <cell r="A1145" t="str">
            <v>3155</v>
          </cell>
          <cell r="B1145" t="str">
            <v>出口　真也　　　</v>
          </cell>
          <cell r="C1145">
            <v>449700</v>
          </cell>
          <cell r="D1145">
            <v>576420</v>
          </cell>
          <cell r="E1145">
            <v>1026120</v>
          </cell>
          <cell r="F1145">
            <v>1973622</v>
          </cell>
          <cell r="G1145">
            <v>2999742</v>
          </cell>
          <cell r="H1145">
            <v>531250</v>
          </cell>
        </row>
        <row r="1146">
          <cell r="A1146" t="str">
            <v>2671</v>
          </cell>
          <cell r="B1146" t="str">
            <v>北居　良顕　　　</v>
          </cell>
          <cell r="C1146">
            <v>504630</v>
          </cell>
          <cell r="D1146">
            <v>573570</v>
          </cell>
          <cell r="E1146">
            <v>1078200</v>
          </cell>
          <cell r="F1146">
            <v>2296390</v>
          </cell>
          <cell r="G1146">
            <v>3374590</v>
          </cell>
          <cell r="H1146">
            <v>534260</v>
          </cell>
        </row>
        <row r="1147">
          <cell r="A1147" t="str">
            <v>3180</v>
          </cell>
          <cell r="B1147" t="str">
            <v>木村　暢子　　　</v>
          </cell>
          <cell r="C1147">
            <v>506710</v>
          </cell>
          <cell r="D1147">
            <v>572270</v>
          </cell>
          <cell r="E1147">
            <v>1078980</v>
          </cell>
          <cell r="F1147">
            <v>2415030</v>
          </cell>
          <cell r="G1147">
            <v>3494010</v>
          </cell>
          <cell r="H1147">
            <v>544450</v>
          </cell>
        </row>
        <row r="1148">
          <cell r="A1148" t="str">
            <v>3184</v>
          </cell>
          <cell r="B1148" t="str">
            <v>渡邊　桂子　　　</v>
          </cell>
          <cell r="C1148">
            <v>506710</v>
          </cell>
          <cell r="D1148">
            <v>572270</v>
          </cell>
          <cell r="E1148">
            <v>1078980</v>
          </cell>
          <cell r="F1148">
            <v>2420618</v>
          </cell>
          <cell r="G1148">
            <v>3499598</v>
          </cell>
          <cell r="H1148">
            <v>544450</v>
          </cell>
        </row>
        <row r="1149">
          <cell r="A1149" t="str">
            <v>3303</v>
          </cell>
          <cell r="B1149" t="str">
            <v>遠藤　豊　　　　</v>
          </cell>
          <cell r="C1149">
            <v>507320</v>
          </cell>
          <cell r="D1149">
            <v>571600</v>
          </cell>
          <cell r="E1149">
            <v>1078920</v>
          </cell>
          <cell r="F1149">
            <v>2596685</v>
          </cell>
          <cell r="G1149">
            <v>3675605</v>
          </cell>
          <cell r="H1149">
            <v>548300</v>
          </cell>
        </row>
        <row r="1150">
          <cell r="A1150" t="str">
            <v>3327</v>
          </cell>
          <cell r="B1150" t="str">
            <v>長井　大輝　　　</v>
          </cell>
          <cell r="C1150">
            <v>496450</v>
          </cell>
          <cell r="D1150">
            <v>571600</v>
          </cell>
          <cell r="E1150">
            <v>1068050</v>
          </cell>
          <cell r="F1150">
            <v>2540897</v>
          </cell>
          <cell r="G1150">
            <v>3608947</v>
          </cell>
          <cell r="H1150">
            <v>515620</v>
          </cell>
        </row>
        <row r="1151">
          <cell r="A1151" t="str">
            <v>3297</v>
          </cell>
          <cell r="B1151" t="str">
            <v>井手　義　　　　</v>
          </cell>
          <cell r="C1151">
            <v>502660</v>
          </cell>
          <cell r="D1151">
            <v>571600</v>
          </cell>
          <cell r="E1151">
            <v>1074260</v>
          </cell>
          <cell r="F1151">
            <v>2581020</v>
          </cell>
          <cell r="G1151">
            <v>3655280</v>
          </cell>
          <cell r="H1151">
            <v>548300</v>
          </cell>
        </row>
        <row r="1152">
          <cell r="A1152" t="str">
            <v>3322</v>
          </cell>
          <cell r="B1152" t="str">
            <v>田原　達彦　　　</v>
          </cell>
          <cell r="C1152">
            <v>470040</v>
          </cell>
          <cell r="D1152">
            <v>571600</v>
          </cell>
          <cell r="E1152">
            <v>1041640</v>
          </cell>
          <cell r="F1152">
            <v>2554250</v>
          </cell>
          <cell r="G1152">
            <v>3595890</v>
          </cell>
          <cell r="H1152">
            <v>528070</v>
          </cell>
        </row>
        <row r="1153">
          <cell r="A1153" t="str">
            <v>3344</v>
          </cell>
          <cell r="B1153" t="str">
            <v>吉井　淳　　　　</v>
          </cell>
          <cell r="C1153">
            <v>502660</v>
          </cell>
          <cell r="D1153">
            <v>571600</v>
          </cell>
          <cell r="E1153">
            <v>1074260</v>
          </cell>
          <cell r="F1153">
            <v>2545861</v>
          </cell>
          <cell r="G1153">
            <v>3620121</v>
          </cell>
          <cell r="H1153">
            <v>503180</v>
          </cell>
        </row>
        <row r="1154">
          <cell r="A1154" t="str">
            <v>3338</v>
          </cell>
          <cell r="B1154" t="str">
            <v>水田　敏夫　　　</v>
          </cell>
          <cell r="C1154">
            <v>479360</v>
          </cell>
          <cell r="D1154">
            <v>571600</v>
          </cell>
          <cell r="E1154">
            <v>1050960</v>
          </cell>
          <cell r="F1154">
            <v>2500924</v>
          </cell>
          <cell r="G1154">
            <v>3551884</v>
          </cell>
          <cell r="H1154">
            <v>540520</v>
          </cell>
        </row>
        <row r="1155">
          <cell r="A1155" t="str">
            <v>3309</v>
          </cell>
          <cell r="B1155" t="str">
            <v>駒井　晃　　　　</v>
          </cell>
          <cell r="C1155">
            <v>507320</v>
          </cell>
          <cell r="D1155">
            <v>571600</v>
          </cell>
          <cell r="E1155">
            <v>1078920</v>
          </cell>
          <cell r="F1155">
            <v>2539043</v>
          </cell>
          <cell r="G1155">
            <v>3617963</v>
          </cell>
          <cell r="H1155">
            <v>556080</v>
          </cell>
        </row>
        <row r="1156">
          <cell r="A1156" t="str">
            <v>3300</v>
          </cell>
          <cell r="B1156" t="str">
            <v>稲葉　元一郎　　</v>
          </cell>
          <cell r="C1156">
            <v>496450</v>
          </cell>
          <cell r="D1156">
            <v>571600</v>
          </cell>
          <cell r="E1156">
            <v>1068050</v>
          </cell>
          <cell r="F1156">
            <v>2642385</v>
          </cell>
          <cell r="G1156">
            <v>3710435</v>
          </cell>
          <cell r="H1156">
            <v>548300</v>
          </cell>
        </row>
        <row r="1157">
          <cell r="A1157" t="str">
            <v>1705</v>
          </cell>
          <cell r="B1157" t="str">
            <v>太田　禎子　　　</v>
          </cell>
          <cell r="C1157">
            <v>526900</v>
          </cell>
          <cell r="D1157">
            <v>571380</v>
          </cell>
          <cell r="E1157">
            <v>1098280</v>
          </cell>
          <cell r="F1157">
            <v>3151774</v>
          </cell>
          <cell r="G1157">
            <v>4250054</v>
          </cell>
          <cell r="H1157">
            <v>517590</v>
          </cell>
        </row>
        <row r="1158">
          <cell r="A1158" t="str">
            <v>2924</v>
          </cell>
          <cell r="B1158" t="str">
            <v>野口　静恵　　　</v>
          </cell>
          <cell r="C1158">
            <v>493450</v>
          </cell>
          <cell r="D1158">
            <v>571070</v>
          </cell>
          <cell r="E1158">
            <v>1064520</v>
          </cell>
          <cell r="F1158">
            <v>3062108</v>
          </cell>
          <cell r="G1158">
            <v>4126628</v>
          </cell>
          <cell r="H1158">
            <v>533480</v>
          </cell>
        </row>
        <row r="1159">
          <cell r="A1159" t="str">
            <v>3029</v>
          </cell>
          <cell r="B1159" t="str">
            <v>國松　靖史　　　</v>
          </cell>
          <cell r="C1159">
            <v>492740</v>
          </cell>
          <cell r="D1159">
            <v>570300</v>
          </cell>
          <cell r="E1159">
            <v>1063040</v>
          </cell>
          <cell r="F1159">
            <v>2389846</v>
          </cell>
          <cell r="G1159">
            <v>3452886</v>
          </cell>
          <cell r="H1159">
            <v>520180</v>
          </cell>
        </row>
        <row r="1160">
          <cell r="A1160" t="str">
            <v>3408</v>
          </cell>
          <cell r="B1160" t="str">
            <v>堀　正直　　　　</v>
          </cell>
          <cell r="C1160">
            <v>439900</v>
          </cell>
          <cell r="D1160">
            <v>570280</v>
          </cell>
          <cell r="E1160">
            <v>1010180</v>
          </cell>
          <cell r="F1160">
            <v>2634346</v>
          </cell>
          <cell r="G1160">
            <v>3644526</v>
          </cell>
          <cell r="H1160">
            <v>517080</v>
          </cell>
        </row>
        <row r="1161">
          <cell r="A1161" t="str">
            <v>2283</v>
          </cell>
          <cell r="B1161" t="str">
            <v>石濱　浩　　　　</v>
          </cell>
          <cell r="C1161">
            <v>514720</v>
          </cell>
          <cell r="D1161">
            <v>567210</v>
          </cell>
          <cell r="E1161">
            <v>1081930</v>
          </cell>
          <cell r="F1161">
            <v>3683884</v>
          </cell>
          <cell r="G1161">
            <v>4765814</v>
          </cell>
          <cell r="H1161">
            <v>529540</v>
          </cell>
        </row>
        <row r="1162">
          <cell r="A1162" t="str">
            <v>1586</v>
          </cell>
          <cell r="B1162" t="str">
            <v>長谷川　泰子　　</v>
          </cell>
          <cell r="C1162">
            <v>500300</v>
          </cell>
          <cell r="D1162">
            <v>566490</v>
          </cell>
          <cell r="E1162">
            <v>1066790</v>
          </cell>
          <cell r="F1162">
            <v>2470881</v>
          </cell>
          <cell r="G1162">
            <v>3537671</v>
          </cell>
          <cell r="H1162">
            <v>511160</v>
          </cell>
        </row>
        <row r="1163">
          <cell r="A1163" t="str">
            <v>2669</v>
          </cell>
          <cell r="B1163" t="str">
            <v>大西　達也　　　</v>
          </cell>
          <cell r="C1163">
            <v>501670</v>
          </cell>
          <cell r="D1163">
            <v>565770</v>
          </cell>
          <cell r="E1163">
            <v>1067440</v>
          </cell>
          <cell r="F1163">
            <v>2519228</v>
          </cell>
          <cell r="G1163">
            <v>3586668</v>
          </cell>
          <cell r="H1163">
            <v>517220</v>
          </cell>
        </row>
        <row r="1164">
          <cell r="A1164" t="str">
            <v>1801</v>
          </cell>
          <cell r="B1164" t="str">
            <v>岩崎　秀夫　　　</v>
          </cell>
          <cell r="C1164">
            <v>587120</v>
          </cell>
          <cell r="D1164">
            <v>565730</v>
          </cell>
          <cell r="E1164">
            <v>1152850</v>
          </cell>
          <cell r="F1164">
            <v>3054515</v>
          </cell>
          <cell r="G1164">
            <v>4207365</v>
          </cell>
          <cell r="H1164">
            <v>531630</v>
          </cell>
        </row>
        <row r="1165">
          <cell r="A1165" t="str">
            <v>2673</v>
          </cell>
          <cell r="B1165" t="str">
            <v>三浦　敬　　　　</v>
          </cell>
          <cell r="C1165">
            <v>507600</v>
          </cell>
          <cell r="D1165">
            <v>564350</v>
          </cell>
          <cell r="E1165">
            <v>1071950</v>
          </cell>
          <cell r="F1165">
            <v>2314284</v>
          </cell>
          <cell r="G1165">
            <v>3386234</v>
          </cell>
          <cell r="H1165">
            <v>526140</v>
          </cell>
        </row>
        <row r="1166">
          <cell r="A1166" t="str">
            <v>3323</v>
          </cell>
          <cell r="B1166" t="str">
            <v>辻田　哲也　　　</v>
          </cell>
          <cell r="C1166">
            <v>496450</v>
          </cell>
          <cell r="D1166">
            <v>564290</v>
          </cell>
          <cell r="E1166">
            <v>1060740</v>
          </cell>
          <cell r="F1166">
            <v>2507680</v>
          </cell>
          <cell r="G1166">
            <v>3568420</v>
          </cell>
          <cell r="H1166">
            <v>515620</v>
          </cell>
        </row>
        <row r="1167">
          <cell r="A1167" t="str">
            <v>3352</v>
          </cell>
          <cell r="B1167" t="str">
            <v>福島　綾　　　　</v>
          </cell>
          <cell r="C1167">
            <v>502660</v>
          </cell>
          <cell r="D1167">
            <v>564290</v>
          </cell>
          <cell r="E1167">
            <v>1066950</v>
          </cell>
          <cell r="F1167">
            <v>2608649</v>
          </cell>
          <cell r="G1167">
            <v>3675599</v>
          </cell>
          <cell r="H1167">
            <v>540520</v>
          </cell>
        </row>
        <row r="1168">
          <cell r="A1168" t="str">
            <v>3314</v>
          </cell>
          <cell r="B1168" t="str">
            <v>寿恵　昇平　　　</v>
          </cell>
          <cell r="C1168">
            <v>496450</v>
          </cell>
          <cell r="D1168">
            <v>564290</v>
          </cell>
          <cell r="E1168">
            <v>1060740</v>
          </cell>
          <cell r="F1168">
            <v>2589209</v>
          </cell>
          <cell r="G1168">
            <v>3649949</v>
          </cell>
          <cell r="H1168">
            <v>548300</v>
          </cell>
        </row>
        <row r="1169">
          <cell r="A1169" t="str">
            <v>3313</v>
          </cell>
          <cell r="B1169" t="str">
            <v>島田　和浩　　　</v>
          </cell>
          <cell r="C1169">
            <v>502660</v>
          </cell>
          <cell r="D1169">
            <v>564290</v>
          </cell>
          <cell r="E1169">
            <v>1066950</v>
          </cell>
          <cell r="F1169">
            <v>2568941</v>
          </cell>
          <cell r="G1169">
            <v>3635891</v>
          </cell>
          <cell r="H1169">
            <v>548300</v>
          </cell>
        </row>
        <row r="1170">
          <cell r="A1170" t="str">
            <v>3305</v>
          </cell>
          <cell r="B1170" t="str">
            <v>大政　好史　　　</v>
          </cell>
          <cell r="C1170">
            <v>470040</v>
          </cell>
          <cell r="D1170">
            <v>564290</v>
          </cell>
          <cell r="E1170">
            <v>1034330</v>
          </cell>
          <cell r="F1170">
            <v>2587619</v>
          </cell>
          <cell r="G1170">
            <v>3621949</v>
          </cell>
          <cell r="H1170">
            <v>563860</v>
          </cell>
        </row>
        <row r="1171">
          <cell r="A1171" t="str">
            <v>3339</v>
          </cell>
          <cell r="B1171" t="str">
            <v>宮崎　一弘　　　</v>
          </cell>
          <cell r="C1171">
            <v>488680</v>
          </cell>
          <cell r="D1171">
            <v>564290</v>
          </cell>
          <cell r="E1171">
            <v>1052970</v>
          </cell>
          <cell r="F1171">
            <v>2538940</v>
          </cell>
          <cell r="G1171">
            <v>3591910</v>
          </cell>
          <cell r="H1171">
            <v>528070</v>
          </cell>
        </row>
        <row r="1172">
          <cell r="A1172" t="str">
            <v>3177</v>
          </cell>
          <cell r="B1172" t="str">
            <v>大森　淳子　　　</v>
          </cell>
          <cell r="C1172">
            <v>541260</v>
          </cell>
          <cell r="D1172">
            <v>561820</v>
          </cell>
          <cell r="E1172">
            <v>1103080</v>
          </cell>
          <cell r="F1172">
            <v>2573711</v>
          </cell>
          <cell r="G1172">
            <v>3676791</v>
          </cell>
          <cell r="H1172">
            <v>576620</v>
          </cell>
        </row>
        <row r="1173">
          <cell r="A1173" t="str">
            <v>3033</v>
          </cell>
          <cell r="B1173" t="str">
            <v>大和　健二　　　</v>
          </cell>
          <cell r="C1173">
            <v>474080</v>
          </cell>
          <cell r="D1173">
            <v>561770</v>
          </cell>
          <cell r="E1173">
            <v>1035850</v>
          </cell>
          <cell r="F1173">
            <v>2254002</v>
          </cell>
          <cell r="G1173">
            <v>3289852</v>
          </cell>
          <cell r="H1173">
            <v>492260</v>
          </cell>
        </row>
        <row r="1174">
          <cell r="A1174" t="str">
            <v>3055</v>
          </cell>
          <cell r="B1174" t="str">
            <v>松永　仁子　　　</v>
          </cell>
          <cell r="C1174">
            <v>495200</v>
          </cell>
          <cell r="D1174">
            <v>561180</v>
          </cell>
          <cell r="E1174">
            <v>1056380</v>
          </cell>
          <cell r="F1174">
            <v>2212423</v>
          </cell>
          <cell r="G1174">
            <v>3268803</v>
          </cell>
          <cell r="H1174">
            <v>523180</v>
          </cell>
        </row>
        <row r="1175">
          <cell r="A1175" t="str">
            <v>2911</v>
          </cell>
          <cell r="B1175" t="str">
            <v>福井　謙一　　　</v>
          </cell>
          <cell r="C1175">
            <v>495200</v>
          </cell>
          <cell r="D1175">
            <v>561180</v>
          </cell>
          <cell r="E1175">
            <v>1056380</v>
          </cell>
          <cell r="F1175">
            <v>2298473</v>
          </cell>
          <cell r="G1175">
            <v>3354853</v>
          </cell>
          <cell r="H1175">
            <v>534260</v>
          </cell>
        </row>
        <row r="1176">
          <cell r="A1176" t="str">
            <v>2228</v>
          </cell>
          <cell r="B1176" t="str">
            <v>大坪　吟　　　　</v>
          </cell>
          <cell r="C1176">
            <v>466850</v>
          </cell>
          <cell r="D1176">
            <v>559460</v>
          </cell>
          <cell r="E1176">
            <v>1026310</v>
          </cell>
          <cell r="F1176">
            <v>2447401</v>
          </cell>
          <cell r="G1176">
            <v>3473711</v>
          </cell>
          <cell r="H1176">
            <v>505460</v>
          </cell>
        </row>
        <row r="1177">
          <cell r="A1177" t="str">
            <v>2387</v>
          </cell>
          <cell r="B1177" t="str">
            <v>佐藤　伸之　　　</v>
          </cell>
          <cell r="C1177">
            <v>522430</v>
          </cell>
          <cell r="D1177">
            <v>557950</v>
          </cell>
          <cell r="E1177">
            <v>1080380</v>
          </cell>
          <cell r="F1177">
            <v>3102621</v>
          </cell>
          <cell r="G1177">
            <v>4183001</v>
          </cell>
          <cell r="H1177">
            <v>520900</v>
          </cell>
        </row>
        <row r="1178">
          <cell r="A1178" t="str">
            <v>1661</v>
          </cell>
          <cell r="B1178" t="str">
            <v>後藤　康子　　　</v>
          </cell>
          <cell r="C1178">
            <v>512790</v>
          </cell>
          <cell r="D1178">
            <v>557800</v>
          </cell>
          <cell r="E1178">
            <v>1070590</v>
          </cell>
          <cell r="F1178">
            <v>2626322</v>
          </cell>
          <cell r="G1178">
            <v>3696912</v>
          </cell>
          <cell r="H1178">
            <v>504270</v>
          </cell>
        </row>
        <row r="1179">
          <cell r="A1179" t="str">
            <v>3158</v>
          </cell>
          <cell r="B1179" t="str">
            <v>鳥海　英夫　　　</v>
          </cell>
          <cell r="C1179">
            <v>508280</v>
          </cell>
          <cell r="D1179">
            <v>551820</v>
          </cell>
          <cell r="E1179">
            <v>1060100</v>
          </cell>
          <cell r="F1179">
            <v>2564791</v>
          </cell>
          <cell r="G1179">
            <v>3624891</v>
          </cell>
          <cell r="H1179">
            <v>546800</v>
          </cell>
        </row>
        <row r="1180">
          <cell r="A1180" t="str">
            <v>3103</v>
          </cell>
          <cell r="B1180" t="str">
            <v>野元　一芳　　　</v>
          </cell>
          <cell r="C1180">
            <v>459950</v>
          </cell>
          <cell r="D1180">
            <v>551610</v>
          </cell>
          <cell r="E1180">
            <v>1011560</v>
          </cell>
          <cell r="F1180">
            <v>2589696</v>
          </cell>
          <cell r="G1180">
            <v>3601256</v>
          </cell>
          <cell r="H1180">
            <v>514260</v>
          </cell>
        </row>
        <row r="1181">
          <cell r="A1181" t="str">
            <v>3354</v>
          </cell>
          <cell r="B1181" t="str">
            <v>丸山　理香子　　</v>
          </cell>
          <cell r="C1181">
            <v>480920</v>
          </cell>
          <cell r="D1181">
            <v>551490</v>
          </cell>
          <cell r="E1181">
            <v>1032410</v>
          </cell>
          <cell r="F1181">
            <v>2623209</v>
          </cell>
          <cell r="G1181">
            <v>3655619</v>
          </cell>
          <cell r="H1181">
            <v>531190</v>
          </cell>
        </row>
        <row r="1182">
          <cell r="A1182" t="str">
            <v>3387</v>
          </cell>
          <cell r="B1182" t="str">
            <v>辻本　千恵　　　</v>
          </cell>
          <cell r="C1182">
            <v>480920</v>
          </cell>
          <cell r="D1182">
            <v>551490</v>
          </cell>
          <cell r="E1182">
            <v>1032410</v>
          </cell>
          <cell r="F1182">
            <v>2443734</v>
          </cell>
          <cell r="G1182">
            <v>3476144</v>
          </cell>
          <cell r="H1182">
            <v>531190</v>
          </cell>
        </row>
        <row r="1183">
          <cell r="A1183" t="str">
            <v>3402</v>
          </cell>
          <cell r="B1183" t="str">
            <v>松井　孝一　　　</v>
          </cell>
          <cell r="C1183">
            <v>463150</v>
          </cell>
          <cell r="D1183">
            <v>551490</v>
          </cell>
          <cell r="E1183">
            <v>1014640</v>
          </cell>
          <cell r="F1183">
            <v>2515676</v>
          </cell>
          <cell r="G1183">
            <v>3530316</v>
          </cell>
          <cell r="H1183">
            <v>498510</v>
          </cell>
        </row>
        <row r="1184">
          <cell r="A1184" t="str">
            <v>3090</v>
          </cell>
          <cell r="B1184" t="str">
            <v>宮田　昭男　　　</v>
          </cell>
          <cell r="C1184">
            <v>473800</v>
          </cell>
          <cell r="D1184">
            <v>548730</v>
          </cell>
          <cell r="E1184">
            <v>1022530</v>
          </cell>
          <cell r="F1184">
            <v>2837214</v>
          </cell>
          <cell r="G1184">
            <v>3859744</v>
          </cell>
          <cell r="H1184">
            <v>529100</v>
          </cell>
        </row>
        <row r="1185">
          <cell r="A1185" t="str">
            <v>3274</v>
          </cell>
          <cell r="B1185" t="str">
            <v>小串　和久　　　</v>
          </cell>
          <cell r="C1185">
            <v>505740</v>
          </cell>
          <cell r="D1185">
            <v>548400</v>
          </cell>
          <cell r="E1185">
            <v>1054140</v>
          </cell>
          <cell r="F1185">
            <v>2798716</v>
          </cell>
          <cell r="G1185">
            <v>3852856</v>
          </cell>
          <cell r="H1185">
            <v>549660</v>
          </cell>
        </row>
        <row r="1186">
          <cell r="A1186" t="str">
            <v>1435</v>
          </cell>
          <cell r="B1186" t="str">
            <v>薗田　民子　　　</v>
          </cell>
          <cell r="C1186">
            <v>482810</v>
          </cell>
          <cell r="D1186">
            <v>547260</v>
          </cell>
          <cell r="E1186">
            <v>1030070</v>
          </cell>
          <cell r="F1186">
            <v>2426685</v>
          </cell>
          <cell r="G1186">
            <v>3456755</v>
          </cell>
          <cell r="H1186">
            <v>493810</v>
          </cell>
        </row>
        <row r="1187">
          <cell r="A1187" t="str">
            <v>2433</v>
          </cell>
          <cell r="B1187" t="str">
            <v>森　あゆみ　　　</v>
          </cell>
          <cell r="C1187">
            <v>482810</v>
          </cell>
          <cell r="D1187">
            <v>547260</v>
          </cell>
          <cell r="E1187">
            <v>1030070</v>
          </cell>
          <cell r="F1187">
            <v>2704628</v>
          </cell>
          <cell r="G1187">
            <v>3734698</v>
          </cell>
          <cell r="H1187">
            <v>493810</v>
          </cell>
        </row>
        <row r="1188">
          <cell r="A1188" t="str">
            <v>1395</v>
          </cell>
          <cell r="B1188" t="str">
            <v>谷元　和代　　　</v>
          </cell>
          <cell r="C1188">
            <v>485840</v>
          </cell>
          <cell r="D1188">
            <v>547170</v>
          </cell>
          <cell r="E1188">
            <v>1033010</v>
          </cell>
          <cell r="F1188">
            <v>2950917</v>
          </cell>
          <cell r="G1188">
            <v>3983927</v>
          </cell>
          <cell r="H1188">
            <v>511160</v>
          </cell>
        </row>
        <row r="1189">
          <cell r="A1189" t="str">
            <v>1707</v>
          </cell>
          <cell r="B1189" t="str">
            <v>中阿地　富美雄　</v>
          </cell>
          <cell r="C1189">
            <v>495630</v>
          </cell>
          <cell r="D1189">
            <v>546160</v>
          </cell>
          <cell r="E1189">
            <v>1041790</v>
          </cell>
          <cell r="F1189">
            <v>2648826</v>
          </cell>
          <cell r="G1189">
            <v>3690616</v>
          </cell>
          <cell r="H1189">
            <v>496090</v>
          </cell>
        </row>
        <row r="1190">
          <cell r="A1190" t="str">
            <v>3342</v>
          </cell>
          <cell r="B1190" t="str">
            <v>山下　隆平　　　</v>
          </cell>
          <cell r="C1190">
            <v>480920</v>
          </cell>
          <cell r="D1190">
            <v>546010</v>
          </cell>
          <cell r="E1190">
            <v>1026930</v>
          </cell>
          <cell r="F1190">
            <v>2504134</v>
          </cell>
          <cell r="G1190">
            <v>3531064</v>
          </cell>
          <cell r="H1190">
            <v>514070</v>
          </cell>
        </row>
        <row r="1191">
          <cell r="A1191" t="str">
            <v>3315</v>
          </cell>
          <cell r="B1191" t="str">
            <v>園田　秀行　　　</v>
          </cell>
          <cell r="C1191">
            <v>480920</v>
          </cell>
          <cell r="D1191">
            <v>546010</v>
          </cell>
          <cell r="E1191">
            <v>1026930</v>
          </cell>
          <cell r="F1191">
            <v>2375005</v>
          </cell>
          <cell r="G1191">
            <v>3401935</v>
          </cell>
          <cell r="H1191">
            <v>524960</v>
          </cell>
        </row>
        <row r="1192">
          <cell r="A1192" t="str">
            <v>3306</v>
          </cell>
          <cell r="B1192" t="str">
            <v>大丸　清　　　　</v>
          </cell>
          <cell r="C1192">
            <v>480920</v>
          </cell>
          <cell r="D1192">
            <v>546010</v>
          </cell>
          <cell r="E1192">
            <v>1026930</v>
          </cell>
          <cell r="F1192">
            <v>2280613</v>
          </cell>
          <cell r="G1192">
            <v>3307543</v>
          </cell>
          <cell r="H1192">
            <v>514070</v>
          </cell>
        </row>
        <row r="1193">
          <cell r="A1193" t="str">
            <v>3349</v>
          </cell>
          <cell r="B1193" t="str">
            <v>多聞　華世　　　</v>
          </cell>
          <cell r="C1193">
            <v>480920</v>
          </cell>
          <cell r="D1193">
            <v>546010</v>
          </cell>
          <cell r="E1193">
            <v>1026930</v>
          </cell>
          <cell r="F1193">
            <v>2467823</v>
          </cell>
          <cell r="G1193">
            <v>3494753</v>
          </cell>
          <cell r="H1193">
            <v>524960</v>
          </cell>
        </row>
        <row r="1194">
          <cell r="A1194" t="str">
            <v>3337</v>
          </cell>
          <cell r="B1194" t="str">
            <v>三角　学　　　　</v>
          </cell>
          <cell r="C1194">
            <v>480920</v>
          </cell>
          <cell r="D1194">
            <v>546010</v>
          </cell>
          <cell r="E1194">
            <v>1026930</v>
          </cell>
          <cell r="F1194">
            <v>2378321</v>
          </cell>
          <cell r="G1194">
            <v>3405251</v>
          </cell>
          <cell r="H1194">
            <v>531190</v>
          </cell>
        </row>
        <row r="1195">
          <cell r="A1195" t="str">
            <v>3328</v>
          </cell>
          <cell r="B1195" t="str">
            <v>永田　毅　　　　</v>
          </cell>
          <cell r="C1195">
            <v>485570</v>
          </cell>
          <cell r="D1195">
            <v>546010</v>
          </cell>
          <cell r="E1195">
            <v>1031580</v>
          </cell>
          <cell r="F1195">
            <v>2300469</v>
          </cell>
          <cell r="G1195">
            <v>3332049</v>
          </cell>
          <cell r="H1195">
            <v>524960</v>
          </cell>
        </row>
        <row r="1196">
          <cell r="A1196" t="str">
            <v>3330</v>
          </cell>
          <cell r="B1196" t="str">
            <v>早瀬　主税　　　</v>
          </cell>
          <cell r="C1196">
            <v>480920</v>
          </cell>
          <cell r="D1196">
            <v>546010</v>
          </cell>
          <cell r="E1196">
            <v>1026930</v>
          </cell>
          <cell r="F1196">
            <v>2348419</v>
          </cell>
          <cell r="G1196">
            <v>3375349</v>
          </cell>
          <cell r="H1196">
            <v>524960</v>
          </cell>
        </row>
        <row r="1197">
          <cell r="A1197" t="str">
            <v>3319</v>
          </cell>
          <cell r="B1197" t="str">
            <v>田中　重紀　　　</v>
          </cell>
          <cell r="C1197">
            <v>480920</v>
          </cell>
          <cell r="D1197">
            <v>546010</v>
          </cell>
          <cell r="E1197">
            <v>1026930</v>
          </cell>
          <cell r="F1197">
            <v>2431152</v>
          </cell>
          <cell r="G1197">
            <v>3458082</v>
          </cell>
          <cell r="H1197">
            <v>524960</v>
          </cell>
        </row>
        <row r="1198">
          <cell r="A1198" t="str">
            <v>3350</v>
          </cell>
          <cell r="B1198" t="str">
            <v>遠嶋　記与子　　</v>
          </cell>
          <cell r="C1198">
            <v>466940</v>
          </cell>
          <cell r="D1198">
            <v>546010</v>
          </cell>
          <cell r="E1198">
            <v>1012950</v>
          </cell>
          <cell r="F1198">
            <v>2403750</v>
          </cell>
          <cell r="G1198">
            <v>3416700</v>
          </cell>
          <cell r="H1198">
            <v>524960</v>
          </cell>
        </row>
        <row r="1199">
          <cell r="A1199" t="str">
            <v>0692</v>
          </cell>
          <cell r="B1199" t="str">
            <v>北脇　利枝　　　</v>
          </cell>
          <cell r="C1199">
            <v>500300</v>
          </cell>
          <cell r="D1199">
            <v>544520</v>
          </cell>
          <cell r="E1199">
            <v>1044820</v>
          </cell>
          <cell r="F1199">
            <v>2636823</v>
          </cell>
          <cell r="G1199">
            <v>3681643</v>
          </cell>
          <cell r="H1199">
            <v>508690</v>
          </cell>
        </row>
        <row r="1200">
          <cell r="A1200" t="str">
            <v>3312</v>
          </cell>
          <cell r="B1200" t="str">
            <v>佐藤　吉広　　　</v>
          </cell>
          <cell r="C1200">
            <v>496450</v>
          </cell>
          <cell r="D1200">
            <v>544180</v>
          </cell>
          <cell r="E1200">
            <v>1040630</v>
          </cell>
          <cell r="F1200">
            <v>2416430</v>
          </cell>
          <cell r="G1200">
            <v>3457060</v>
          </cell>
          <cell r="H1200">
            <v>503180</v>
          </cell>
        </row>
        <row r="1201">
          <cell r="A1201" t="str">
            <v>3347</v>
          </cell>
          <cell r="B1201" t="str">
            <v>北原　由紀子　　</v>
          </cell>
          <cell r="C1201">
            <v>502660</v>
          </cell>
          <cell r="D1201">
            <v>544180</v>
          </cell>
          <cell r="E1201">
            <v>1046840</v>
          </cell>
          <cell r="F1201">
            <v>2507828</v>
          </cell>
          <cell r="G1201">
            <v>3554668</v>
          </cell>
          <cell r="H1201">
            <v>540520</v>
          </cell>
        </row>
        <row r="1202">
          <cell r="A1202" t="str">
            <v>3077</v>
          </cell>
          <cell r="B1202" t="str">
            <v>菅　浩　　　　　</v>
          </cell>
          <cell r="C1202">
            <v>457250</v>
          </cell>
          <cell r="D1202">
            <v>543930</v>
          </cell>
          <cell r="E1202">
            <v>1001180</v>
          </cell>
          <cell r="F1202">
            <v>2346267</v>
          </cell>
          <cell r="G1202">
            <v>3347447</v>
          </cell>
          <cell r="H1202">
            <v>528750</v>
          </cell>
        </row>
        <row r="1203">
          <cell r="A1203" t="str">
            <v>3413</v>
          </cell>
          <cell r="B1203" t="str">
            <v>阪本　一三　　　</v>
          </cell>
          <cell r="C1203">
            <v>476880</v>
          </cell>
          <cell r="D1203">
            <v>543380</v>
          </cell>
          <cell r="E1203">
            <v>1020260</v>
          </cell>
          <cell r="F1203">
            <v>4746009</v>
          </cell>
          <cell r="G1203">
            <v>5766269</v>
          </cell>
          <cell r="H1203">
            <v>484010</v>
          </cell>
        </row>
        <row r="1204">
          <cell r="A1204" t="str">
            <v>2427</v>
          </cell>
          <cell r="B1204" t="str">
            <v>江藤　章子　　　</v>
          </cell>
          <cell r="C1204">
            <v>472850</v>
          </cell>
          <cell r="D1204">
            <v>542050</v>
          </cell>
          <cell r="E1204">
            <v>1014900</v>
          </cell>
          <cell r="F1204">
            <v>3067517</v>
          </cell>
          <cell r="G1204">
            <v>4082417</v>
          </cell>
          <cell r="H1204">
            <v>486700</v>
          </cell>
        </row>
        <row r="1205">
          <cell r="A1205" t="str">
            <v>3397</v>
          </cell>
          <cell r="B1205" t="str">
            <v>小間口　淳　　　</v>
          </cell>
          <cell r="C1205">
            <v>466360</v>
          </cell>
          <cell r="D1205">
            <v>541050</v>
          </cell>
          <cell r="E1205">
            <v>1007410</v>
          </cell>
          <cell r="F1205">
            <v>3042142</v>
          </cell>
          <cell r="G1205">
            <v>4049552</v>
          </cell>
          <cell r="H1205">
            <v>496000</v>
          </cell>
        </row>
        <row r="1206">
          <cell r="A1206" t="str">
            <v>1981</v>
          </cell>
          <cell r="B1206" t="str">
            <v>高橋　由美　　　</v>
          </cell>
          <cell r="C1206">
            <v>461690</v>
          </cell>
          <cell r="D1206">
            <v>539000</v>
          </cell>
          <cell r="E1206">
            <v>1000690</v>
          </cell>
          <cell r="F1206">
            <v>2667852</v>
          </cell>
          <cell r="G1206">
            <v>3668542</v>
          </cell>
          <cell r="H1206">
            <v>470670</v>
          </cell>
        </row>
        <row r="1207">
          <cell r="A1207" t="str">
            <v>2836</v>
          </cell>
          <cell r="B1207" t="str">
            <v>小高　靖之　　　</v>
          </cell>
          <cell r="C1207">
            <v>475620</v>
          </cell>
          <cell r="D1207">
            <v>538860</v>
          </cell>
          <cell r="E1207">
            <v>1014480</v>
          </cell>
          <cell r="F1207">
            <v>2023879</v>
          </cell>
          <cell r="G1207">
            <v>3038359</v>
          </cell>
          <cell r="H1207">
            <v>502360</v>
          </cell>
        </row>
        <row r="1208">
          <cell r="A1208" t="str">
            <v>2840</v>
          </cell>
          <cell r="B1208" t="str">
            <v>松田　吉生　　　</v>
          </cell>
          <cell r="C1208">
            <v>475620</v>
          </cell>
          <cell r="D1208">
            <v>538860</v>
          </cell>
          <cell r="E1208">
            <v>1014480</v>
          </cell>
          <cell r="F1208">
            <v>2078056</v>
          </cell>
          <cell r="G1208">
            <v>3092536</v>
          </cell>
          <cell r="H1208">
            <v>502360</v>
          </cell>
        </row>
        <row r="1209">
          <cell r="A1209" t="str">
            <v>3307</v>
          </cell>
          <cell r="B1209" t="str">
            <v>岡嶋　浩二　　　</v>
          </cell>
          <cell r="C1209">
            <v>474700</v>
          </cell>
          <cell r="D1209">
            <v>538690</v>
          </cell>
          <cell r="E1209">
            <v>1013390</v>
          </cell>
          <cell r="F1209">
            <v>2461083</v>
          </cell>
          <cell r="G1209">
            <v>3474473</v>
          </cell>
          <cell r="H1209">
            <v>514070</v>
          </cell>
        </row>
        <row r="1210">
          <cell r="A1210" t="str">
            <v>3321</v>
          </cell>
          <cell r="B1210" t="str">
            <v>谷本　顕一朗　　</v>
          </cell>
          <cell r="C1210">
            <v>466940</v>
          </cell>
          <cell r="D1210">
            <v>538690</v>
          </cell>
          <cell r="E1210">
            <v>1005630</v>
          </cell>
          <cell r="F1210">
            <v>2374719</v>
          </cell>
          <cell r="G1210">
            <v>3380349</v>
          </cell>
          <cell r="H1210">
            <v>514070</v>
          </cell>
        </row>
        <row r="1211">
          <cell r="A1211" t="str">
            <v>3302</v>
          </cell>
          <cell r="B1211" t="str">
            <v>馬詰　佳明　　　</v>
          </cell>
          <cell r="C1211">
            <v>474700</v>
          </cell>
          <cell r="D1211">
            <v>538690</v>
          </cell>
          <cell r="E1211">
            <v>1013390</v>
          </cell>
          <cell r="F1211">
            <v>2724104</v>
          </cell>
          <cell r="G1211">
            <v>3737494</v>
          </cell>
          <cell r="H1211">
            <v>514070</v>
          </cell>
        </row>
        <row r="1212">
          <cell r="A1212" t="str">
            <v>3298</v>
          </cell>
          <cell r="B1212" t="str">
            <v>伊藤　万博　　　</v>
          </cell>
          <cell r="C1212">
            <v>474700</v>
          </cell>
          <cell r="D1212">
            <v>538690</v>
          </cell>
          <cell r="E1212">
            <v>1013390</v>
          </cell>
          <cell r="F1212">
            <v>2339281</v>
          </cell>
          <cell r="G1212">
            <v>3352671</v>
          </cell>
          <cell r="H1212">
            <v>524960</v>
          </cell>
        </row>
        <row r="1213">
          <cell r="A1213" t="str">
            <v>3325</v>
          </cell>
          <cell r="B1213" t="str">
            <v>豊田　和久　　　</v>
          </cell>
          <cell r="C1213">
            <v>474700</v>
          </cell>
          <cell r="D1213">
            <v>538690</v>
          </cell>
          <cell r="E1213">
            <v>1013390</v>
          </cell>
          <cell r="F1213">
            <v>2444884</v>
          </cell>
          <cell r="G1213">
            <v>3458274</v>
          </cell>
          <cell r="H1213">
            <v>514070</v>
          </cell>
        </row>
        <row r="1214">
          <cell r="A1214" t="str">
            <v>3353</v>
          </cell>
          <cell r="B1214" t="str">
            <v>松田　有子　　　</v>
          </cell>
          <cell r="C1214">
            <v>466940</v>
          </cell>
          <cell r="D1214">
            <v>538690</v>
          </cell>
          <cell r="E1214">
            <v>1005630</v>
          </cell>
          <cell r="F1214">
            <v>2380376</v>
          </cell>
          <cell r="G1214">
            <v>3386006</v>
          </cell>
          <cell r="H1214">
            <v>514070</v>
          </cell>
        </row>
        <row r="1215">
          <cell r="A1215" t="str">
            <v>3335</v>
          </cell>
          <cell r="B1215" t="str">
            <v>増田　陽　　　　</v>
          </cell>
          <cell r="C1215">
            <v>474700</v>
          </cell>
          <cell r="D1215">
            <v>538690</v>
          </cell>
          <cell r="E1215">
            <v>1013390</v>
          </cell>
          <cell r="F1215">
            <v>2485387</v>
          </cell>
          <cell r="G1215">
            <v>3498777</v>
          </cell>
          <cell r="H1215">
            <v>514070</v>
          </cell>
        </row>
        <row r="1216">
          <cell r="A1216" t="str">
            <v>2903</v>
          </cell>
          <cell r="B1216" t="str">
            <v>中西　あゆみ　　</v>
          </cell>
          <cell r="C1216">
            <v>441550</v>
          </cell>
          <cell r="D1216">
            <v>537670</v>
          </cell>
          <cell r="E1216">
            <v>979220</v>
          </cell>
          <cell r="F1216">
            <v>2283574</v>
          </cell>
          <cell r="G1216">
            <v>3262794</v>
          </cell>
          <cell r="H1216">
            <v>484020</v>
          </cell>
        </row>
        <row r="1217">
          <cell r="A1217" t="str">
            <v>2839</v>
          </cell>
          <cell r="B1217" t="str">
            <v>槙本　隆崇　　　</v>
          </cell>
          <cell r="C1217">
            <v>460990</v>
          </cell>
          <cell r="D1217">
            <v>535670</v>
          </cell>
          <cell r="E1217">
            <v>996660</v>
          </cell>
          <cell r="F1217">
            <v>2250283</v>
          </cell>
          <cell r="G1217">
            <v>3246943</v>
          </cell>
          <cell r="H1217">
            <v>509970</v>
          </cell>
        </row>
        <row r="1218">
          <cell r="A1218" t="str">
            <v>1118</v>
          </cell>
          <cell r="B1218" t="str">
            <v>中山　康子　　　</v>
          </cell>
          <cell r="C1218">
            <v>478220</v>
          </cell>
          <cell r="D1218">
            <v>535560</v>
          </cell>
          <cell r="E1218">
            <v>1013780</v>
          </cell>
          <cell r="F1218">
            <v>2451099</v>
          </cell>
          <cell r="G1218">
            <v>3464879</v>
          </cell>
          <cell r="H1218">
            <v>485140</v>
          </cell>
        </row>
        <row r="1219">
          <cell r="A1219" t="str">
            <v>2835</v>
          </cell>
          <cell r="B1219" t="str">
            <v>川岡　伸幸　　　</v>
          </cell>
          <cell r="C1219">
            <v>497380</v>
          </cell>
          <cell r="D1219">
            <v>534390</v>
          </cell>
          <cell r="E1219">
            <v>1031770</v>
          </cell>
          <cell r="F1219">
            <v>2391104</v>
          </cell>
          <cell r="G1219">
            <v>3422874</v>
          </cell>
          <cell r="H1219">
            <v>481080</v>
          </cell>
        </row>
        <row r="1220">
          <cell r="A1220" t="str">
            <v>1968</v>
          </cell>
          <cell r="B1220" t="str">
            <v>山下　佳恵　　　</v>
          </cell>
          <cell r="C1220">
            <v>490300</v>
          </cell>
          <cell r="D1220">
            <v>533910</v>
          </cell>
          <cell r="E1220">
            <v>1024210</v>
          </cell>
          <cell r="F1220">
            <v>2811646</v>
          </cell>
          <cell r="G1220">
            <v>3835856</v>
          </cell>
          <cell r="H1220">
            <v>482660</v>
          </cell>
        </row>
        <row r="1221">
          <cell r="A1221" t="str">
            <v>3469</v>
          </cell>
          <cell r="B1221" t="str">
            <v>樋口　敬士　　　</v>
          </cell>
          <cell r="C1221">
            <v>160000</v>
          </cell>
          <cell r="D1221">
            <v>533870</v>
          </cell>
          <cell r="E1221">
            <v>693870</v>
          </cell>
          <cell r="F1221">
            <v>1659440</v>
          </cell>
          <cell r="G1221">
            <v>2353310</v>
          </cell>
          <cell r="H1221">
            <v>522660</v>
          </cell>
        </row>
        <row r="1222">
          <cell r="A1222" t="str">
            <v>3468</v>
          </cell>
          <cell r="B1222" t="str">
            <v>高尾　恒太　　　</v>
          </cell>
          <cell r="C1222">
            <v>160000</v>
          </cell>
          <cell r="D1222">
            <v>533870</v>
          </cell>
          <cell r="E1222">
            <v>693870</v>
          </cell>
          <cell r="F1222">
            <v>1659053</v>
          </cell>
          <cell r="G1222">
            <v>2352923</v>
          </cell>
          <cell r="H1222">
            <v>517770</v>
          </cell>
        </row>
        <row r="1223">
          <cell r="A1223" t="str">
            <v>3405</v>
          </cell>
          <cell r="B1223" t="str">
            <v>平野　学　　　　</v>
          </cell>
          <cell r="C1223">
            <v>411830</v>
          </cell>
          <cell r="D1223">
            <v>533330</v>
          </cell>
          <cell r="E1223">
            <v>945160</v>
          </cell>
          <cell r="F1223">
            <v>2495544</v>
          </cell>
          <cell r="G1223">
            <v>3440704</v>
          </cell>
          <cell r="H1223">
            <v>497910</v>
          </cell>
        </row>
        <row r="1224">
          <cell r="A1224" t="str">
            <v>3320</v>
          </cell>
          <cell r="B1224" t="str">
            <v>田中　博明　　　</v>
          </cell>
          <cell r="C1224">
            <v>496450</v>
          </cell>
          <cell r="D1224">
            <v>533210</v>
          </cell>
          <cell r="E1224">
            <v>1029660</v>
          </cell>
          <cell r="F1224">
            <v>2538515</v>
          </cell>
          <cell r="G1224">
            <v>3568175</v>
          </cell>
          <cell r="H1224">
            <v>515620</v>
          </cell>
        </row>
        <row r="1225">
          <cell r="A1225" t="str">
            <v>3331</v>
          </cell>
          <cell r="B1225" t="str">
            <v>平野　慶郎　　　</v>
          </cell>
          <cell r="C1225">
            <v>496450</v>
          </cell>
          <cell r="D1225">
            <v>533210</v>
          </cell>
          <cell r="E1225">
            <v>1029660</v>
          </cell>
          <cell r="F1225">
            <v>2519480</v>
          </cell>
          <cell r="G1225">
            <v>3549140</v>
          </cell>
          <cell r="H1225">
            <v>515620</v>
          </cell>
        </row>
        <row r="1226">
          <cell r="A1226" t="str">
            <v>3324</v>
          </cell>
          <cell r="B1226" t="str">
            <v>戸澤　高広　　　</v>
          </cell>
          <cell r="C1226">
            <v>502660</v>
          </cell>
          <cell r="D1226">
            <v>533210</v>
          </cell>
          <cell r="E1226">
            <v>1035870</v>
          </cell>
          <cell r="F1226">
            <v>2444446</v>
          </cell>
          <cell r="G1226">
            <v>3480316</v>
          </cell>
          <cell r="H1226">
            <v>515620</v>
          </cell>
        </row>
        <row r="1227">
          <cell r="A1227" t="str">
            <v>3341</v>
          </cell>
          <cell r="B1227" t="str">
            <v>山川　和洋　　　</v>
          </cell>
          <cell r="C1227">
            <v>496450</v>
          </cell>
          <cell r="D1227">
            <v>532720</v>
          </cell>
          <cell r="E1227">
            <v>1029170</v>
          </cell>
          <cell r="F1227">
            <v>2455370</v>
          </cell>
          <cell r="G1227">
            <v>3484540</v>
          </cell>
          <cell r="H1227">
            <v>527290</v>
          </cell>
        </row>
        <row r="1228">
          <cell r="A1228" t="str">
            <v>2132</v>
          </cell>
          <cell r="B1228" t="str">
            <v>横江　小百合　　</v>
          </cell>
          <cell r="C1228">
            <v>445660</v>
          </cell>
          <cell r="D1228">
            <v>531600</v>
          </cell>
          <cell r="E1228">
            <v>977260</v>
          </cell>
          <cell r="F1228">
            <v>2268924</v>
          </cell>
          <cell r="G1228">
            <v>3246184</v>
          </cell>
          <cell r="H1228">
            <v>444200</v>
          </cell>
        </row>
        <row r="1229">
          <cell r="A1229" t="str">
            <v>1399</v>
          </cell>
          <cell r="B1229" t="str">
            <v>渡辺　かおる　　</v>
          </cell>
          <cell r="C1229">
            <v>473560</v>
          </cell>
          <cell r="D1229">
            <v>530410</v>
          </cell>
          <cell r="E1229">
            <v>1003970</v>
          </cell>
          <cell r="F1229">
            <v>2584367</v>
          </cell>
          <cell r="G1229">
            <v>3588337</v>
          </cell>
          <cell r="H1229">
            <v>497050</v>
          </cell>
        </row>
        <row r="1230">
          <cell r="A1230" t="str">
            <v>3287</v>
          </cell>
          <cell r="B1230" t="str">
            <v>大津　昭子　　　</v>
          </cell>
          <cell r="C1230">
            <v>467890</v>
          </cell>
          <cell r="D1230">
            <v>530270</v>
          </cell>
          <cell r="E1230">
            <v>998160</v>
          </cell>
          <cell r="F1230">
            <v>3318226</v>
          </cell>
          <cell r="G1230">
            <v>4316386</v>
          </cell>
          <cell r="H1230">
            <v>510160</v>
          </cell>
        </row>
        <row r="1231">
          <cell r="A1231" t="str">
            <v>3299</v>
          </cell>
          <cell r="B1231" t="str">
            <v>稲越　康　　　　</v>
          </cell>
          <cell r="C1231">
            <v>474700</v>
          </cell>
          <cell r="D1231">
            <v>529550</v>
          </cell>
          <cell r="E1231">
            <v>1004250</v>
          </cell>
          <cell r="F1231">
            <v>2454807</v>
          </cell>
          <cell r="G1231">
            <v>3459057</v>
          </cell>
          <cell r="H1231">
            <v>514070</v>
          </cell>
        </row>
        <row r="1232">
          <cell r="A1232" t="str">
            <v>2749</v>
          </cell>
          <cell r="B1232" t="str">
            <v>中田　朱美　　　</v>
          </cell>
          <cell r="C1232">
            <v>455300</v>
          </cell>
          <cell r="D1232">
            <v>529040</v>
          </cell>
          <cell r="E1232">
            <v>984340</v>
          </cell>
          <cell r="F1232">
            <v>2229746</v>
          </cell>
          <cell r="G1232">
            <v>3214086</v>
          </cell>
          <cell r="H1232">
            <v>456620</v>
          </cell>
        </row>
        <row r="1233">
          <cell r="A1233" t="str">
            <v>2937</v>
          </cell>
          <cell r="B1233" t="str">
            <v>田中　佐智代　　</v>
          </cell>
          <cell r="C1233">
            <v>448090</v>
          </cell>
          <cell r="D1233">
            <v>528000</v>
          </cell>
          <cell r="E1233">
            <v>976090</v>
          </cell>
          <cell r="F1233">
            <v>2291515</v>
          </cell>
          <cell r="G1233">
            <v>3267605</v>
          </cell>
          <cell r="H1233">
            <v>475460</v>
          </cell>
        </row>
        <row r="1234">
          <cell r="A1234" t="str">
            <v>3031</v>
          </cell>
          <cell r="B1234" t="str">
            <v>川崎　昌弘　　　</v>
          </cell>
          <cell r="C1234">
            <v>440510</v>
          </cell>
          <cell r="D1234">
            <v>524590</v>
          </cell>
          <cell r="E1234">
            <v>965100</v>
          </cell>
          <cell r="F1234">
            <v>2081518</v>
          </cell>
          <cell r="G1234">
            <v>3046618</v>
          </cell>
          <cell r="H1234">
            <v>459300</v>
          </cell>
        </row>
        <row r="1235">
          <cell r="A1235" t="str">
            <v>2837</v>
          </cell>
          <cell r="B1235" t="str">
            <v>佐藤　俊行　　　</v>
          </cell>
          <cell r="C1235">
            <v>478050</v>
          </cell>
          <cell r="D1235">
            <v>524070</v>
          </cell>
          <cell r="E1235">
            <v>1002120</v>
          </cell>
          <cell r="F1235">
            <v>2980652</v>
          </cell>
          <cell r="G1235">
            <v>3982772</v>
          </cell>
          <cell r="H1235">
            <v>505330</v>
          </cell>
        </row>
        <row r="1236">
          <cell r="A1236" t="str">
            <v>2833</v>
          </cell>
          <cell r="B1236" t="str">
            <v>大場　良博　　　</v>
          </cell>
          <cell r="C1236">
            <v>478050</v>
          </cell>
          <cell r="D1236">
            <v>524070</v>
          </cell>
          <cell r="E1236">
            <v>1002120</v>
          </cell>
          <cell r="F1236">
            <v>2587195</v>
          </cell>
          <cell r="G1236">
            <v>3589315</v>
          </cell>
          <cell r="H1236">
            <v>505330</v>
          </cell>
        </row>
        <row r="1237">
          <cell r="A1237" t="str">
            <v>1977</v>
          </cell>
          <cell r="B1237" t="str">
            <v>幸　由美　　　　</v>
          </cell>
          <cell r="C1237">
            <v>461690</v>
          </cell>
          <cell r="D1237">
            <v>523280</v>
          </cell>
          <cell r="E1237">
            <v>984970</v>
          </cell>
          <cell r="F1237">
            <v>2633114</v>
          </cell>
          <cell r="G1237">
            <v>3618084</v>
          </cell>
          <cell r="H1237">
            <v>342600</v>
          </cell>
        </row>
        <row r="1238">
          <cell r="A1238" t="str">
            <v>1438</v>
          </cell>
          <cell r="B1238" t="str">
            <v>田中　たみ子　　</v>
          </cell>
          <cell r="C1238">
            <v>461690</v>
          </cell>
          <cell r="D1238">
            <v>523280</v>
          </cell>
          <cell r="E1238">
            <v>984970</v>
          </cell>
          <cell r="F1238">
            <v>2912732</v>
          </cell>
          <cell r="G1238">
            <v>3897702</v>
          </cell>
          <cell r="H1238">
            <v>473060</v>
          </cell>
        </row>
        <row r="1239">
          <cell r="A1239" t="str">
            <v>2841</v>
          </cell>
          <cell r="B1239" t="str">
            <v>山崎　博輝　　　</v>
          </cell>
          <cell r="C1239">
            <v>463380</v>
          </cell>
          <cell r="D1239">
            <v>521000</v>
          </cell>
          <cell r="E1239">
            <v>984380</v>
          </cell>
          <cell r="F1239">
            <v>2271450</v>
          </cell>
          <cell r="G1239">
            <v>3255830</v>
          </cell>
          <cell r="H1239">
            <v>486400</v>
          </cell>
        </row>
        <row r="1240">
          <cell r="A1240" t="str">
            <v>3392</v>
          </cell>
          <cell r="B1240" t="str">
            <v>大西　康司　　　</v>
          </cell>
          <cell r="C1240">
            <v>410390</v>
          </cell>
          <cell r="D1240">
            <v>520990</v>
          </cell>
          <cell r="E1240">
            <v>931380</v>
          </cell>
          <cell r="F1240">
            <v>2671693</v>
          </cell>
          <cell r="G1240">
            <v>3603073</v>
          </cell>
          <cell r="H1240">
            <v>470590</v>
          </cell>
        </row>
        <row r="1241">
          <cell r="A1241" t="str">
            <v>3032</v>
          </cell>
          <cell r="B1241" t="str">
            <v>仲宗根　正樹　　</v>
          </cell>
          <cell r="C1241">
            <v>460900</v>
          </cell>
          <cell r="D1241">
            <v>518180</v>
          </cell>
          <cell r="E1241">
            <v>979080</v>
          </cell>
          <cell r="F1241">
            <v>2260242</v>
          </cell>
          <cell r="G1241">
            <v>3239322</v>
          </cell>
          <cell r="H1241">
            <v>466300</v>
          </cell>
        </row>
        <row r="1242">
          <cell r="A1242" t="str">
            <v>2542</v>
          </cell>
          <cell r="B1242" t="str">
            <v>桑原　久美子　　</v>
          </cell>
          <cell r="C1242">
            <v>444130</v>
          </cell>
          <cell r="D1242">
            <v>517970</v>
          </cell>
          <cell r="E1242">
            <v>962100</v>
          </cell>
          <cell r="F1242">
            <v>2424590</v>
          </cell>
          <cell r="G1242">
            <v>3386690</v>
          </cell>
          <cell r="H1242">
            <v>483880</v>
          </cell>
        </row>
        <row r="1243">
          <cell r="A1243" t="str">
            <v>2834</v>
          </cell>
          <cell r="B1243" t="str">
            <v>沖　利治　　　　</v>
          </cell>
          <cell r="C1243">
            <v>460990</v>
          </cell>
          <cell r="D1243">
            <v>517920</v>
          </cell>
          <cell r="E1243">
            <v>978910</v>
          </cell>
          <cell r="F1243">
            <v>2102586</v>
          </cell>
          <cell r="G1243">
            <v>3081496</v>
          </cell>
          <cell r="H1243">
            <v>467660</v>
          </cell>
        </row>
        <row r="1244">
          <cell r="A1244" t="str">
            <v>0684</v>
          </cell>
          <cell r="B1244" t="str">
            <v>松山　綾枝　　　</v>
          </cell>
          <cell r="C1244">
            <v>447990</v>
          </cell>
          <cell r="D1244">
            <v>517610</v>
          </cell>
          <cell r="E1244">
            <v>965600</v>
          </cell>
          <cell r="F1244">
            <v>2445411</v>
          </cell>
          <cell r="G1244">
            <v>3411011</v>
          </cell>
          <cell r="H1244">
            <v>468880</v>
          </cell>
        </row>
        <row r="1245">
          <cell r="A1245" t="str">
            <v>2936</v>
          </cell>
          <cell r="B1245" t="str">
            <v>安東　良恵　　　</v>
          </cell>
          <cell r="C1245">
            <v>433300</v>
          </cell>
          <cell r="D1245">
            <v>517540</v>
          </cell>
          <cell r="E1245">
            <v>950840</v>
          </cell>
          <cell r="F1245">
            <v>2579412</v>
          </cell>
          <cell r="G1245">
            <v>3530252</v>
          </cell>
          <cell r="H1245">
            <v>466440</v>
          </cell>
        </row>
        <row r="1246">
          <cell r="A1246" t="str">
            <v>2724</v>
          </cell>
          <cell r="B1246" t="str">
            <v>鈴木　弘子　　　</v>
          </cell>
          <cell r="C1246">
            <v>427840</v>
          </cell>
          <cell r="D1246">
            <v>517540</v>
          </cell>
          <cell r="E1246">
            <v>945380</v>
          </cell>
          <cell r="F1246">
            <v>2513881</v>
          </cell>
          <cell r="G1246">
            <v>3459261</v>
          </cell>
          <cell r="H1246">
            <v>456620</v>
          </cell>
        </row>
        <row r="1247">
          <cell r="A1247" t="str">
            <v>2758</v>
          </cell>
          <cell r="B1247" t="str">
            <v>辻　信子　　　　</v>
          </cell>
          <cell r="C1247">
            <v>429280</v>
          </cell>
          <cell r="D1247">
            <v>517030</v>
          </cell>
          <cell r="E1247">
            <v>946310</v>
          </cell>
          <cell r="F1247">
            <v>2454719</v>
          </cell>
          <cell r="G1247">
            <v>3401029</v>
          </cell>
          <cell r="H1247">
            <v>451490</v>
          </cell>
        </row>
        <row r="1248">
          <cell r="A1248" t="str">
            <v>2140</v>
          </cell>
          <cell r="B1248" t="str">
            <v>番井　澄子　　　</v>
          </cell>
          <cell r="C1248">
            <v>467070</v>
          </cell>
          <cell r="D1248">
            <v>516770</v>
          </cell>
          <cell r="E1248">
            <v>983840</v>
          </cell>
          <cell r="F1248">
            <v>2585120</v>
          </cell>
          <cell r="G1248">
            <v>3568960</v>
          </cell>
          <cell r="H1248">
            <v>467300</v>
          </cell>
        </row>
        <row r="1249">
          <cell r="A1249" t="str">
            <v>1662</v>
          </cell>
          <cell r="B1249" t="str">
            <v>藤沢　淳子　　　</v>
          </cell>
          <cell r="C1249">
            <v>443260</v>
          </cell>
          <cell r="D1249">
            <v>515330</v>
          </cell>
          <cell r="E1249">
            <v>958590</v>
          </cell>
          <cell r="F1249">
            <v>2800560</v>
          </cell>
          <cell r="G1249">
            <v>3759150</v>
          </cell>
          <cell r="H1249">
            <v>465880</v>
          </cell>
        </row>
        <row r="1250">
          <cell r="A1250" t="str">
            <v>3095</v>
          </cell>
          <cell r="B1250" t="str">
            <v>安達　祥子　　　</v>
          </cell>
          <cell r="C1250">
            <v>410820</v>
          </cell>
          <cell r="D1250">
            <v>514740</v>
          </cell>
          <cell r="E1250">
            <v>925560</v>
          </cell>
          <cell r="F1250">
            <v>2183206</v>
          </cell>
          <cell r="G1250">
            <v>3108766</v>
          </cell>
          <cell r="H1250">
            <v>454140</v>
          </cell>
        </row>
        <row r="1251">
          <cell r="A1251" t="str">
            <v>2446</v>
          </cell>
          <cell r="B1251" t="str">
            <v>川崎　早苗　　　</v>
          </cell>
          <cell r="C1251">
            <v>470310</v>
          </cell>
          <cell r="D1251">
            <v>512690</v>
          </cell>
          <cell r="E1251">
            <v>983000</v>
          </cell>
          <cell r="F1251">
            <v>2457053</v>
          </cell>
          <cell r="G1251">
            <v>3440053</v>
          </cell>
          <cell r="H1251">
            <v>489240</v>
          </cell>
        </row>
        <row r="1252">
          <cell r="A1252" t="str">
            <v>1669</v>
          </cell>
          <cell r="B1252" t="str">
            <v>江原　優子　　　</v>
          </cell>
          <cell r="C1252">
            <v>449590</v>
          </cell>
          <cell r="D1252">
            <v>512690</v>
          </cell>
          <cell r="E1252">
            <v>962280</v>
          </cell>
          <cell r="F1252">
            <v>2313771</v>
          </cell>
          <cell r="G1252">
            <v>3276051</v>
          </cell>
          <cell r="H1252">
            <v>462620</v>
          </cell>
        </row>
        <row r="1253">
          <cell r="A1253" t="str">
            <v>1413</v>
          </cell>
          <cell r="B1253" t="str">
            <v>葛本　あけみ　　</v>
          </cell>
          <cell r="C1253">
            <v>437840</v>
          </cell>
          <cell r="D1253">
            <v>512690</v>
          </cell>
          <cell r="E1253">
            <v>950530</v>
          </cell>
          <cell r="F1253">
            <v>2330120</v>
          </cell>
          <cell r="G1253">
            <v>3280650</v>
          </cell>
          <cell r="H1253">
            <v>463480</v>
          </cell>
        </row>
        <row r="1254">
          <cell r="A1254" t="str">
            <v>2185</v>
          </cell>
          <cell r="B1254" t="str">
            <v>藤井　三津子　　</v>
          </cell>
          <cell r="C1254">
            <v>455290</v>
          </cell>
          <cell r="D1254">
            <v>511520</v>
          </cell>
          <cell r="E1254">
            <v>966810</v>
          </cell>
          <cell r="F1254">
            <v>2231361</v>
          </cell>
          <cell r="G1254">
            <v>3198171</v>
          </cell>
          <cell r="H1254">
            <v>446660</v>
          </cell>
        </row>
        <row r="1255">
          <cell r="A1255" t="str">
            <v>3116</v>
          </cell>
          <cell r="B1255" t="str">
            <v>塩原　祐美子　　</v>
          </cell>
          <cell r="C1255">
            <v>404630</v>
          </cell>
          <cell r="D1255">
            <v>511520</v>
          </cell>
          <cell r="E1255">
            <v>916150</v>
          </cell>
          <cell r="F1255">
            <v>2222004</v>
          </cell>
          <cell r="G1255">
            <v>3138154</v>
          </cell>
          <cell r="H1255">
            <v>471490</v>
          </cell>
        </row>
        <row r="1256">
          <cell r="A1256" t="str">
            <v>2350</v>
          </cell>
          <cell r="B1256" t="str">
            <v>小松　久美子　　</v>
          </cell>
          <cell r="C1256">
            <v>438220</v>
          </cell>
          <cell r="D1256">
            <v>510000</v>
          </cell>
          <cell r="E1256">
            <v>948220</v>
          </cell>
          <cell r="F1256">
            <v>2501763</v>
          </cell>
          <cell r="G1256">
            <v>3449983</v>
          </cell>
          <cell r="H1256">
            <v>461060</v>
          </cell>
        </row>
        <row r="1257">
          <cell r="A1257" t="str">
            <v>2677</v>
          </cell>
          <cell r="B1257" t="str">
            <v>宮崎　里美　　　</v>
          </cell>
          <cell r="C1257">
            <v>429850</v>
          </cell>
          <cell r="D1257">
            <v>508780</v>
          </cell>
          <cell r="E1257">
            <v>938630</v>
          </cell>
          <cell r="F1257">
            <v>2314562</v>
          </cell>
          <cell r="G1257">
            <v>3253192</v>
          </cell>
          <cell r="H1257">
            <v>459080</v>
          </cell>
        </row>
        <row r="1258">
          <cell r="A1258" t="str">
            <v>2689</v>
          </cell>
          <cell r="B1258" t="str">
            <v>籔本　尚代　　　</v>
          </cell>
          <cell r="C1258">
            <v>429850</v>
          </cell>
          <cell r="D1258">
            <v>508780</v>
          </cell>
          <cell r="E1258">
            <v>938630</v>
          </cell>
          <cell r="F1258">
            <v>2529417</v>
          </cell>
          <cell r="G1258">
            <v>3468047</v>
          </cell>
          <cell r="H1258">
            <v>459080</v>
          </cell>
        </row>
        <row r="1259">
          <cell r="A1259" t="str">
            <v>2759</v>
          </cell>
          <cell r="B1259" t="str">
            <v>山崎　美幸　　　</v>
          </cell>
          <cell r="C1259">
            <v>430280</v>
          </cell>
          <cell r="D1259">
            <v>506040</v>
          </cell>
          <cell r="E1259">
            <v>936320</v>
          </cell>
          <cell r="F1259">
            <v>2849598</v>
          </cell>
          <cell r="G1259">
            <v>3785918</v>
          </cell>
          <cell r="H1259">
            <v>456620</v>
          </cell>
        </row>
        <row r="1260">
          <cell r="A1260" t="str">
            <v>2680</v>
          </cell>
          <cell r="B1260" t="str">
            <v>竹久　美弥子　　</v>
          </cell>
          <cell r="C1260">
            <v>435370</v>
          </cell>
          <cell r="D1260">
            <v>506040</v>
          </cell>
          <cell r="E1260">
            <v>941410</v>
          </cell>
          <cell r="F1260">
            <v>2397643</v>
          </cell>
          <cell r="G1260">
            <v>3339053</v>
          </cell>
          <cell r="H1260">
            <v>466440</v>
          </cell>
        </row>
        <row r="1261">
          <cell r="A1261" t="str">
            <v>2726</v>
          </cell>
          <cell r="B1261" t="str">
            <v>三好　悦子　　　</v>
          </cell>
          <cell r="C1261">
            <v>440790</v>
          </cell>
          <cell r="D1261">
            <v>506040</v>
          </cell>
          <cell r="E1261">
            <v>946830</v>
          </cell>
          <cell r="F1261">
            <v>2177440</v>
          </cell>
          <cell r="G1261">
            <v>3124270</v>
          </cell>
          <cell r="H1261">
            <v>466440</v>
          </cell>
        </row>
        <row r="1262">
          <cell r="A1262" t="str">
            <v>2127</v>
          </cell>
          <cell r="B1262" t="str">
            <v>武内　とし子　　</v>
          </cell>
          <cell r="C1262">
            <v>447210</v>
          </cell>
          <cell r="D1262">
            <v>504710</v>
          </cell>
          <cell r="E1262">
            <v>951920</v>
          </cell>
          <cell r="F1262">
            <v>2494834</v>
          </cell>
          <cell r="G1262">
            <v>3446754</v>
          </cell>
          <cell r="H1262">
            <v>456270</v>
          </cell>
        </row>
        <row r="1263">
          <cell r="A1263" t="str">
            <v>3404</v>
          </cell>
          <cell r="B1263" t="str">
            <v>中村　乃　　　　</v>
          </cell>
          <cell r="C1263">
            <v>432610</v>
          </cell>
          <cell r="D1263">
            <v>503450</v>
          </cell>
          <cell r="E1263">
            <v>936060</v>
          </cell>
          <cell r="F1263">
            <v>3038528</v>
          </cell>
          <cell r="G1263">
            <v>3974588</v>
          </cell>
          <cell r="H1263">
            <v>455710</v>
          </cell>
        </row>
        <row r="1264">
          <cell r="A1264" t="str">
            <v>2681</v>
          </cell>
          <cell r="B1264" t="str">
            <v>谷村　真由美　　</v>
          </cell>
          <cell r="C1264">
            <v>427840</v>
          </cell>
          <cell r="D1264">
            <v>503300</v>
          </cell>
          <cell r="E1264">
            <v>931140</v>
          </cell>
          <cell r="F1264">
            <v>2317232</v>
          </cell>
          <cell r="G1264">
            <v>3248372</v>
          </cell>
          <cell r="H1264">
            <v>439480</v>
          </cell>
        </row>
        <row r="1265">
          <cell r="A1265" t="str">
            <v>2412</v>
          </cell>
          <cell r="B1265" t="str">
            <v>仲　純代　　　　</v>
          </cell>
          <cell r="C1265">
            <v>425810</v>
          </cell>
          <cell r="D1265">
            <v>503300</v>
          </cell>
          <cell r="E1265">
            <v>929110</v>
          </cell>
          <cell r="F1265">
            <v>2389661</v>
          </cell>
          <cell r="G1265">
            <v>3318771</v>
          </cell>
          <cell r="H1265">
            <v>454140</v>
          </cell>
        </row>
        <row r="1266">
          <cell r="A1266" t="str">
            <v>3102</v>
          </cell>
          <cell r="B1266" t="str">
            <v>横田　直士　　　</v>
          </cell>
          <cell r="C1266">
            <v>440560</v>
          </cell>
          <cell r="D1266">
            <v>503140</v>
          </cell>
          <cell r="E1266">
            <v>943700</v>
          </cell>
          <cell r="F1266">
            <v>3112143</v>
          </cell>
          <cell r="G1266">
            <v>4055843</v>
          </cell>
          <cell r="H1266">
            <v>501340</v>
          </cell>
        </row>
        <row r="1267">
          <cell r="A1267" t="str">
            <v>2416</v>
          </cell>
          <cell r="B1267" t="str">
            <v>坂田　さかゑ　　</v>
          </cell>
          <cell r="C1267">
            <v>421740</v>
          </cell>
          <cell r="D1267">
            <v>500550</v>
          </cell>
          <cell r="E1267">
            <v>922290</v>
          </cell>
          <cell r="F1267">
            <v>2395183</v>
          </cell>
          <cell r="G1267">
            <v>3317473</v>
          </cell>
          <cell r="H1267">
            <v>451660</v>
          </cell>
        </row>
        <row r="1268">
          <cell r="A1268" t="str">
            <v>2151</v>
          </cell>
          <cell r="B1268" t="str">
            <v>岡村　かをり　　</v>
          </cell>
          <cell r="C1268">
            <v>427860</v>
          </cell>
          <cell r="D1268">
            <v>500550</v>
          </cell>
          <cell r="E1268">
            <v>928410</v>
          </cell>
          <cell r="F1268">
            <v>2572388</v>
          </cell>
          <cell r="G1268">
            <v>3500798</v>
          </cell>
          <cell r="H1268">
            <v>451660</v>
          </cell>
        </row>
        <row r="1269">
          <cell r="A1269" t="str">
            <v>3482</v>
          </cell>
          <cell r="B1269" t="str">
            <v>大田黒　達也　　</v>
          </cell>
          <cell r="C1269">
            <v>150000</v>
          </cell>
          <cell r="D1269">
            <v>500420</v>
          </cell>
          <cell r="E1269">
            <v>650420</v>
          </cell>
          <cell r="F1269">
            <v>1671288</v>
          </cell>
          <cell r="G1269">
            <v>2321708</v>
          </cell>
          <cell r="H1269">
            <v>479200</v>
          </cell>
        </row>
        <row r="1270">
          <cell r="A1270" t="str">
            <v>3499</v>
          </cell>
          <cell r="B1270" t="str">
            <v>西山　大助　　　</v>
          </cell>
          <cell r="C1270">
            <v>150000</v>
          </cell>
          <cell r="D1270">
            <v>500420</v>
          </cell>
          <cell r="E1270">
            <v>650420</v>
          </cell>
          <cell r="F1270">
            <v>1594092</v>
          </cell>
          <cell r="G1270">
            <v>2244512</v>
          </cell>
          <cell r="H1270">
            <v>484830</v>
          </cell>
        </row>
        <row r="1271">
          <cell r="A1271" t="str">
            <v>3494</v>
          </cell>
          <cell r="B1271" t="str">
            <v>田中　宏和　　　</v>
          </cell>
          <cell r="C1271">
            <v>150000</v>
          </cell>
          <cell r="D1271">
            <v>500420</v>
          </cell>
          <cell r="E1271">
            <v>650420</v>
          </cell>
          <cell r="F1271">
            <v>1744940</v>
          </cell>
          <cell r="G1271">
            <v>2395360</v>
          </cell>
          <cell r="H1271">
            <v>511320</v>
          </cell>
        </row>
        <row r="1272">
          <cell r="A1272" t="str">
            <v>3489</v>
          </cell>
          <cell r="B1272" t="str">
            <v>齋藤　竜平　　　</v>
          </cell>
          <cell r="C1272">
            <v>150000</v>
          </cell>
          <cell r="D1272">
            <v>500420</v>
          </cell>
          <cell r="E1272">
            <v>650420</v>
          </cell>
          <cell r="F1272">
            <v>1703465</v>
          </cell>
          <cell r="G1272">
            <v>2353885</v>
          </cell>
          <cell r="H1272">
            <v>483790</v>
          </cell>
        </row>
        <row r="1273">
          <cell r="A1273" t="str">
            <v>3477</v>
          </cell>
          <cell r="B1273" t="str">
            <v>岩本　敦士　　　</v>
          </cell>
          <cell r="C1273">
            <v>150000</v>
          </cell>
          <cell r="D1273">
            <v>500420</v>
          </cell>
          <cell r="E1273">
            <v>650420</v>
          </cell>
          <cell r="F1273">
            <v>1730115</v>
          </cell>
          <cell r="G1273">
            <v>2380535</v>
          </cell>
          <cell r="H1273">
            <v>506730</v>
          </cell>
        </row>
        <row r="1274">
          <cell r="A1274" t="str">
            <v>3480</v>
          </cell>
          <cell r="B1274" t="str">
            <v>仰木　貴志　　　</v>
          </cell>
          <cell r="C1274">
            <v>150000</v>
          </cell>
          <cell r="D1274">
            <v>500420</v>
          </cell>
          <cell r="E1274">
            <v>650420</v>
          </cell>
          <cell r="F1274">
            <v>1680415</v>
          </cell>
          <cell r="G1274">
            <v>2330835</v>
          </cell>
          <cell r="H1274">
            <v>474610</v>
          </cell>
        </row>
        <row r="1275">
          <cell r="A1275" t="str">
            <v>3497</v>
          </cell>
          <cell r="B1275" t="str">
            <v>冨永　剛　　　　</v>
          </cell>
          <cell r="C1275">
            <v>150000</v>
          </cell>
          <cell r="D1275">
            <v>500420</v>
          </cell>
          <cell r="E1275">
            <v>650420</v>
          </cell>
          <cell r="F1275">
            <v>1705604</v>
          </cell>
          <cell r="G1275">
            <v>2356024</v>
          </cell>
          <cell r="H1275">
            <v>506730</v>
          </cell>
        </row>
        <row r="1276">
          <cell r="A1276" t="str">
            <v>3476</v>
          </cell>
          <cell r="B1276" t="str">
            <v>岩間　吉徳　　　</v>
          </cell>
          <cell r="C1276">
            <v>150000</v>
          </cell>
          <cell r="D1276">
            <v>500420</v>
          </cell>
          <cell r="E1276">
            <v>650420</v>
          </cell>
          <cell r="F1276">
            <v>1560538</v>
          </cell>
          <cell r="G1276">
            <v>2210958</v>
          </cell>
          <cell r="H1276">
            <v>485320</v>
          </cell>
        </row>
        <row r="1277">
          <cell r="A1277" t="str">
            <v>3500</v>
          </cell>
          <cell r="B1277" t="str">
            <v>花森　健一　　　</v>
          </cell>
          <cell r="C1277">
            <v>150000</v>
          </cell>
          <cell r="D1277">
            <v>500420</v>
          </cell>
          <cell r="E1277">
            <v>650420</v>
          </cell>
          <cell r="F1277">
            <v>1695143</v>
          </cell>
          <cell r="G1277">
            <v>2345563</v>
          </cell>
          <cell r="H1277">
            <v>506730</v>
          </cell>
        </row>
        <row r="1278">
          <cell r="A1278" t="str">
            <v>3504</v>
          </cell>
          <cell r="B1278" t="str">
            <v>古家　始　　　　</v>
          </cell>
          <cell r="C1278">
            <v>150000</v>
          </cell>
          <cell r="D1278">
            <v>500420</v>
          </cell>
          <cell r="E1278">
            <v>650420</v>
          </cell>
          <cell r="F1278">
            <v>1572195</v>
          </cell>
          <cell r="G1278">
            <v>2222615</v>
          </cell>
          <cell r="H1278">
            <v>485320</v>
          </cell>
        </row>
        <row r="1279">
          <cell r="A1279" t="str">
            <v>3495</v>
          </cell>
          <cell r="B1279" t="str">
            <v>椿　直哉　　　　</v>
          </cell>
          <cell r="C1279">
            <v>150000</v>
          </cell>
          <cell r="D1279">
            <v>500420</v>
          </cell>
          <cell r="E1279">
            <v>650420</v>
          </cell>
          <cell r="F1279">
            <v>1687875</v>
          </cell>
          <cell r="G1279">
            <v>2338295</v>
          </cell>
          <cell r="H1279">
            <v>506730</v>
          </cell>
        </row>
        <row r="1280">
          <cell r="A1280" t="str">
            <v>3470</v>
          </cell>
          <cell r="B1280" t="str">
            <v>赤木　雅哉　　　</v>
          </cell>
          <cell r="C1280">
            <v>150000</v>
          </cell>
          <cell r="D1280">
            <v>500420</v>
          </cell>
          <cell r="E1280">
            <v>650420</v>
          </cell>
          <cell r="F1280">
            <v>1668445</v>
          </cell>
          <cell r="G1280">
            <v>2318865</v>
          </cell>
          <cell r="H1280">
            <v>483790</v>
          </cell>
        </row>
        <row r="1281">
          <cell r="A1281" t="str">
            <v>3475</v>
          </cell>
          <cell r="B1281" t="str">
            <v>岩城　昌弘　　　</v>
          </cell>
          <cell r="C1281">
            <v>150000</v>
          </cell>
          <cell r="D1281">
            <v>500420</v>
          </cell>
          <cell r="E1281">
            <v>650420</v>
          </cell>
          <cell r="F1281">
            <v>1568799</v>
          </cell>
          <cell r="G1281">
            <v>2219219</v>
          </cell>
          <cell r="H1281">
            <v>471550</v>
          </cell>
        </row>
        <row r="1282">
          <cell r="A1282" t="str">
            <v>3507</v>
          </cell>
          <cell r="B1282" t="str">
            <v>石川　裕子　　　</v>
          </cell>
          <cell r="C1282">
            <v>150000</v>
          </cell>
          <cell r="D1282">
            <v>500420</v>
          </cell>
          <cell r="E1282">
            <v>650420</v>
          </cell>
          <cell r="F1282">
            <v>1589119</v>
          </cell>
          <cell r="G1282">
            <v>2239539</v>
          </cell>
          <cell r="H1282">
            <v>479200</v>
          </cell>
        </row>
        <row r="1283">
          <cell r="A1283" t="str">
            <v>3505</v>
          </cell>
          <cell r="B1283" t="str">
            <v>眞井　洋一　　　</v>
          </cell>
          <cell r="C1283">
            <v>150000</v>
          </cell>
          <cell r="D1283">
            <v>500420</v>
          </cell>
          <cell r="E1283">
            <v>650420</v>
          </cell>
          <cell r="F1283">
            <v>1740675</v>
          </cell>
          <cell r="G1283">
            <v>2391095</v>
          </cell>
          <cell r="H1283">
            <v>506730</v>
          </cell>
        </row>
        <row r="1284">
          <cell r="A1284" t="str">
            <v>3511</v>
          </cell>
          <cell r="B1284" t="str">
            <v>中野　久美子　　</v>
          </cell>
          <cell r="C1284">
            <v>150000</v>
          </cell>
          <cell r="D1284">
            <v>500420</v>
          </cell>
          <cell r="E1284">
            <v>650420</v>
          </cell>
          <cell r="F1284">
            <v>1584267</v>
          </cell>
          <cell r="G1284">
            <v>2234687</v>
          </cell>
          <cell r="H1284">
            <v>479200</v>
          </cell>
        </row>
        <row r="1285">
          <cell r="A1285" t="str">
            <v>3473</v>
          </cell>
          <cell r="B1285" t="str">
            <v>板谷　恭史　　　</v>
          </cell>
          <cell r="C1285">
            <v>150000</v>
          </cell>
          <cell r="D1285">
            <v>500420</v>
          </cell>
          <cell r="E1285">
            <v>650420</v>
          </cell>
          <cell r="F1285">
            <v>1572922</v>
          </cell>
          <cell r="G1285">
            <v>2223342</v>
          </cell>
          <cell r="H1285">
            <v>485320</v>
          </cell>
        </row>
        <row r="1286">
          <cell r="A1286" t="str">
            <v>3488</v>
          </cell>
          <cell r="B1286" t="str">
            <v>小堀　健司　　　</v>
          </cell>
          <cell r="C1286">
            <v>150000</v>
          </cell>
          <cell r="D1286">
            <v>500420</v>
          </cell>
          <cell r="E1286">
            <v>650420</v>
          </cell>
          <cell r="F1286">
            <v>1744062</v>
          </cell>
          <cell r="G1286">
            <v>2394482</v>
          </cell>
          <cell r="H1286">
            <v>506730</v>
          </cell>
        </row>
        <row r="1287">
          <cell r="A1287" t="str">
            <v>3483</v>
          </cell>
          <cell r="B1287" t="str">
            <v>嘉儀　博樹　　　</v>
          </cell>
          <cell r="C1287">
            <v>150000</v>
          </cell>
          <cell r="D1287">
            <v>500420</v>
          </cell>
          <cell r="E1287">
            <v>650420</v>
          </cell>
          <cell r="F1287">
            <v>1684535</v>
          </cell>
          <cell r="G1287">
            <v>2334955</v>
          </cell>
          <cell r="H1287">
            <v>500610</v>
          </cell>
        </row>
        <row r="1288">
          <cell r="A1288" t="str">
            <v>3498</v>
          </cell>
          <cell r="B1288" t="str">
            <v>中原　浩雅　　　</v>
          </cell>
          <cell r="C1288">
            <v>150000</v>
          </cell>
          <cell r="D1288">
            <v>500420</v>
          </cell>
          <cell r="E1288">
            <v>650420</v>
          </cell>
          <cell r="F1288">
            <v>1673395</v>
          </cell>
          <cell r="G1288">
            <v>2323815</v>
          </cell>
          <cell r="H1288">
            <v>483790</v>
          </cell>
        </row>
        <row r="1289">
          <cell r="A1289" t="str">
            <v>3481</v>
          </cell>
          <cell r="B1289" t="str">
            <v>大島　仁　　　　</v>
          </cell>
          <cell r="C1289">
            <v>150000</v>
          </cell>
          <cell r="D1289">
            <v>500420</v>
          </cell>
          <cell r="E1289">
            <v>650420</v>
          </cell>
          <cell r="F1289">
            <v>2272996</v>
          </cell>
          <cell r="G1289">
            <v>2923416</v>
          </cell>
          <cell r="H1289">
            <v>492960</v>
          </cell>
        </row>
        <row r="1290">
          <cell r="A1290" t="str">
            <v>3485</v>
          </cell>
          <cell r="B1290" t="str">
            <v>木下　博正　　　</v>
          </cell>
          <cell r="C1290">
            <v>150000</v>
          </cell>
          <cell r="D1290">
            <v>500420</v>
          </cell>
          <cell r="E1290">
            <v>650420</v>
          </cell>
          <cell r="F1290">
            <v>1577293</v>
          </cell>
          <cell r="G1290">
            <v>2227713</v>
          </cell>
          <cell r="H1290">
            <v>485320</v>
          </cell>
        </row>
        <row r="1291">
          <cell r="A1291" t="str">
            <v>3506</v>
          </cell>
          <cell r="B1291" t="str">
            <v>山本　賢一　　　</v>
          </cell>
          <cell r="C1291">
            <v>150000</v>
          </cell>
          <cell r="D1291">
            <v>500420</v>
          </cell>
          <cell r="E1291">
            <v>650420</v>
          </cell>
          <cell r="F1291">
            <v>1718995</v>
          </cell>
          <cell r="G1291">
            <v>2369415</v>
          </cell>
          <cell r="H1291">
            <v>511320</v>
          </cell>
        </row>
        <row r="1292">
          <cell r="A1292" t="str">
            <v>3478</v>
          </cell>
          <cell r="B1292" t="str">
            <v>江崎　栄亮　　　</v>
          </cell>
          <cell r="C1292">
            <v>150000</v>
          </cell>
          <cell r="D1292">
            <v>500420</v>
          </cell>
          <cell r="E1292">
            <v>650420</v>
          </cell>
          <cell r="F1292">
            <v>1584484</v>
          </cell>
          <cell r="G1292">
            <v>2234904</v>
          </cell>
          <cell r="H1292">
            <v>479200</v>
          </cell>
        </row>
        <row r="1293">
          <cell r="A1293" t="str">
            <v>3491</v>
          </cell>
          <cell r="B1293" t="str">
            <v>菅原　秀樹　　　</v>
          </cell>
          <cell r="C1293">
            <v>150000</v>
          </cell>
          <cell r="D1293">
            <v>500420</v>
          </cell>
          <cell r="E1293">
            <v>650420</v>
          </cell>
          <cell r="F1293">
            <v>1688243</v>
          </cell>
          <cell r="G1293">
            <v>2338663</v>
          </cell>
          <cell r="H1293">
            <v>511320</v>
          </cell>
        </row>
        <row r="1294">
          <cell r="A1294" t="str">
            <v>3502</v>
          </cell>
          <cell r="B1294" t="str">
            <v>平野　太進　　　</v>
          </cell>
          <cell r="C1294">
            <v>150000</v>
          </cell>
          <cell r="D1294">
            <v>500420</v>
          </cell>
          <cell r="E1294">
            <v>650420</v>
          </cell>
          <cell r="F1294">
            <v>1679761</v>
          </cell>
          <cell r="G1294">
            <v>2330181</v>
          </cell>
          <cell r="H1294">
            <v>506730</v>
          </cell>
        </row>
        <row r="1295">
          <cell r="A1295" t="str">
            <v>3487</v>
          </cell>
          <cell r="B1295" t="str">
            <v>鯉川　浩二　　　</v>
          </cell>
          <cell r="C1295">
            <v>150000</v>
          </cell>
          <cell r="D1295">
            <v>500420</v>
          </cell>
          <cell r="E1295">
            <v>650420</v>
          </cell>
          <cell r="F1295">
            <v>1690445</v>
          </cell>
          <cell r="G1295">
            <v>2340865</v>
          </cell>
          <cell r="H1295">
            <v>506730</v>
          </cell>
        </row>
        <row r="1296">
          <cell r="A1296" t="str">
            <v>3474</v>
          </cell>
          <cell r="B1296" t="str">
            <v>稲前　賢治　　　</v>
          </cell>
          <cell r="C1296">
            <v>150000</v>
          </cell>
          <cell r="D1296">
            <v>500420</v>
          </cell>
          <cell r="E1296">
            <v>650420</v>
          </cell>
          <cell r="F1296">
            <v>2082968</v>
          </cell>
          <cell r="G1296">
            <v>2733388</v>
          </cell>
          <cell r="H1296">
            <v>506730</v>
          </cell>
        </row>
        <row r="1297">
          <cell r="A1297" t="str">
            <v>3490</v>
          </cell>
          <cell r="B1297" t="str">
            <v>佐々木　正文　　</v>
          </cell>
          <cell r="C1297">
            <v>150000</v>
          </cell>
          <cell r="D1297">
            <v>500420</v>
          </cell>
          <cell r="E1297">
            <v>650420</v>
          </cell>
          <cell r="F1297">
            <v>1647918</v>
          </cell>
          <cell r="G1297">
            <v>2298338</v>
          </cell>
          <cell r="H1297">
            <v>485320</v>
          </cell>
        </row>
        <row r="1298">
          <cell r="A1298" t="str">
            <v>3484</v>
          </cell>
          <cell r="B1298" t="str">
            <v>川浪　巌　　　　</v>
          </cell>
          <cell r="C1298">
            <v>150000</v>
          </cell>
          <cell r="D1298">
            <v>500420</v>
          </cell>
          <cell r="E1298">
            <v>650420</v>
          </cell>
          <cell r="F1298">
            <v>2434597</v>
          </cell>
          <cell r="G1298">
            <v>3085017</v>
          </cell>
          <cell r="H1298">
            <v>511320</v>
          </cell>
        </row>
        <row r="1299">
          <cell r="A1299" t="str">
            <v>3472</v>
          </cell>
          <cell r="B1299" t="str">
            <v>石川　一輝　　　</v>
          </cell>
          <cell r="C1299">
            <v>150000</v>
          </cell>
          <cell r="D1299">
            <v>500420</v>
          </cell>
          <cell r="E1299">
            <v>650420</v>
          </cell>
          <cell r="F1299">
            <v>1713652</v>
          </cell>
          <cell r="G1299">
            <v>2364072</v>
          </cell>
          <cell r="H1299">
            <v>511320</v>
          </cell>
        </row>
        <row r="1300">
          <cell r="A1300" t="str">
            <v>3496</v>
          </cell>
          <cell r="B1300" t="str">
            <v>藤木　史和　　　</v>
          </cell>
          <cell r="C1300">
            <v>150000</v>
          </cell>
          <cell r="D1300">
            <v>500420</v>
          </cell>
          <cell r="E1300">
            <v>650420</v>
          </cell>
          <cell r="F1300">
            <v>1635574</v>
          </cell>
          <cell r="G1300">
            <v>2285994</v>
          </cell>
          <cell r="H1300">
            <v>485320</v>
          </cell>
        </row>
        <row r="1301">
          <cell r="A1301" t="str">
            <v>3486</v>
          </cell>
          <cell r="B1301" t="str">
            <v>桑原　健悟　　　</v>
          </cell>
          <cell r="C1301">
            <v>150000</v>
          </cell>
          <cell r="D1301">
            <v>500420</v>
          </cell>
          <cell r="E1301">
            <v>650420</v>
          </cell>
          <cell r="F1301">
            <v>1682675</v>
          </cell>
          <cell r="G1301">
            <v>2333095</v>
          </cell>
          <cell r="H1301">
            <v>506730</v>
          </cell>
        </row>
        <row r="1302">
          <cell r="A1302" t="str">
            <v>3503</v>
          </cell>
          <cell r="B1302" t="str">
            <v>藤本　忍　　　　</v>
          </cell>
          <cell r="C1302">
            <v>150000</v>
          </cell>
          <cell r="D1302">
            <v>500420</v>
          </cell>
          <cell r="E1302">
            <v>650420</v>
          </cell>
          <cell r="F1302">
            <v>1574547</v>
          </cell>
          <cell r="G1302">
            <v>2224967</v>
          </cell>
          <cell r="H1302">
            <v>479200</v>
          </cell>
        </row>
        <row r="1303">
          <cell r="A1303" t="str">
            <v>3501</v>
          </cell>
          <cell r="B1303" t="str">
            <v>平尾　紀明　　　</v>
          </cell>
          <cell r="C1303">
            <v>150000</v>
          </cell>
          <cell r="D1303">
            <v>500420</v>
          </cell>
          <cell r="E1303">
            <v>650420</v>
          </cell>
          <cell r="F1303">
            <v>1653905</v>
          </cell>
          <cell r="G1303">
            <v>2304325</v>
          </cell>
          <cell r="H1303">
            <v>479200</v>
          </cell>
        </row>
        <row r="1304">
          <cell r="A1304" t="str">
            <v>3510</v>
          </cell>
          <cell r="B1304" t="str">
            <v>田中　章恵　　　</v>
          </cell>
          <cell r="C1304">
            <v>150000</v>
          </cell>
          <cell r="D1304">
            <v>500420</v>
          </cell>
          <cell r="E1304">
            <v>650420</v>
          </cell>
          <cell r="F1304">
            <v>1704985</v>
          </cell>
          <cell r="G1304">
            <v>2355405</v>
          </cell>
          <cell r="H1304">
            <v>485320</v>
          </cell>
        </row>
        <row r="1305">
          <cell r="A1305" t="str">
            <v>3492</v>
          </cell>
          <cell r="B1305" t="str">
            <v>鈴木　英俊　　　</v>
          </cell>
          <cell r="C1305">
            <v>150000</v>
          </cell>
          <cell r="D1305">
            <v>500420</v>
          </cell>
          <cell r="E1305">
            <v>650420</v>
          </cell>
          <cell r="F1305">
            <v>1594777</v>
          </cell>
          <cell r="G1305">
            <v>2245197</v>
          </cell>
          <cell r="H1305">
            <v>485320</v>
          </cell>
        </row>
        <row r="1306">
          <cell r="A1306" t="str">
            <v>3185</v>
          </cell>
          <cell r="B1306" t="str">
            <v>井上　英司　　　</v>
          </cell>
          <cell r="C1306">
            <v>453030</v>
          </cell>
          <cell r="D1306">
            <v>500180</v>
          </cell>
          <cell r="E1306">
            <v>953210</v>
          </cell>
          <cell r="F1306">
            <v>2373918</v>
          </cell>
          <cell r="G1306">
            <v>3327128</v>
          </cell>
          <cell r="H1306">
            <v>488160</v>
          </cell>
        </row>
        <row r="1307">
          <cell r="A1307" t="str">
            <v>2406</v>
          </cell>
          <cell r="B1307" t="str">
            <v>片山　眞由美　　</v>
          </cell>
          <cell r="C1307">
            <v>419720</v>
          </cell>
          <cell r="D1307">
            <v>497780</v>
          </cell>
          <cell r="E1307">
            <v>917500</v>
          </cell>
          <cell r="F1307">
            <v>2608980</v>
          </cell>
          <cell r="G1307">
            <v>3526480</v>
          </cell>
          <cell r="H1307">
            <v>449160</v>
          </cell>
        </row>
        <row r="1308">
          <cell r="A1308" t="str">
            <v>2751</v>
          </cell>
          <cell r="B1308" t="str">
            <v>二木　陽子　　　</v>
          </cell>
          <cell r="C1308">
            <v>419720</v>
          </cell>
          <cell r="D1308">
            <v>497780</v>
          </cell>
          <cell r="E1308">
            <v>917500</v>
          </cell>
          <cell r="F1308">
            <v>2140674</v>
          </cell>
          <cell r="G1308">
            <v>3058174</v>
          </cell>
          <cell r="H1308">
            <v>434660</v>
          </cell>
        </row>
        <row r="1309">
          <cell r="A1309" t="str">
            <v>3186</v>
          </cell>
          <cell r="B1309" t="str">
            <v>西尾　武俊　　　</v>
          </cell>
          <cell r="C1309">
            <v>433790</v>
          </cell>
          <cell r="D1309">
            <v>497680</v>
          </cell>
          <cell r="E1309">
            <v>931470</v>
          </cell>
          <cell r="F1309">
            <v>2180729</v>
          </cell>
          <cell r="G1309">
            <v>3112199</v>
          </cell>
          <cell r="H1309">
            <v>473490</v>
          </cell>
        </row>
        <row r="1310">
          <cell r="A1310" t="str">
            <v>3291</v>
          </cell>
          <cell r="B1310" t="str">
            <v>石渡　弘幸　　　</v>
          </cell>
          <cell r="C1310">
            <v>439910</v>
          </cell>
          <cell r="D1310">
            <v>496690</v>
          </cell>
          <cell r="E1310">
            <v>936600</v>
          </cell>
          <cell r="F1310">
            <v>2169712</v>
          </cell>
          <cell r="G1310">
            <v>3106312</v>
          </cell>
          <cell r="H1310">
            <v>456300</v>
          </cell>
        </row>
        <row r="1311">
          <cell r="A1311" t="str">
            <v>3118</v>
          </cell>
          <cell r="B1311" t="str">
            <v>下山　紀子　　　</v>
          </cell>
          <cell r="C1311">
            <v>442760</v>
          </cell>
          <cell r="D1311">
            <v>496650</v>
          </cell>
          <cell r="E1311">
            <v>939410</v>
          </cell>
          <cell r="F1311">
            <v>2579205</v>
          </cell>
          <cell r="G1311">
            <v>3518615</v>
          </cell>
          <cell r="H1311">
            <v>481260</v>
          </cell>
        </row>
        <row r="1312">
          <cell r="A1312" t="str">
            <v>2404</v>
          </cell>
          <cell r="B1312" t="str">
            <v>臼田　玲子　　　</v>
          </cell>
          <cell r="C1312">
            <v>417700</v>
          </cell>
          <cell r="D1312">
            <v>495030</v>
          </cell>
          <cell r="E1312">
            <v>912730</v>
          </cell>
          <cell r="F1312">
            <v>2566754</v>
          </cell>
          <cell r="G1312">
            <v>3479484</v>
          </cell>
          <cell r="H1312">
            <v>446690</v>
          </cell>
        </row>
        <row r="1313">
          <cell r="A1313" t="str">
            <v>1880</v>
          </cell>
          <cell r="B1313" t="str">
            <v>住田　サチ子　　</v>
          </cell>
          <cell r="C1313">
            <v>411620</v>
          </cell>
          <cell r="D1313">
            <v>494080</v>
          </cell>
          <cell r="E1313">
            <v>905700</v>
          </cell>
          <cell r="F1313">
            <v>2252980</v>
          </cell>
          <cell r="G1313">
            <v>3158680</v>
          </cell>
          <cell r="H1313">
            <v>431770</v>
          </cell>
        </row>
        <row r="1314">
          <cell r="A1314" t="str">
            <v>2757</v>
          </cell>
          <cell r="B1314" t="str">
            <v>井口　恵子　　　</v>
          </cell>
          <cell r="C1314">
            <v>436670</v>
          </cell>
          <cell r="D1314">
            <v>490470</v>
          </cell>
          <cell r="E1314">
            <v>927140</v>
          </cell>
          <cell r="F1314">
            <v>2351435</v>
          </cell>
          <cell r="G1314">
            <v>3278575</v>
          </cell>
          <cell r="H1314">
            <v>443450</v>
          </cell>
        </row>
        <row r="1315">
          <cell r="A1315" t="str">
            <v>3204</v>
          </cell>
          <cell r="B1315" t="str">
            <v>渡辺　隆行　　　</v>
          </cell>
          <cell r="C1315">
            <v>416270</v>
          </cell>
          <cell r="D1315">
            <v>486920</v>
          </cell>
          <cell r="E1315">
            <v>903190</v>
          </cell>
          <cell r="F1315">
            <v>2010360</v>
          </cell>
          <cell r="G1315">
            <v>2913550</v>
          </cell>
          <cell r="H1315">
            <v>447470</v>
          </cell>
        </row>
        <row r="1316">
          <cell r="A1316" t="str">
            <v>3451</v>
          </cell>
          <cell r="B1316" t="str">
            <v>角田　誠　　　　</v>
          </cell>
          <cell r="C1316">
            <v>419250</v>
          </cell>
          <cell r="D1316">
            <v>486290</v>
          </cell>
          <cell r="E1316">
            <v>905540</v>
          </cell>
          <cell r="F1316">
            <v>2878437</v>
          </cell>
          <cell r="G1316">
            <v>3783977</v>
          </cell>
          <cell r="H1316">
            <v>455070</v>
          </cell>
        </row>
        <row r="1317">
          <cell r="A1317" t="str">
            <v>2863</v>
          </cell>
          <cell r="B1317" t="str">
            <v>藤田　知世　　　</v>
          </cell>
          <cell r="C1317">
            <v>434500</v>
          </cell>
          <cell r="D1317">
            <v>485280</v>
          </cell>
          <cell r="E1317">
            <v>919780</v>
          </cell>
          <cell r="F1317">
            <v>2289446</v>
          </cell>
          <cell r="G1317">
            <v>3209226</v>
          </cell>
          <cell r="H1317">
            <v>434600</v>
          </cell>
        </row>
        <row r="1318">
          <cell r="A1318" t="str">
            <v>2864</v>
          </cell>
          <cell r="B1318" t="str">
            <v>矢野　敦子　　　</v>
          </cell>
          <cell r="C1318">
            <v>436580</v>
          </cell>
          <cell r="D1318">
            <v>485280</v>
          </cell>
          <cell r="E1318">
            <v>921860</v>
          </cell>
          <cell r="F1318">
            <v>2278137</v>
          </cell>
          <cell r="G1318">
            <v>3199997</v>
          </cell>
          <cell r="H1318">
            <v>441770</v>
          </cell>
        </row>
        <row r="1319">
          <cell r="A1319" t="str">
            <v>3418</v>
          </cell>
          <cell r="B1319" t="str">
            <v>武村　孝　　　　</v>
          </cell>
          <cell r="C1319">
            <v>419830</v>
          </cell>
          <cell r="D1319">
            <v>484630</v>
          </cell>
          <cell r="E1319">
            <v>904460</v>
          </cell>
          <cell r="F1319">
            <v>2118686</v>
          </cell>
          <cell r="G1319">
            <v>3023146</v>
          </cell>
          <cell r="H1319">
            <v>438680</v>
          </cell>
        </row>
        <row r="1320">
          <cell r="A1320" t="str">
            <v>1865</v>
          </cell>
          <cell r="B1320" t="str">
            <v>芦田　愛子　　　</v>
          </cell>
          <cell r="C1320">
            <v>416000</v>
          </cell>
          <cell r="D1320">
            <v>484340</v>
          </cell>
          <cell r="E1320">
            <v>900340</v>
          </cell>
          <cell r="F1320">
            <v>2834713</v>
          </cell>
          <cell r="G1320">
            <v>3735053</v>
          </cell>
          <cell r="H1320">
            <v>438740</v>
          </cell>
        </row>
        <row r="1321">
          <cell r="A1321" t="str">
            <v>2838</v>
          </cell>
          <cell r="B1321" t="str">
            <v>野元　和彦　　　</v>
          </cell>
          <cell r="C1321">
            <v>447460</v>
          </cell>
          <cell r="D1321">
            <v>482420</v>
          </cell>
          <cell r="E1321">
            <v>929880</v>
          </cell>
          <cell r="F1321">
            <v>2174805</v>
          </cell>
          <cell r="G1321">
            <v>3104685</v>
          </cell>
          <cell r="H1321">
            <v>451790</v>
          </cell>
        </row>
        <row r="1322">
          <cell r="A1322" t="str">
            <v>3081</v>
          </cell>
          <cell r="B1322" t="str">
            <v>西嶋　史代　　　</v>
          </cell>
          <cell r="C1322">
            <v>416330</v>
          </cell>
          <cell r="D1322">
            <v>479290</v>
          </cell>
          <cell r="E1322">
            <v>895620</v>
          </cell>
          <cell r="F1322">
            <v>2686591</v>
          </cell>
          <cell r="G1322">
            <v>3582211</v>
          </cell>
          <cell r="H1322">
            <v>462970</v>
          </cell>
        </row>
        <row r="1323">
          <cell r="A1323" t="str">
            <v>2182</v>
          </cell>
          <cell r="B1323" t="str">
            <v>花田　由美子　　</v>
          </cell>
          <cell r="C1323">
            <v>439940</v>
          </cell>
          <cell r="D1323">
            <v>479220</v>
          </cell>
          <cell r="E1323">
            <v>919160</v>
          </cell>
          <cell r="F1323">
            <v>2257615</v>
          </cell>
          <cell r="G1323">
            <v>3176775</v>
          </cell>
          <cell r="H1323">
            <v>443900</v>
          </cell>
        </row>
        <row r="1324">
          <cell r="A1324" t="str">
            <v>1400</v>
          </cell>
          <cell r="B1324" t="str">
            <v>後藤　繁美　　　</v>
          </cell>
          <cell r="C1324">
            <v>430870</v>
          </cell>
          <cell r="D1324">
            <v>478560</v>
          </cell>
          <cell r="E1324">
            <v>909430</v>
          </cell>
          <cell r="F1324">
            <v>2151585</v>
          </cell>
          <cell r="G1324">
            <v>3061015</v>
          </cell>
          <cell r="H1324">
            <v>445000</v>
          </cell>
        </row>
        <row r="1325">
          <cell r="A1325" t="str">
            <v>3202</v>
          </cell>
          <cell r="B1325" t="str">
            <v>永井　祐二　　　</v>
          </cell>
          <cell r="C1325">
            <v>416270</v>
          </cell>
          <cell r="D1325">
            <v>478360</v>
          </cell>
          <cell r="E1325">
            <v>894630</v>
          </cell>
          <cell r="F1325">
            <v>2377403</v>
          </cell>
          <cell r="G1325">
            <v>3272033</v>
          </cell>
          <cell r="H1325">
            <v>456620</v>
          </cell>
        </row>
        <row r="1326">
          <cell r="A1326" t="str">
            <v>3259</v>
          </cell>
          <cell r="B1326" t="str">
            <v>佐藤　陽子　　　</v>
          </cell>
          <cell r="C1326">
            <v>401800</v>
          </cell>
          <cell r="D1326">
            <v>477700</v>
          </cell>
          <cell r="E1326">
            <v>879500</v>
          </cell>
          <cell r="F1326">
            <v>2676939</v>
          </cell>
          <cell r="G1326">
            <v>3556439</v>
          </cell>
          <cell r="H1326">
            <v>436890</v>
          </cell>
        </row>
        <row r="1327">
          <cell r="A1327" t="str">
            <v>3047</v>
          </cell>
          <cell r="B1327" t="str">
            <v>秦　奈苗　　　　</v>
          </cell>
          <cell r="C1327">
            <v>407560</v>
          </cell>
          <cell r="D1327">
            <v>477630</v>
          </cell>
          <cell r="E1327">
            <v>885190</v>
          </cell>
          <cell r="F1327">
            <v>2230493</v>
          </cell>
          <cell r="G1327">
            <v>3115683</v>
          </cell>
          <cell r="H1327">
            <v>413450</v>
          </cell>
        </row>
        <row r="1328">
          <cell r="A1328" t="str">
            <v>2405</v>
          </cell>
          <cell r="B1328" t="str">
            <v>大川　ひろみ　　</v>
          </cell>
          <cell r="C1328">
            <v>404690</v>
          </cell>
          <cell r="D1328">
            <v>472860</v>
          </cell>
          <cell r="E1328">
            <v>877550</v>
          </cell>
          <cell r="F1328">
            <v>2242090</v>
          </cell>
          <cell r="G1328">
            <v>3119640</v>
          </cell>
          <cell r="H1328">
            <v>427480</v>
          </cell>
        </row>
        <row r="1329">
          <cell r="A1329" t="str">
            <v>2410</v>
          </cell>
          <cell r="B1329" t="str">
            <v>竹岡　明美　　　</v>
          </cell>
          <cell r="C1329">
            <v>404690</v>
          </cell>
          <cell r="D1329">
            <v>472860</v>
          </cell>
          <cell r="E1329">
            <v>877550</v>
          </cell>
          <cell r="F1329">
            <v>2307026</v>
          </cell>
          <cell r="G1329">
            <v>3184576</v>
          </cell>
          <cell r="H1329">
            <v>427480</v>
          </cell>
        </row>
        <row r="1330">
          <cell r="A1330" t="str">
            <v>3057</v>
          </cell>
          <cell r="B1330" t="str">
            <v>向出　里美　　　</v>
          </cell>
          <cell r="C1330">
            <v>414730</v>
          </cell>
          <cell r="D1330">
            <v>471690</v>
          </cell>
          <cell r="E1330">
            <v>886420</v>
          </cell>
          <cell r="F1330">
            <v>2108448</v>
          </cell>
          <cell r="G1330">
            <v>2994868</v>
          </cell>
          <cell r="H1330">
            <v>415450</v>
          </cell>
        </row>
        <row r="1331">
          <cell r="A1331" t="str">
            <v>3227</v>
          </cell>
          <cell r="B1331" t="str">
            <v>河村　美津子　　</v>
          </cell>
          <cell r="C1331">
            <v>418200</v>
          </cell>
          <cell r="D1331">
            <v>471340</v>
          </cell>
          <cell r="E1331">
            <v>889540</v>
          </cell>
          <cell r="F1331">
            <v>2491068</v>
          </cell>
          <cell r="G1331">
            <v>3380608</v>
          </cell>
          <cell r="H1331">
            <v>447790</v>
          </cell>
        </row>
        <row r="1332">
          <cell r="A1332" t="str">
            <v>2533</v>
          </cell>
          <cell r="B1332" t="str">
            <v>前田　明子　　　</v>
          </cell>
          <cell r="C1332">
            <v>415660</v>
          </cell>
          <cell r="D1332">
            <v>470110</v>
          </cell>
          <cell r="E1332">
            <v>885770</v>
          </cell>
          <cell r="F1332">
            <v>2117578</v>
          </cell>
          <cell r="G1332">
            <v>3003348</v>
          </cell>
          <cell r="H1332">
            <v>421430</v>
          </cell>
        </row>
        <row r="1333">
          <cell r="A1333" t="str">
            <v>0611</v>
          </cell>
          <cell r="B1333" t="str">
            <v>品川　美和子　　</v>
          </cell>
          <cell r="C1333">
            <v>425780</v>
          </cell>
          <cell r="D1333">
            <v>469210</v>
          </cell>
          <cell r="E1333">
            <v>894990</v>
          </cell>
          <cell r="F1333">
            <v>2510857</v>
          </cell>
          <cell r="G1333">
            <v>3405847</v>
          </cell>
          <cell r="H1333">
            <v>423380</v>
          </cell>
        </row>
        <row r="1334">
          <cell r="A1334" t="str">
            <v>2538</v>
          </cell>
          <cell r="B1334" t="str">
            <v>向井　康江　　　</v>
          </cell>
          <cell r="C1334">
            <v>402730</v>
          </cell>
          <cell r="D1334">
            <v>467870</v>
          </cell>
          <cell r="E1334">
            <v>870600</v>
          </cell>
          <cell r="F1334">
            <v>2089359</v>
          </cell>
          <cell r="G1334">
            <v>2959959</v>
          </cell>
          <cell r="H1334">
            <v>419430</v>
          </cell>
        </row>
        <row r="1335">
          <cell r="A1335" t="str">
            <v>2534</v>
          </cell>
          <cell r="B1335" t="str">
            <v>荒木　治子　　　</v>
          </cell>
          <cell r="C1335">
            <v>413650</v>
          </cell>
          <cell r="D1335">
            <v>467870</v>
          </cell>
          <cell r="E1335">
            <v>881520</v>
          </cell>
          <cell r="F1335">
            <v>2191227</v>
          </cell>
          <cell r="G1335">
            <v>3072747</v>
          </cell>
          <cell r="H1335">
            <v>419430</v>
          </cell>
        </row>
        <row r="1336">
          <cell r="A1336" t="str">
            <v>3407</v>
          </cell>
          <cell r="B1336" t="str">
            <v>浅野　法子　　　</v>
          </cell>
          <cell r="C1336">
            <v>456920</v>
          </cell>
          <cell r="D1336">
            <v>466410</v>
          </cell>
          <cell r="E1336">
            <v>923330</v>
          </cell>
          <cell r="F1336">
            <v>2937042</v>
          </cell>
          <cell r="G1336">
            <v>3860372</v>
          </cell>
          <cell r="H1336">
            <v>459090</v>
          </cell>
        </row>
        <row r="1337">
          <cell r="A1337" t="str">
            <v>3078</v>
          </cell>
          <cell r="B1337" t="str">
            <v>江草　佳美　　　</v>
          </cell>
          <cell r="C1337">
            <v>392310</v>
          </cell>
          <cell r="D1337">
            <v>465650</v>
          </cell>
          <cell r="E1337">
            <v>857960</v>
          </cell>
          <cell r="F1337">
            <v>2424039</v>
          </cell>
          <cell r="G1337">
            <v>3281999</v>
          </cell>
          <cell r="H1337">
            <v>417430</v>
          </cell>
        </row>
        <row r="1338">
          <cell r="A1338" t="str">
            <v>3463</v>
          </cell>
          <cell r="B1338" t="str">
            <v>池田　有紀子　　</v>
          </cell>
          <cell r="C1338">
            <v>115000</v>
          </cell>
          <cell r="D1338">
            <v>464370</v>
          </cell>
          <cell r="E1338">
            <v>579370</v>
          </cell>
          <cell r="F1338">
            <v>1929153</v>
          </cell>
          <cell r="G1338">
            <v>2508523</v>
          </cell>
          <cell r="H1338">
            <v>439780</v>
          </cell>
        </row>
        <row r="1339">
          <cell r="A1339" t="str">
            <v>3056</v>
          </cell>
          <cell r="B1339" t="str">
            <v>不破　和美　　　</v>
          </cell>
          <cell r="C1339">
            <v>416800</v>
          </cell>
          <cell r="D1339">
            <v>463440</v>
          </cell>
          <cell r="E1339">
            <v>880240</v>
          </cell>
          <cell r="F1339">
            <v>2113842</v>
          </cell>
          <cell r="G1339">
            <v>2994082</v>
          </cell>
          <cell r="H1339">
            <v>415450</v>
          </cell>
        </row>
        <row r="1340">
          <cell r="A1340" t="str">
            <v>3390</v>
          </cell>
          <cell r="B1340" t="str">
            <v>井上　貴文　　　</v>
          </cell>
          <cell r="C1340">
            <v>395000</v>
          </cell>
          <cell r="D1340">
            <v>462630</v>
          </cell>
          <cell r="E1340">
            <v>857630</v>
          </cell>
          <cell r="F1340">
            <v>2110446</v>
          </cell>
          <cell r="G1340">
            <v>2968076</v>
          </cell>
          <cell r="H1340">
            <v>422380</v>
          </cell>
        </row>
        <row r="1341">
          <cell r="A1341" t="str">
            <v>1881</v>
          </cell>
          <cell r="B1341" t="str">
            <v>稲田　信子　　　</v>
          </cell>
          <cell r="C1341">
            <v>398230</v>
          </cell>
          <cell r="D1341">
            <v>461270</v>
          </cell>
          <cell r="E1341">
            <v>859500</v>
          </cell>
          <cell r="F1341">
            <v>2214886</v>
          </cell>
          <cell r="G1341">
            <v>3074386</v>
          </cell>
          <cell r="H1341">
            <v>417860</v>
          </cell>
        </row>
        <row r="1342">
          <cell r="A1342" t="str">
            <v>2289</v>
          </cell>
          <cell r="B1342" t="str">
            <v>安部　貴美　　　</v>
          </cell>
          <cell r="C1342">
            <v>410600</v>
          </cell>
          <cell r="D1342">
            <v>461270</v>
          </cell>
          <cell r="E1342">
            <v>871870</v>
          </cell>
          <cell r="F1342">
            <v>2199390</v>
          </cell>
          <cell r="G1342">
            <v>3071260</v>
          </cell>
          <cell r="H1342">
            <v>432270</v>
          </cell>
        </row>
        <row r="1343">
          <cell r="A1343" t="str">
            <v>1403</v>
          </cell>
          <cell r="B1343" t="str">
            <v>船倉　真由美　　</v>
          </cell>
          <cell r="C1343">
            <v>410600</v>
          </cell>
          <cell r="D1343">
            <v>461270</v>
          </cell>
          <cell r="E1343">
            <v>871870</v>
          </cell>
          <cell r="F1343">
            <v>2359991</v>
          </cell>
          <cell r="G1343">
            <v>3231861</v>
          </cell>
          <cell r="H1343">
            <v>417860</v>
          </cell>
        </row>
        <row r="1344">
          <cell r="A1344" t="str">
            <v>2531</v>
          </cell>
          <cell r="B1344" t="str">
            <v>長野　美佐子　　</v>
          </cell>
          <cell r="C1344">
            <v>407560</v>
          </cell>
          <cell r="D1344">
            <v>461200</v>
          </cell>
          <cell r="E1344">
            <v>868760</v>
          </cell>
          <cell r="F1344">
            <v>2245029</v>
          </cell>
          <cell r="G1344">
            <v>3113789</v>
          </cell>
          <cell r="H1344">
            <v>413450</v>
          </cell>
        </row>
        <row r="1345">
          <cell r="A1345" t="str">
            <v>2522</v>
          </cell>
          <cell r="B1345" t="str">
            <v>岡部　夕子　　　</v>
          </cell>
          <cell r="C1345">
            <v>407560</v>
          </cell>
          <cell r="D1345">
            <v>461200</v>
          </cell>
          <cell r="E1345">
            <v>868760</v>
          </cell>
          <cell r="F1345">
            <v>2089495</v>
          </cell>
          <cell r="G1345">
            <v>2958255</v>
          </cell>
          <cell r="H1345">
            <v>413450</v>
          </cell>
        </row>
        <row r="1346">
          <cell r="A1346" t="str">
            <v>3356</v>
          </cell>
          <cell r="B1346" t="str">
            <v>若井　武夫　　　</v>
          </cell>
          <cell r="C1346">
            <v>401250</v>
          </cell>
          <cell r="D1346">
            <v>461130</v>
          </cell>
          <cell r="E1346">
            <v>862380</v>
          </cell>
          <cell r="F1346">
            <v>2140607</v>
          </cell>
          <cell r="G1346">
            <v>3002987</v>
          </cell>
          <cell r="H1346">
            <v>440050</v>
          </cell>
        </row>
        <row r="1347">
          <cell r="A1347" t="str">
            <v>3355</v>
          </cell>
          <cell r="B1347" t="str">
            <v>河野　修一　　　</v>
          </cell>
          <cell r="C1347">
            <v>401250</v>
          </cell>
          <cell r="D1347">
            <v>461130</v>
          </cell>
          <cell r="E1347">
            <v>862380</v>
          </cell>
          <cell r="F1347">
            <v>2058381</v>
          </cell>
          <cell r="G1347">
            <v>2920761</v>
          </cell>
          <cell r="H1347">
            <v>440050</v>
          </cell>
        </row>
        <row r="1348">
          <cell r="A1348" t="str">
            <v>3203</v>
          </cell>
          <cell r="B1348" t="str">
            <v>橋本　健　　　　</v>
          </cell>
          <cell r="C1348">
            <v>407240</v>
          </cell>
          <cell r="D1348">
            <v>459760</v>
          </cell>
          <cell r="E1348">
            <v>867000</v>
          </cell>
          <cell r="F1348">
            <v>2084339</v>
          </cell>
          <cell r="G1348">
            <v>2951339</v>
          </cell>
          <cell r="H1348">
            <v>434620</v>
          </cell>
        </row>
        <row r="1349">
          <cell r="A1349" t="str">
            <v>0234</v>
          </cell>
          <cell r="B1349" t="str">
            <v>森江　秀雄　　　</v>
          </cell>
          <cell r="C1349">
            <v>455480</v>
          </cell>
          <cell r="D1349">
            <v>459700</v>
          </cell>
          <cell r="E1349">
            <v>915180</v>
          </cell>
          <cell r="F1349">
            <v>2563290</v>
          </cell>
          <cell r="G1349">
            <v>3478470</v>
          </cell>
          <cell r="H1349">
            <v>426170</v>
          </cell>
        </row>
        <row r="1350">
          <cell r="A1350" t="str">
            <v>2521</v>
          </cell>
          <cell r="B1350" t="str">
            <v>井上　準子　　　</v>
          </cell>
          <cell r="C1350">
            <v>398770</v>
          </cell>
          <cell r="D1350">
            <v>458970</v>
          </cell>
          <cell r="E1350">
            <v>857740</v>
          </cell>
          <cell r="F1350">
            <v>2222969</v>
          </cell>
          <cell r="G1350">
            <v>3080709</v>
          </cell>
          <cell r="H1350">
            <v>401090</v>
          </cell>
        </row>
        <row r="1351">
          <cell r="A1351" t="str">
            <v>3436</v>
          </cell>
          <cell r="B1351" t="str">
            <v>稲毛　秀昭　　　</v>
          </cell>
          <cell r="C1351">
            <v>404940</v>
          </cell>
          <cell r="D1351">
            <v>458450</v>
          </cell>
          <cell r="E1351">
            <v>863390</v>
          </cell>
          <cell r="F1351">
            <v>2412512</v>
          </cell>
          <cell r="G1351">
            <v>3275902</v>
          </cell>
          <cell r="H1351">
            <v>428060</v>
          </cell>
        </row>
        <row r="1352">
          <cell r="A1352" t="str">
            <v>2701</v>
          </cell>
          <cell r="B1352" t="str">
            <v>鶴田　三恵子　　</v>
          </cell>
          <cell r="C1352">
            <v>399470</v>
          </cell>
          <cell r="D1352">
            <v>458070</v>
          </cell>
          <cell r="E1352">
            <v>857540</v>
          </cell>
          <cell r="F1352">
            <v>2630018</v>
          </cell>
          <cell r="G1352">
            <v>3487558</v>
          </cell>
          <cell r="H1352">
            <v>403460</v>
          </cell>
        </row>
        <row r="1353">
          <cell r="A1353" t="str">
            <v>2920</v>
          </cell>
          <cell r="B1353" t="str">
            <v>加藤　夏美　　　</v>
          </cell>
          <cell r="C1353">
            <v>399470</v>
          </cell>
          <cell r="D1353">
            <v>458070</v>
          </cell>
          <cell r="E1353">
            <v>857540</v>
          </cell>
          <cell r="F1353">
            <v>2025563</v>
          </cell>
          <cell r="G1353">
            <v>2883103</v>
          </cell>
          <cell r="H1353">
            <v>410220</v>
          </cell>
        </row>
        <row r="1354">
          <cell r="A1354" t="str">
            <v>2875</v>
          </cell>
          <cell r="B1354" t="str">
            <v>南出　惠子　　　</v>
          </cell>
          <cell r="C1354">
            <v>402370</v>
          </cell>
          <cell r="D1354">
            <v>458070</v>
          </cell>
          <cell r="E1354">
            <v>860440</v>
          </cell>
          <cell r="F1354">
            <v>2061334</v>
          </cell>
          <cell r="G1354">
            <v>2921774</v>
          </cell>
          <cell r="H1354">
            <v>410220</v>
          </cell>
        </row>
        <row r="1355">
          <cell r="A1355" t="str">
            <v>3040</v>
          </cell>
          <cell r="B1355" t="str">
            <v>安藤　雅子　　　</v>
          </cell>
          <cell r="C1355">
            <v>405550</v>
          </cell>
          <cell r="D1355">
            <v>456730</v>
          </cell>
          <cell r="E1355">
            <v>862280</v>
          </cell>
          <cell r="F1355">
            <v>2114246</v>
          </cell>
          <cell r="G1355">
            <v>2976526</v>
          </cell>
          <cell r="H1355">
            <v>409440</v>
          </cell>
        </row>
        <row r="1356">
          <cell r="A1356" t="str">
            <v>2705</v>
          </cell>
          <cell r="B1356" t="str">
            <v>寺原　常予　　　</v>
          </cell>
          <cell r="C1356">
            <v>403510</v>
          </cell>
          <cell r="D1356">
            <v>456730</v>
          </cell>
          <cell r="E1356">
            <v>860240</v>
          </cell>
          <cell r="F1356">
            <v>2047154</v>
          </cell>
          <cell r="G1356">
            <v>2907394</v>
          </cell>
          <cell r="H1356">
            <v>409440</v>
          </cell>
        </row>
        <row r="1357">
          <cell r="A1357" t="str">
            <v>2856</v>
          </cell>
          <cell r="B1357" t="str">
            <v>小川　和子　　　</v>
          </cell>
          <cell r="C1357">
            <v>404690</v>
          </cell>
          <cell r="D1357">
            <v>455380</v>
          </cell>
          <cell r="E1357">
            <v>860070</v>
          </cell>
          <cell r="F1357">
            <v>2192966</v>
          </cell>
          <cell r="G1357">
            <v>3053036</v>
          </cell>
          <cell r="H1357">
            <v>408870</v>
          </cell>
        </row>
        <row r="1358">
          <cell r="A1358" t="str">
            <v>3082</v>
          </cell>
          <cell r="B1358" t="str">
            <v>坂田　有希子　　</v>
          </cell>
          <cell r="C1358">
            <v>377930</v>
          </cell>
          <cell r="D1358">
            <v>454530</v>
          </cell>
          <cell r="E1358">
            <v>832460</v>
          </cell>
          <cell r="F1358">
            <v>2043850</v>
          </cell>
          <cell r="G1358">
            <v>2876310</v>
          </cell>
          <cell r="H1358">
            <v>407460</v>
          </cell>
        </row>
        <row r="1359">
          <cell r="A1359" t="str">
            <v>2754</v>
          </cell>
          <cell r="B1359" t="str">
            <v>熊谷　由美子　　</v>
          </cell>
          <cell r="C1359">
            <v>404690</v>
          </cell>
          <cell r="D1359">
            <v>453210</v>
          </cell>
          <cell r="E1359">
            <v>857900</v>
          </cell>
          <cell r="F1359">
            <v>2702793</v>
          </cell>
          <cell r="G1359">
            <v>3560693</v>
          </cell>
          <cell r="H1359">
            <v>406930</v>
          </cell>
        </row>
        <row r="1360">
          <cell r="A1360" t="str">
            <v>3079</v>
          </cell>
          <cell r="B1360" t="str">
            <v>原田　明子　　　</v>
          </cell>
          <cell r="C1360">
            <v>377930</v>
          </cell>
          <cell r="D1360">
            <v>452300</v>
          </cell>
          <cell r="E1360">
            <v>830230</v>
          </cell>
          <cell r="F1360">
            <v>2405231</v>
          </cell>
          <cell r="G1360">
            <v>3235461</v>
          </cell>
          <cell r="H1360">
            <v>405470</v>
          </cell>
        </row>
        <row r="1361">
          <cell r="A1361" t="str">
            <v>3262</v>
          </cell>
          <cell r="B1361" t="str">
            <v>河口　正子　　　</v>
          </cell>
          <cell r="C1361">
            <v>386570</v>
          </cell>
          <cell r="D1361">
            <v>450860</v>
          </cell>
          <cell r="E1361">
            <v>837430</v>
          </cell>
          <cell r="F1361">
            <v>2604482</v>
          </cell>
          <cell r="G1361">
            <v>3441912</v>
          </cell>
          <cell r="H1361">
            <v>406230</v>
          </cell>
        </row>
        <row r="1362">
          <cell r="A1362" t="str">
            <v>2862</v>
          </cell>
          <cell r="B1362" t="str">
            <v>綾部　美奈子　　</v>
          </cell>
          <cell r="C1362">
            <v>402730</v>
          </cell>
          <cell r="D1362">
            <v>450850</v>
          </cell>
          <cell r="E1362">
            <v>853580</v>
          </cell>
          <cell r="F1362">
            <v>2127288</v>
          </cell>
          <cell r="G1362">
            <v>2980868</v>
          </cell>
          <cell r="H1362">
            <v>403530</v>
          </cell>
        </row>
        <row r="1363">
          <cell r="A1363" t="str">
            <v>3257</v>
          </cell>
          <cell r="B1363" t="str">
            <v>藤田　早苗　　　</v>
          </cell>
          <cell r="C1363">
            <v>383690</v>
          </cell>
          <cell r="D1363">
            <v>450680</v>
          </cell>
          <cell r="E1363">
            <v>834370</v>
          </cell>
          <cell r="F1363">
            <v>2405279</v>
          </cell>
          <cell r="G1363">
            <v>3239649</v>
          </cell>
          <cell r="H1363">
            <v>406650</v>
          </cell>
        </row>
        <row r="1364">
          <cell r="A1364" t="str">
            <v>3414</v>
          </cell>
          <cell r="B1364" t="str">
            <v>寺本　晋　　　　</v>
          </cell>
          <cell r="C1364">
            <v>384520</v>
          </cell>
          <cell r="D1364">
            <v>450420</v>
          </cell>
          <cell r="E1364">
            <v>834940</v>
          </cell>
          <cell r="F1364">
            <v>2546566</v>
          </cell>
          <cell r="G1364">
            <v>3381506</v>
          </cell>
          <cell r="H1364">
            <v>407160</v>
          </cell>
        </row>
        <row r="1365">
          <cell r="A1365" t="str">
            <v>3395</v>
          </cell>
          <cell r="B1365" t="str">
            <v>高杉　大樹　　　</v>
          </cell>
          <cell r="C1365">
            <v>380390</v>
          </cell>
          <cell r="D1365">
            <v>450210</v>
          </cell>
          <cell r="E1365">
            <v>830600</v>
          </cell>
          <cell r="F1365">
            <v>1890948</v>
          </cell>
          <cell r="G1365">
            <v>2721548</v>
          </cell>
          <cell r="H1365">
            <v>407410</v>
          </cell>
        </row>
        <row r="1366">
          <cell r="A1366" t="str">
            <v>3042</v>
          </cell>
          <cell r="B1366" t="str">
            <v>北村　綾子　　　</v>
          </cell>
          <cell r="C1366">
            <v>407560</v>
          </cell>
          <cell r="D1366">
            <v>448880</v>
          </cell>
          <cell r="E1366">
            <v>856440</v>
          </cell>
          <cell r="F1366">
            <v>2116419</v>
          </cell>
          <cell r="G1366">
            <v>2972859</v>
          </cell>
          <cell r="H1366">
            <v>413450</v>
          </cell>
        </row>
        <row r="1367">
          <cell r="A1367" t="str">
            <v>3051</v>
          </cell>
          <cell r="B1367" t="str">
            <v>生田　智子　　　</v>
          </cell>
          <cell r="C1367">
            <v>398770</v>
          </cell>
          <cell r="D1367">
            <v>448880</v>
          </cell>
          <cell r="E1367">
            <v>847650</v>
          </cell>
          <cell r="F1367">
            <v>2142562</v>
          </cell>
          <cell r="G1367">
            <v>2990212</v>
          </cell>
          <cell r="H1367">
            <v>413450</v>
          </cell>
        </row>
        <row r="1368">
          <cell r="A1368" t="str">
            <v>2700</v>
          </cell>
          <cell r="B1368" t="str">
            <v>小山　智加子　　</v>
          </cell>
          <cell r="C1368">
            <v>386950</v>
          </cell>
          <cell r="D1368">
            <v>447850</v>
          </cell>
          <cell r="E1368">
            <v>834800</v>
          </cell>
          <cell r="F1368">
            <v>2271122</v>
          </cell>
          <cell r="G1368">
            <v>3105922</v>
          </cell>
          <cell r="H1368">
            <v>401480</v>
          </cell>
        </row>
        <row r="1369">
          <cell r="A1369" t="str">
            <v>2707</v>
          </cell>
          <cell r="B1369" t="str">
            <v>宮沢　昌枝　　　</v>
          </cell>
          <cell r="C1369">
            <v>388260</v>
          </cell>
          <cell r="D1369">
            <v>447850</v>
          </cell>
          <cell r="E1369">
            <v>836110</v>
          </cell>
          <cell r="F1369">
            <v>2221531</v>
          </cell>
          <cell r="G1369">
            <v>3057641</v>
          </cell>
          <cell r="H1369">
            <v>401480</v>
          </cell>
        </row>
        <row r="1370">
          <cell r="A1370" t="str">
            <v>1864</v>
          </cell>
          <cell r="B1370" t="str">
            <v>荒川　佳枝　　　</v>
          </cell>
          <cell r="C1370">
            <v>398000</v>
          </cell>
          <cell r="D1370">
            <v>446870</v>
          </cell>
          <cell r="E1370">
            <v>844870</v>
          </cell>
          <cell r="F1370">
            <v>2450595</v>
          </cell>
          <cell r="G1370">
            <v>3295465</v>
          </cell>
          <cell r="H1370">
            <v>405670</v>
          </cell>
        </row>
        <row r="1371">
          <cell r="A1371" t="str">
            <v>1239</v>
          </cell>
          <cell r="B1371" t="str">
            <v>池田　淳子　　　</v>
          </cell>
          <cell r="C1371">
            <v>388970</v>
          </cell>
          <cell r="D1371">
            <v>446870</v>
          </cell>
          <cell r="E1371">
            <v>835840</v>
          </cell>
          <cell r="F1371">
            <v>2565922</v>
          </cell>
          <cell r="G1371">
            <v>3401762</v>
          </cell>
          <cell r="H1371">
            <v>405670</v>
          </cell>
        </row>
        <row r="1372">
          <cell r="A1372" t="str">
            <v>2530</v>
          </cell>
          <cell r="B1372" t="str">
            <v>津本　佳子　　　</v>
          </cell>
          <cell r="C1372">
            <v>396120</v>
          </cell>
          <cell r="D1372">
            <v>446710</v>
          </cell>
          <cell r="E1372">
            <v>842830</v>
          </cell>
          <cell r="F1372">
            <v>2569192</v>
          </cell>
          <cell r="G1372">
            <v>3412022</v>
          </cell>
          <cell r="H1372">
            <v>411440</v>
          </cell>
        </row>
        <row r="1373">
          <cell r="A1373" t="str">
            <v>2861</v>
          </cell>
          <cell r="B1373" t="str">
            <v>西口　知里　　　</v>
          </cell>
          <cell r="C1373">
            <v>416910</v>
          </cell>
          <cell r="D1373">
            <v>445690</v>
          </cell>
          <cell r="E1373">
            <v>862600</v>
          </cell>
          <cell r="F1373">
            <v>2169199</v>
          </cell>
          <cell r="G1373">
            <v>3031799</v>
          </cell>
          <cell r="H1373">
            <v>400930</v>
          </cell>
        </row>
        <row r="1374">
          <cell r="A1374" t="str">
            <v>1876</v>
          </cell>
          <cell r="B1374" t="str">
            <v>泉谷　千津子　　</v>
          </cell>
          <cell r="C1374">
            <v>414840</v>
          </cell>
          <cell r="D1374">
            <v>444640</v>
          </cell>
          <cell r="E1374">
            <v>859480</v>
          </cell>
          <cell r="F1374">
            <v>2110311</v>
          </cell>
          <cell r="G1374">
            <v>2969791</v>
          </cell>
          <cell r="H1374">
            <v>379500</v>
          </cell>
        </row>
        <row r="1375">
          <cell r="A1375" t="str">
            <v>2041</v>
          </cell>
          <cell r="B1375" t="str">
            <v>高石　房代　　　</v>
          </cell>
          <cell r="C1375">
            <v>398080</v>
          </cell>
          <cell r="D1375">
            <v>444530</v>
          </cell>
          <cell r="E1375">
            <v>842610</v>
          </cell>
          <cell r="F1375">
            <v>2097396</v>
          </cell>
          <cell r="G1375">
            <v>2940006</v>
          </cell>
          <cell r="H1375">
            <v>398490</v>
          </cell>
        </row>
        <row r="1376">
          <cell r="A1376" t="str">
            <v>2535</v>
          </cell>
          <cell r="B1376" t="str">
            <v>松本　光代　　　</v>
          </cell>
          <cell r="C1376">
            <v>394840</v>
          </cell>
          <cell r="D1376">
            <v>444530</v>
          </cell>
          <cell r="E1376">
            <v>839370</v>
          </cell>
          <cell r="F1376">
            <v>2306609</v>
          </cell>
          <cell r="G1376">
            <v>3145979</v>
          </cell>
          <cell r="H1376">
            <v>399140</v>
          </cell>
        </row>
        <row r="1377">
          <cell r="A1377" t="str">
            <v>1866</v>
          </cell>
          <cell r="B1377" t="str">
            <v>中本　明美　　　</v>
          </cell>
          <cell r="C1377">
            <v>410600</v>
          </cell>
          <cell r="D1377">
            <v>444390</v>
          </cell>
          <cell r="E1377">
            <v>854990</v>
          </cell>
          <cell r="F1377">
            <v>2589277</v>
          </cell>
          <cell r="G1377">
            <v>3444267</v>
          </cell>
          <cell r="H1377">
            <v>417860</v>
          </cell>
        </row>
        <row r="1378">
          <cell r="A1378" t="str">
            <v>3108</v>
          </cell>
          <cell r="B1378" t="str">
            <v>米澤　協子　　　</v>
          </cell>
          <cell r="C1378">
            <v>395810</v>
          </cell>
          <cell r="D1378">
            <v>442660</v>
          </cell>
          <cell r="E1378">
            <v>838470</v>
          </cell>
          <cell r="F1378">
            <v>2177961</v>
          </cell>
          <cell r="G1378">
            <v>3016431</v>
          </cell>
          <cell r="H1378">
            <v>420550</v>
          </cell>
        </row>
        <row r="1379">
          <cell r="A1379" t="str">
            <v>3067</v>
          </cell>
          <cell r="B1379" t="str">
            <v>藤田　智子　　　</v>
          </cell>
          <cell r="C1379">
            <v>383260</v>
          </cell>
          <cell r="D1379">
            <v>442210</v>
          </cell>
          <cell r="E1379">
            <v>825470</v>
          </cell>
          <cell r="F1379">
            <v>2000473</v>
          </cell>
          <cell r="G1379">
            <v>2825943</v>
          </cell>
          <cell r="H1379">
            <v>396010</v>
          </cell>
        </row>
        <row r="1380">
          <cell r="A1380" t="str">
            <v>3063</v>
          </cell>
          <cell r="B1380" t="str">
            <v>辻本　真澄　　　</v>
          </cell>
          <cell r="C1380">
            <v>383260</v>
          </cell>
          <cell r="D1380">
            <v>442210</v>
          </cell>
          <cell r="E1380">
            <v>825470</v>
          </cell>
          <cell r="F1380">
            <v>2121204</v>
          </cell>
          <cell r="G1380">
            <v>2946674</v>
          </cell>
          <cell r="H1380">
            <v>396010</v>
          </cell>
        </row>
        <row r="1381">
          <cell r="A1381" t="str">
            <v>2874</v>
          </cell>
          <cell r="B1381" t="str">
            <v>道本　由紀　　　</v>
          </cell>
          <cell r="C1381">
            <v>391360</v>
          </cell>
          <cell r="D1381">
            <v>441180</v>
          </cell>
          <cell r="E1381">
            <v>832540</v>
          </cell>
          <cell r="F1381">
            <v>2710091</v>
          </cell>
          <cell r="G1381">
            <v>3542631</v>
          </cell>
          <cell r="H1381">
            <v>395490</v>
          </cell>
        </row>
        <row r="1382">
          <cell r="A1382" t="str">
            <v>3415</v>
          </cell>
          <cell r="B1382" t="str">
            <v>柿澤　慶子　　　</v>
          </cell>
          <cell r="C1382">
            <v>379330</v>
          </cell>
          <cell r="D1382">
            <v>439680</v>
          </cell>
          <cell r="E1382">
            <v>819010</v>
          </cell>
          <cell r="F1382">
            <v>2421656</v>
          </cell>
          <cell r="G1382">
            <v>3240666</v>
          </cell>
          <cell r="H1382">
            <v>391260</v>
          </cell>
        </row>
        <row r="1383">
          <cell r="A1383" t="str">
            <v>1607</v>
          </cell>
          <cell r="B1383" t="str">
            <v>松本　典子　　　</v>
          </cell>
          <cell r="C1383">
            <v>393820</v>
          </cell>
          <cell r="D1383">
            <v>439470</v>
          </cell>
          <cell r="E1383">
            <v>833290</v>
          </cell>
          <cell r="F1383">
            <v>2118007</v>
          </cell>
          <cell r="G1383">
            <v>2951297</v>
          </cell>
          <cell r="H1383">
            <v>398970</v>
          </cell>
        </row>
        <row r="1384">
          <cell r="A1384" t="str">
            <v>3110</v>
          </cell>
          <cell r="B1384" t="str">
            <v>荘林　万規子　　</v>
          </cell>
          <cell r="C1384">
            <v>380890</v>
          </cell>
          <cell r="D1384">
            <v>438010</v>
          </cell>
          <cell r="E1384">
            <v>818900</v>
          </cell>
          <cell r="F1384">
            <v>2110781</v>
          </cell>
          <cell r="G1384">
            <v>2929681</v>
          </cell>
          <cell r="H1384">
            <v>417430</v>
          </cell>
        </row>
        <row r="1385">
          <cell r="A1385" t="str">
            <v>3060</v>
          </cell>
          <cell r="B1385" t="str">
            <v>櫻井　芳美　　　</v>
          </cell>
          <cell r="C1385">
            <v>371160</v>
          </cell>
          <cell r="D1385">
            <v>437690</v>
          </cell>
          <cell r="E1385">
            <v>808850</v>
          </cell>
          <cell r="F1385">
            <v>1931970</v>
          </cell>
          <cell r="G1385">
            <v>2740820</v>
          </cell>
          <cell r="H1385">
            <v>85000</v>
          </cell>
        </row>
        <row r="1386">
          <cell r="A1386" t="str">
            <v>3113</v>
          </cell>
          <cell r="B1386" t="str">
            <v>田中　美穂　　　</v>
          </cell>
          <cell r="C1386">
            <v>386510</v>
          </cell>
          <cell r="D1386">
            <v>437180</v>
          </cell>
          <cell r="E1386">
            <v>823690</v>
          </cell>
          <cell r="F1386">
            <v>2054130</v>
          </cell>
          <cell r="G1386">
            <v>2877820</v>
          </cell>
          <cell r="H1386">
            <v>418340</v>
          </cell>
        </row>
        <row r="1387">
          <cell r="A1387" t="str">
            <v>2942</v>
          </cell>
          <cell r="B1387" t="str">
            <v>飯塚　敏子　　　</v>
          </cell>
          <cell r="C1387">
            <v>389460</v>
          </cell>
          <cell r="D1387">
            <v>436510</v>
          </cell>
          <cell r="E1387">
            <v>825970</v>
          </cell>
          <cell r="F1387">
            <v>2068591</v>
          </cell>
          <cell r="G1387">
            <v>2894561</v>
          </cell>
          <cell r="H1387">
            <v>0</v>
          </cell>
        </row>
        <row r="1388">
          <cell r="A1388" t="str">
            <v>2750</v>
          </cell>
          <cell r="B1388" t="str">
            <v>藤枝　洋子　　　</v>
          </cell>
          <cell r="C1388">
            <v>377210</v>
          </cell>
          <cell r="D1388">
            <v>435890</v>
          </cell>
          <cell r="E1388">
            <v>813100</v>
          </cell>
          <cell r="F1388">
            <v>2131262</v>
          </cell>
          <cell r="G1388">
            <v>2944362</v>
          </cell>
          <cell r="H1388">
            <v>391380</v>
          </cell>
        </row>
        <row r="1389">
          <cell r="A1389" t="str">
            <v>2895</v>
          </cell>
          <cell r="B1389" t="str">
            <v>水口　朋子　　　</v>
          </cell>
          <cell r="C1389">
            <v>386950</v>
          </cell>
          <cell r="D1389">
            <v>435890</v>
          </cell>
          <cell r="E1389">
            <v>822840</v>
          </cell>
          <cell r="F1389">
            <v>2435921</v>
          </cell>
          <cell r="G1389">
            <v>3258761</v>
          </cell>
          <cell r="H1389">
            <v>391380</v>
          </cell>
        </row>
        <row r="1390">
          <cell r="A1390" t="str">
            <v>3104</v>
          </cell>
          <cell r="B1390" t="str">
            <v>馬場　理恵子　　</v>
          </cell>
          <cell r="C1390">
            <v>387350</v>
          </cell>
          <cell r="D1390">
            <v>435040</v>
          </cell>
          <cell r="E1390">
            <v>822390</v>
          </cell>
          <cell r="F1390">
            <v>2776153</v>
          </cell>
          <cell r="G1390">
            <v>3598543</v>
          </cell>
          <cell r="H1390">
            <v>409440</v>
          </cell>
        </row>
        <row r="1391">
          <cell r="A1391" t="str">
            <v>3059</v>
          </cell>
          <cell r="B1391" t="str">
            <v>大中　孝子　　　</v>
          </cell>
          <cell r="C1391">
            <v>383260</v>
          </cell>
          <cell r="D1391">
            <v>434480</v>
          </cell>
          <cell r="E1391">
            <v>817740</v>
          </cell>
          <cell r="F1391">
            <v>1953165</v>
          </cell>
          <cell r="G1391">
            <v>2770905</v>
          </cell>
          <cell r="H1391">
            <v>389480</v>
          </cell>
        </row>
        <row r="1392">
          <cell r="A1392" t="str">
            <v>2876</v>
          </cell>
          <cell r="B1392" t="str">
            <v>安岡　博美　　　</v>
          </cell>
          <cell r="C1392">
            <v>384970</v>
          </cell>
          <cell r="D1392">
            <v>433710</v>
          </cell>
          <cell r="E1392">
            <v>818680</v>
          </cell>
          <cell r="F1392">
            <v>2111448</v>
          </cell>
          <cell r="G1392">
            <v>2930128</v>
          </cell>
          <cell r="H1392">
            <v>389420</v>
          </cell>
        </row>
        <row r="1393">
          <cell r="A1393" t="str">
            <v>3365</v>
          </cell>
          <cell r="B1393" t="str">
            <v>石垣　将爾　　　</v>
          </cell>
          <cell r="C1393">
            <v>370610</v>
          </cell>
          <cell r="D1393">
            <v>432920</v>
          </cell>
          <cell r="E1393">
            <v>803530</v>
          </cell>
          <cell r="F1393">
            <v>1902300</v>
          </cell>
          <cell r="G1393">
            <v>2705830</v>
          </cell>
          <cell r="H1393">
            <v>404380</v>
          </cell>
        </row>
        <row r="1394">
          <cell r="A1394" t="str">
            <v>3368</v>
          </cell>
          <cell r="B1394" t="str">
            <v>内記　市治　　　</v>
          </cell>
          <cell r="C1394">
            <v>370610</v>
          </cell>
          <cell r="D1394">
            <v>432920</v>
          </cell>
          <cell r="E1394">
            <v>803530</v>
          </cell>
          <cell r="F1394">
            <v>2124237</v>
          </cell>
          <cell r="G1394">
            <v>2927767</v>
          </cell>
          <cell r="H1394">
            <v>404380</v>
          </cell>
        </row>
        <row r="1395">
          <cell r="A1395" t="str">
            <v>3366</v>
          </cell>
          <cell r="B1395" t="str">
            <v>井上　啓臣　　　</v>
          </cell>
          <cell r="C1395">
            <v>376770</v>
          </cell>
          <cell r="D1395">
            <v>432920</v>
          </cell>
          <cell r="E1395">
            <v>809690</v>
          </cell>
          <cell r="F1395">
            <v>2017041</v>
          </cell>
          <cell r="G1395">
            <v>2826731</v>
          </cell>
          <cell r="H1395">
            <v>404380</v>
          </cell>
        </row>
        <row r="1396">
          <cell r="A1396" t="str">
            <v>3364</v>
          </cell>
          <cell r="B1396" t="str">
            <v>安達　哲也　　　</v>
          </cell>
          <cell r="C1396">
            <v>376770</v>
          </cell>
          <cell r="D1396">
            <v>432920</v>
          </cell>
          <cell r="E1396">
            <v>809690</v>
          </cell>
          <cell r="F1396">
            <v>1949295</v>
          </cell>
          <cell r="G1396">
            <v>2758985</v>
          </cell>
          <cell r="H1396">
            <v>404380</v>
          </cell>
        </row>
        <row r="1397">
          <cell r="A1397" t="str">
            <v>3370</v>
          </cell>
          <cell r="B1397" t="str">
            <v>船田　大輔　　　</v>
          </cell>
          <cell r="C1397">
            <v>370610</v>
          </cell>
          <cell r="D1397">
            <v>432920</v>
          </cell>
          <cell r="E1397">
            <v>803530</v>
          </cell>
          <cell r="F1397">
            <v>1977385</v>
          </cell>
          <cell r="G1397">
            <v>2780915</v>
          </cell>
          <cell r="H1397">
            <v>395630</v>
          </cell>
        </row>
        <row r="1398">
          <cell r="A1398" t="str">
            <v>3066</v>
          </cell>
          <cell r="B1398" t="str">
            <v>日比野　洋子　　</v>
          </cell>
          <cell r="C1398">
            <v>383260</v>
          </cell>
          <cell r="D1398">
            <v>432260</v>
          </cell>
          <cell r="E1398">
            <v>815520</v>
          </cell>
          <cell r="F1398">
            <v>1947858</v>
          </cell>
          <cell r="G1398">
            <v>2763378</v>
          </cell>
          <cell r="H1398">
            <v>387510</v>
          </cell>
        </row>
        <row r="1399">
          <cell r="A1399" t="str">
            <v>3069</v>
          </cell>
          <cell r="B1399" t="str">
            <v>四方　真佐江　　</v>
          </cell>
          <cell r="C1399">
            <v>381220</v>
          </cell>
          <cell r="D1399">
            <v>430030</v>
          </cell>
          <cell r="E1399">
            <v>811250</v>
          </cell>
          <cell r="F1399">
            <v>2330522</v>
          </cell>
          <cell r="G1399">
            <v>3141772</v>
          </cell>
          <cell r="H1399">
            <v>384810</v>
          </cell>
        </row>
        <row r="1400">
          <cell r="A1400" t="str">
            <v>2694</v>
          </cell>
          <cell r="B1400" t="str">
            <v>木村　陽子　　　</v>
          </cell>
          <cell r="C1400">
            <v>367530</v>
          </cell>
          <cell r="D1400">
            <v>429780</v>
          </cell>
          <cell r="E1400">
            <v>797310</v>
          </cell>
          <cell r="F1400">
            <v>1994963</v>
          </cell>
          <cell r="G1400">
            <v>2792273</v>
          </cell>
          <cell r="H1400">
            <v>391940</v>
          </cell>
        </row>
        <row r="1401">
          <cell r="A1401" t="str">
            <v>3196</v>
          </cell>
          <cell r="B1401" t="str">
            <v>西尾　友岐　　　</v>
          </cell>
          <cell r="C1401">
            <v>374120</v>
          </cell>
          <cell r="D1401">
            <v>428680</v>
          </cell>
          <cell r="E1401">
            <v>802800</v>
          </cell>
          <cell r="F1401">
            <v>2042433</v>
          </cell>
          <cell r="G1401">
            <v>2845233</v>
          </cell>
          <cell r="H1401">
            <v>410220</v>
          </cell>
        </row>
        <row r="1402">
          <cell r="A1402" t="str">
            <v>3194</v>
          </cell>
          <cell r="B1402" t="str">
            <v>高橋　美香　　　</v>
          </cell>
          <cell r="C1402">
            <v>378790</v>
          </cell>
          <cell r="D1402">
            <v>428680</v>
          </cell>
          <cell r="E1402">
            <v>807470</v>
          </cell>
          <cell r="F1402">
            <v>2027456</v>
          </cell>
          <cell r="G1402">
            <v>2834926</v>
          </cell>
          <cell r="H1402">
            <v>402730</v>
          </cell>
        </row>
        <row r="1403">
          <cell r="A1403" t="str">
            <v>3236</v>
          </cell>
          <cell r="B1403" t="str">
            <v>武内　明美　　　</v>
          </cell>
          <cell r="C1403">
            <v>349670</v>
          </cell>
          <cell r="D1403">
            <v>427550</v>
          </cell>
          <cell r="E1403">
            <v>777220</v>
          </cell>
          <cell r="F1403">
            <v>2162682</v>
          </cell>
          <cell r="G1403">
            <v>2939902</v>
          </cell>
          <cell r="H1403">
            <v>399490</v>
          </cell>
        </row>
        <row r="1404">
          <cell r="A1404" t="str">
            <v>3232</v>
          </cell>
          <cell r="B1404" t="str">
            <v>山本　詔子　　　</v>
          </cell>
          <cell r="C1404">
            <v>359720</v>
          </cell>
          <cell r="D1404">
            <v>427550</v>
          </cell>
          <cell r="E1404">
            <v>787270</v>
          </cell>
          <cell r="F1404">
            <v>2122854</v>
          </cell>
          <cell r="G1404">
            <v>2910124</v>
          </cell>
          <cell r="H1404">
            <v>384680</v>
          </cell>
        </row>
        <row r="1405">
          <cell r="A1405" t="str">
            <v>2877</v>
          </cell>
          <cell r="B1405" t="str">
            <v>山田　美由紀　　</v>
          </cell>
          <cell r="C1405">
            <v>379060</v>
          </cell>
          <cell r="D1405">
            <v>427220</v>
          </cell>
          <cell r="E1405">
            <v>806280</v>
          </cell>
          <cell r="F1405">
            <v>2272965</v>
          </cell>
          <cell r="G1405">
            <v>3079245</v>
          </cell>
          <cell r="H1405">
            <v>393500</v>
          </cell>
        </row>
        <row r="1406">
          <cell r="A1406" t="str">
            <v>2865</v>
          </cell>
          <cell r="B1406" t="str">
            <v>片山　葉月　　　</v>
          </cell>
          <cell r="C1406">
            <v>381030</v>
          </cell>
          <cell r="D1406">
            <v>427220</v>
          </cell>
          <cell r="E1406">
            <v>808250</v>
          </cell>
          <cell r="F1406">
            <v>2202486</v>
          </cell>
          <cell r="G1406">
            <v>3010736</v>
          </cell>
          <cell r="H1406">
            <v>383600</v>
          </cell>
        </row>
        <row r="1407">
          <cell r="A1407" t="str">
            <v>3237</v>
          </cell>
          <cell r="B1407" t="str">
            <v>橋本　恵美　　　</v>
          </cell>
          <cell r="C1407">
            <v>353570</v>
          </cell>
          <cell r="D1407">
            <v>426900</v>
          </cell>
          <cell r="E1407">
            <v>780470</v>
          </cell>
          <cell r="F1407">
            <v>2067282</v>
          </cell>
          <cell r="G1407">
            <v>2847752</v>
          </cell>
          <cell r="H1407">
            <v>384680</v>
          </cell>
        </row>
        <row r="1408">
          <cell r="A1408" t="str">
            <v>2541</v>
          </cell>
          <cell r="B1408" t="str">
            <v>山下　公子　　　</v>
          </cell>
          <cell r="C1408">
            <v>381030</v>
          </cell>
          <cell r="D1408">
            <v>426790</v>
          </cell>
          <cell r="E1408">
            <v>807820</v>
          </cell>
          <cell r="F1408">
            <v>2062312</v>
          </cell>
          <cell r="G1408">
            <v>2870132</v>
          </cell>
          <cell r="H1408">
            <v>395260</v>
          </cell>
        </row>
        <row r="1409">
          <cell r="A1409" t="str">
            <v>3195</v>
          </cell>
          <cell r="B1409" t="str">
            <v>竹中　麻紀子　　</v>
          </cell>
          <cell r="C1409">
            <v>374120</v>
          </cell>
          <cell r="D1409">
            <v>426580</v>
          </cell>
          <cell r="E1409">
            <v>800700</v>
          </cell>
          <cell r="F1409">
            <v>2086280</v>
          </cell>
          <cell r="G1409">
            <v>2886980</v>
          </cell>
          <cell r="H1409">
            <v>408210</v>
          </cell>
        </row>
        <row r="1410">
          <cell r="A1410" t="str">
            <v>3369</v>
          </cell>
          <cell r="B1410" t="str">
            <v>播磨　孝一　　　</v>
          </cell>
          <cell r="C1410">
            <v>376770</v>
          </cell>
          <cell r="D1410">
            <v>425570</v>
          </cell>
          <cell r="E1410">
            <v>802340</v>
          </cell>
          <cell r="F1410">
            <v>1903013</v>
          </cell>
          <cell r="G1410">
            <v>2705353</v>
          </cell>
          <cell r="H1410">
            <v>404380</v>
          </cell>
        </row>
        <row r="1411">
          <cell r="A1411" t="str">
            <v>3197</v>
          </cell>
          <cell r="B1411" t="str">
            <v>橋口　敬子　　　</v>
          </cell>
          <cell r="C1411">
            <v>374120</v>
          </cell>
          <cell r="D1411">
            <v>423340</v>
          </cell>
          <cell r="E1411">
            <v>797460</v>
          </cell>
          <cell r="F1411">
            <v>2019394</v>
          </cell>
          <cell r="G1411">
            <v>2816854</v>
          </cell>
          <cell r="H1411">
            <v>393310</v>
          </cell>
        </row>
        <row r="1412">
          <cell r="A1412" t="str">
            <v>3513</v>
          </cell>
          <cell r="B1412" t="str">
            <v>寺西　広孝　　　</v>
          </cell>
          <cell r="C1412">
            <v>105000</v>
          </cell>
          <cell r="D1412">
            <v>422360</v>
          </cell>
          <cell r="E1412">
            <v>527360</v>
          </cell>
          <cell r="F1412">
            <v>1413362</v>
          </cell>
          <cell r="G1412">
            <v>1940722</v>
          </cell>
          <cell r="H1412">
            <v>409610</v>
          </cell>
        </row>
        <row r="1413">
          <cell r="A1413" t="str">
            <v>3512</v>
          </cell>
          <cell r="B1413" t="str">
            <v>鮫島　雅弘　　　</v>
          </cell>
          <cell r="C1413">
            <v>105000</v>
          </cell>
          <cell r="D1413">
            <v>422360</v>
          </cell>
          <cell r="E1413">
            <v>527360</v>
          </cell>
          <cell r="F1413">
            <v>1400198</v>
          </cell>
          <cell r="G1413">
            <v>1927558</v>
          </cell>
          <cell r="H1413">
            <v>404450</v>
          </cell>
        </row>
        <row r="1414">
          <cell r="A1414" t="str">
            <v>3201</v>
          </cell>
          <cell r="B1414" t="str">
            <v>吉原　信子　　　</v>
          </cell>
          <cell r="C1414">
            <v>365960</v>
          </cell>
          <cell r="D1414">
            <v>421270</v>
          </cell>
          <cell r="E1414">
            <v>787230</v>
          </cell>
          <cell r="F1414">
            <v>2059981</v>
          </cell>
          <cell r="G1414">
            <v>2847211</v>
          </cell>
          <cell r="H1414">
            <v>391380</v>
          </cell>
        </row>
        <row r="1415">
          <cell r="A1415" t="str">
            <v>3192</v>
          </cell>
          <cell r="B1415" t="str">
            <v>酒井　珠美　　　</v>
          </cell>
          <cell r="C1415">
            <v>374120</v>
          </cell>
          <cell r="D1415">
            <v>421270</v>
          </cell>
          <cell r="E1415">
            <v>795390</v>
          </cell>
          <cell r="F1415">
            <v>2046934</v>
          </cell>
          <cell r="G1415">
            <v>2842324</v>
          </cell>
          <cell r="H1415">
            <v>380160</v>
          </cell>
        </row>
        <row r="1416">
          <cell r="A1416" t="str">
            <v>3266</v>
          </cell>
          <cell r="B1416" t="str">
            <v>横尾　順子　　　</v>
          </cell>
          <cell r="C1416">
            <v>350810</v>
          </cell>
          <cell r="D1416">
            <v>421270</v>
          </cell>
          <cell r="E1416">
            <v>772080</v>
          </cell>
          <cell r="F1416">
            <v>2656570</v>
          </cell>
          <cell r="G1416">
            <v>3428650</v>
          </cell>
          <cell r="H1416">
            <v>379030</v>
          </cell>
        </row>
        <row r="1417">
          <cell r="A1417" t="str">
            <v>1693</v>
          </cell>
          <cell r="B1417" t="str">
            <v>宇都　豊子　　　</v>
          </cell>
          <cell r="C1417">
            <v>374090</v>
          </cell>
          <cell r="D1417">
            <v>418770</v>
          </cell>
          <cell r="E1417">
            <v>792860</v>
          </cell>
          <cell r="F1417">
            <v>2457246</v>
          </cell>
          <cell r="G1417">
            <v>3250106</v>
          </cell>
          <cell r="H1417">
            <v>377390</v>
          </cell>
        </row>
        <row r="1418">
          <cell r="A1418" t="str">
            <v>3106</v>
          </cell>
          <cell r="B1418" t="str">
            <v>日向　暁子　　　</v>
          </cell>
          <cell r="C1418">
            <v>380890</v>
          </cell>
          <cell r="D1418">
            <v>418660</v>
          </cell>
          <cell r="E1418">
            <v>799550</v>
          </cell>
          <cell r="F1418">
            <v>2429765</v>
          </cell>
          <cell r="G1418">
            <v>3229315</v>
          </cell>
          <cell r="H1418">
            <v>406930</v>
          </cell>
        </row>
        <row r="1419">
          <cell r="A1419" t="str">
            <v>2871</v>
          </cell>
          <cell r="B1419" t="str">
            <v>長竹　鈴恵　　　</v>
          </cell>
          <cell r="C1419">
            <v>363810</v>
          </cell>
          <cell r="D1419">
            <v>418540</v>
          </cell>
          <cell r="E1419">
            <v>782350</v>
          </cell>
          <cell r="F1419">
            <v>2015277</v>
          </cell>
          <cell r="G1419">
            <v>2797627</v>
          </cell>
          <cell r="H1419">
            <v>385500</v>
          </cell>
        </row>
        <row r="1420">
          <cell r="A1420" t="str">
            <v>3064</v>
          </cell>
          <cell r="B1420" t="str">
            <v>西村　香澄　　　</v>
          </cell>
          <cell r="C1420">
            <v>381220</v>
          </cell>
          <cell r="D1420">
            <v>418540</v>
          </cell>
          <cell r="E1420">
            <v>799760</v>
          </cell>
          <cell r="F1420">
            <v>1974901</v>
          </cell>
          <cell r="G1420">
            <v>2774661</v>
          </cell>
          <cell r="H1420">
            <v>375180</v>
          </cell>
        </row>
        <row r="1421">
          <cell r="A1421" t="str">
            <v>3070</v>
          </cell>
          <cell r="B1421" t="str">
            <v>吉川　ゆかり　　</v>
          </cell>
          <cell r="C1421">
            <v>371160</v>
          </cell>
          <cell r="D1421">
            <v>418540</v>
          </cell>
          <cell r="E1421">
            <v>789700</v>
          </cell>
          <cell r="F1421">
            <v>2016829</v>
          </cell>
          <cell r="G1421">
            <v>2806529</v>
          </cell>
          <cell r="H1421">
            <v>375800</v>
          </cell>
        </row>
        <row r="1422">
          <cell r="A1422" t="str">
            <v>3061</v>
          </cell>
          <cell r="B1422" t="str">
            <v>斉藤　晴美　　　</v>
          </cell>
          <cell r="C1422">
            <v>371160</v>
          </cell>
          <cell r="D1422">
            <v>416370</v>
          </cell>
          <cell r="E1422">
            <v>787530</v>
          </cell>
          <cell r="F1422">
            <v>2207324</v>
          </cell>
          <cell r="G1422">
            <v>2994854</v>
          </cell>
          <cell r="H1422">
            <v>373850</v>
          </cell>
        </row>
        <row r="1423">
          <cell r="A1423" t="str">
            <v>3062</v>
          </cell>
          <cell r="B1423" t="str">
            <v>島立　美奈子　　</v>
          </cell>
          <cell r="C1423">
            <v>371160</v>
          </cell>
          <cell r="D1423">
            <v>416370</v>
          </cell>
          <cell r="E1423">
            <v>787530</v>
          </cell>
          <cell r="F1423">
            <v>1936845</v>
          </cell>
          <cell r="G1423">
            <v>2724375</v>
          </cell>
          <cell r="H1423">
            <v>373850</v>
          </cell>
        </row>
        <row r="1424">
          <cell r="A1424" t="str">
            <v>2699</v>
          </cell>
          <cell r="B1424" t="str">
            <v>桜井　順子　　　</v>
          </cell>
          <cell r="C1424">
            <v>371470</v>
          </cell>
          <cell r="D1424">
            <v>416300</v>
          </cell>
          <cell r="E1424">
            <v>787770</v>
          </cell>
          <cell r="F1424">
            <v>2027130</v>
          </cell>
          <cell r="G1424">
            <v>2814900</v>
          </cell>
          <cell r="H1424">
            <v>385540</v>
          </cell>
        </row>
        <row r="1425">
          <cell r="A1425" t="str">
            <v>3406</v>
          </cell>
          <cell r="B1425" t="str">
            <v>藤田　みさ子　　</v>
          </cell>
          <cell r="C1425">
            <v>356440</v>
          </cell>
          <cell r="D1425">
            <v>416250</v>
          </cell>
          <cell r="E1425">
            <v>772690</v>
          </cell>
          <cell r="F1425">
            <v>2104095</v>
          </cell>
          <cell r="G1425">
            <v>2876785</v>
          </cell>
          <cell r="H1425">
            <v>370990</v>
          </cell>
        </row>
        <row r="1426">
          <cell r="A1426" t="str">
            <v>3198</v>
          </cell>
          <cell r="B1426" t="str">
            <v>平井　敬子　　　</v>
          </cell>
          <cell r="C1426">
            <v>365960</v>
          </cell>
          <cell r="D1426">
            <v>411960</v>
          </cell>
          <cell r="E1426">
            <v>777920</v>
          </cell>
          <cell r="F1426">
            <v>2321308</v>
          </cell>
          <cell r="G1426">
            <v>3099228</v>
          </cell>
          <cell r="H1426">
            <v>391380</v>
          </cell>
        </row>
        <row r="1427">
          <cell r="A1427" t="str">
            <v>3508</v>
          </cell>
          <cell r="B1427" t="str">
            <v>金田　範子　　　</v>
          </cell>
          <cell r="C1427">
            <v>150000</v>
          </cell>
          <cell r="D1427">
            <v>411890</v>
          </cell>
          <cell r="E1427">
            <v>561890</v>
          </cell>
          <cell r="F1427">
            <v>1645693</v>
          </cell>
          <cell r="G1427">
            <v>2207583</v>
          </cell>
          <cell r="H1427">
            <v>394170</v>
          </cell>
        </row>
        <row r="1428">
          <cell r="A1428" t="str">
            <v>3509</v>
          </cell>
          <cell r="B1428" t="str">
            <v>佐々木　礼子　　</v>
          </cell>
          <cell r="C1428">
            <v>150000</v>
          </cell>
          <cell r="D1428">
            <v>411890</v>
          </cell>
          <cell r="E1428">
            <v>561890</v>
          </cell>
          <cell r="F1428">
            <v>1980928</v>
          </cell>
          <cell r="G1428">
            <v>2542818</v>
          </cell>
          <cell r="H1428">
            <v>394170</v>
          </cell>
        </row>
        <row r="1429">
          <cell r="A1429" t="str">
            <v>3191</v>
          </cell>
          <cell r="B1429" t="str">
            <v>金子　抄矢子　　</v>
          </cell>
          <cell r="C1429">
            <v>365960</v>
          </cell>
          <cell r="D1429">
            <v>409910</v>
          </cell>
          <cell r="E1429">
            <v>775870</v>
          </cell>
          <cell r="F1429">
            <v>2040967</v>
          </cell>
          <cell r="G1429">
            <v>2816837</v>
          </cell>
          <cell r="H1429">
            <v>389420</v>
          </cell>
        </row>
        <row r="1430">
          <cell r="A1430" t="str">
            <v>3193</v>
          </cell>
          <cell r="B1430" t="str">
            <v>永田　愛子　　　</v>
          </cell>
          <cell r="C1430">
            <v>365960</v>
          </cell>
          <cell r="D1430">
            <v>409910</v>
          </cell>
          <cell r="E1430">
            <v>775870</v>
          </cell>
          <cell r="F1430">
            <v>2030729</v>
          </cell>
          <cell r="G1430">
            <v>2806599</v>
          </cell>
          <cell r="H1430">
            <v>389420</v>
          </cell>
        </row>
        <row r="1431">
          <cell r="A1431" t="str">
            <v>3188</v>
          </cell>
          <cell r="B1431" t="str">
            <v>伊藤　久美子　　</v>
          </cell>
          <cell r="C1431">
            <v>365960</v>
          </cell>
          <cell r="D1431">
            <v>409910</v>
          </cell>
          <cell r="E1431">
            <v>775870</v>
          </cell>
          <cell r="F1431">
            <v>2460748</v>
          </cell>
          <cell r="G1431">
            <v>3236618</v>
          </cell>
          <cell r="H1431">
            <v>389420</v>
          </cell>
        </row>
        <row r="1432">
          <cell r="A1432" t="str">
            <v>3190</v>
          </cell>
          <cell r="B1432" t="str">
            <v>大久保　悦代　　</v>
          </cell>
          <cell r="C1432">
            <v>365460</v>
          </cell>
          <cell r="D1432">
            <v>409340</v>
          </cell>
          <cell r="E1432">
            <v>774800</v>
          </cell>
          <cell r="F1432">
            <v>2034837</v>
          </cell>
          <cell r="G1432">
            <v>2809637</v>
          </cell>
          <cell r="H1432">
            <v>388780</v>
          </cell>
        </row>
        <row r="1433">
          <cell r="A1433" t="str">
            <v>3420</v>
          </cell>
          <cell r="B1433" t="str">
            <v>嵯峨　悦子　　　</v>
          </cell>
          <cell r="C1433">
            <v>349520</v>
          </cell>
          <cell r="D1433">
            <v>408570</v>
          </cell>
          <cell r="E1433">
            <v>758090</v>
          </cell>
          <cell r="F1433">
            <v>2349379</v>
          </cell>
          <cell r="G1433">
            <v>3107469</v>
          </cell>
          <cell r="H1433">
            <v>368880</v>
          </cell>
        </row>
        <row r="1434">
          <cell r="A1434" t="str">
            <v>3466</v>
          </cell>
          <cell r="B1434" t="str">
            <v>近藤　美佐子　　</v>
          </cell>
          <cell r="C1434">
            <v>117000</v>
          </cell>
          <cell r="D1434">
            <v>406460</v>
          </cell>
          <cell r="E1434">
            <v>523460</v>
          </cell>
          <cell r="F1434">
            <v>1929767</v>
          </cell>
          <cell r="G1434">
            <v>2453227</v>
          </cell>
          <cell r="H1434">
            <v>375440</v>
          </cell>
        </row>
        <row r="1435">
          <cell r="A1435" t="str">
            <v>3252</v>
          </cell>
          <cell r="B1435" t="str">
            <v>田中　道子　　　</v>
          </cell>
          <cell r="C1435">
            <v>342630</v>
          </cell>
          <cell r="D1435">
            <v>405820</v>
          </cell>
          <cell r="E1435">
            <v>748450</v>
          </cell>
          <cell r="F1435">
            <v>2045317</v>
          </cell>
          <cell r="G1435">
            <v>2793767</v>
          </cell>
          <cell r="H1435">
            <v>365640</v>
          </cell>
        </row>
        <row r="1436">
          <cell r="A1436" t="str">
            <v>3068</v>
          </cell>
          <cell r="B1436" t="str">
            <v>松浦　かなえ　　</v>
          </cell>
          <cell r="C1436">
            <v>361900</v>
          </cell>
          <cell r="D1436">
            <v>405780</v>
          </cell>
          <cell r="E1436">
            <v>767680</v>
          </cell>
          <cell r="F1436">
            <v>1966979</v>
          </cell>
          <cell r="G1436">
            <v>2734659</v>
          </cell>
          <cell r="H1436">
            <v>365030</v>
          </cell>
        </row>
        <row r="1437">
          <cell r="A1437" t="str">
            <v>3286</v>
          </cell>
          <cell r="B1437" t="str">
            <v>米倉　史世　　　</v>
          </cell>
          <cell r="C1437">
            <v>356730</v>
          </cell>
          <cell r="D1437">
            <v>402920</v>
          </cell>
          <cell r="E1437">
            <v>759650</v>
          </cell>
          <cell r="F1437">
            <v>2470261</v>
          </cell>
          <cell r="G1437">
            <v>3229911</v>
          </cell>
          <cell r="H1437">
            <v>384090</v>
          </cell>
        </row>
        <row r="1438">
          <cell r="A1438" t="str">
            <v>3200</v>
          </cell>
          <cell r="B1438" t="str">
            <v>宮沢　かよ　　　</v>
          </cell>
          <cell r="C1438">
            <v>357800</v>
          </cell>
          <cell r="D1438">
            <v>402660</v>
          </cell>
          <cell r="E1438">
            <v>760460</v>
          </cell>
          <cell r="F1438">
            <v>2104475</v>
          </cell>
          <cell r="G1438">
            <v>2864935</v>
          </cell>
          <cell r="H1438">
            <v>391380</v>
          </cell>
        </row>
        <row r="1439">
          <cell r="A1439" t="str">
            <v>3428</v>
          </cell>
          <cell r="B1439" t="str">
            <v>彦エ　有香　　　</v>
          </cell>
          <cell r="C1439">
            <v>343020</v>
          </cell>
          <cell r="D1439">
            <v>400570</v>
          </cell>
          <cell r="E1439">
            <v>743590</v>
          </cell>
          <cell r="F1439">
            <v>2073596</v>
          </cell>
          <cell r="G1439">
            <v>2817186</v>
          </cell>
          <cell r="H1439">
            <v>357340</v>
          </cell>
        </row>
        <row r="1440">
          <cell r="A1440" t="str">
            <v>3422</v>
          </cell>
          <cell r="B1440" t="str">
            <v>藤井　由紀　　　</v>
          </cell>
          <cell r="C1440">
            <v>345910</v>
          </cell>
          <cell r="D1440">
            <v>400570</v>
          </cell>
          <cell r="E1440">
            <v>746480</v>
          </cell>
          <cell r="F1440">
            <v>2179656</v>
          </cell>
          <cell r="G1440">
            <v>2926136</v>
          </cell>
          <cell r="H1440">
            <v>357340</v>
          </cell>
        </row>
        <row r="1441">
          <cell r="A1441" t="str">
            <v>3398</v>
          </cell>
          <cell r="B1441" t="str">
            <v>橋本　麻弓　　　</v>
          </cell>
          <cell r="C1441">
            <v>342600</v>
          </cell>
          <cell r="D1441">
            <v>400570</v>
          </cell>
          <cell r="E1441">
            <v>743170</v>
          </cell>
          <cell r="F1441">
            <v>2049605</v>
          </cell>
          <cell r="G1441">
            <v>2792775</v>
          </cell>
          <cell r="H1441">
            <v>361900</v>
          </cell>
        </row>
        <row r="1442">
          <cell r="A1442" t="str">
            <v>3536</v>
          </cell>
          <cell r="B1442" t="str">
            <v>新城　健司　　　</v>
          </cell>
          <cell r="C1442">
            <v>95000</v>
          </cell>
          <cell r="D1442">
            <v>400050</v>
          </cell>
          <cell r="E1442">
            <v>495050</v>
          </cell>
          <cell r="F1442">
            <v>1285751</v>
          </cell>
          <cell r="G1442">
            <v>1780801</v>
          </cell>
          <cell r="H1442">
            <v>372100</v>
          </cell>
        </row>
        <row r="1443">
          <cell r="A1443" t="str">
            <v>3532</v>
          </cell>
          <cell r="B1443" t="str">
            <v>尾崎　誠　　　　</v>
          </cell>
          <cell r="C1443">
            <v>95000</v>
          </cell>
          <cell r="D1443">
            <v>400050</v>
          </cell>
          <cell r="E1443">
            <v>495050</v>
          </cell>
          <cell r="F1443">
            <v>1418962</v>
          </cell>
          <cell r="G1443">
            <v>1914012</v>
          </cell>
          <cell r="H1443">
            <v>376990</v>
          </cell>
        </row>
        <row r="1444">
          <cell r="A1444" t="str">
            <v>3529</v>
          </cell>
          <cell r="B1444" t="str">
            <v>相澤　学　　　　</v>
          </cell>
          <cell r="C1444">
            <v>95000</v>
          </cell>
          <cell r="D1444">
            <v>400050</v>
          </cell>
          <cell r="E1444">
            <v>495050</v>
          </cell>
          <cell r="F1444">
            <v>1272562</v>
          </cell>
          <cell r="G1444">
            <v>1767612</v>
          </cell>
          <cell r="H1444">
            <v>372100</v>
          </cell>
        </row>
        <row r="1445">
          <cell r="A1445" t="str">
            <v>3530</v>
          </cell>
          <cell r="B1445" t="str">
            <v>岩佐　大二郎　　</v>
          </cell>
          <cell r="C1445">
            <v>95000</v>
          </cell>
          <cell r="D1445">
            <v>400050</v>
          </cell>
          <cell r="E1445">
            <v>495050</v>
          </cell>
          <cell r="F1445">
            <v>1355775</v>
          </cell>
          <cell r="G1445">
            <v>1850825</v>
          </cell>
          <cell r="H1445">
            <v>383100</v>
          </cell>
        </row>
        <row r="1446">
          <cell r="A1446" t="str">
            <v>3538</v>
          </cell>
          <cell r="B1446" t="str">
            <v>村上　浩司　　　</v>
          </cell>
          <cell r="C1446">
            <v>95000</v>
          </cell>
          <cell r="D1446">
            <v>400050</v>
          </cell>
          <cell r="E1446">
            <v>495050</v>
          </cell>
          <cell r="F1446">
            <v>1254112</v>
          </cell>
          <cell r="G1446">
            <v>1749162</v>
          </cell>
          <cell r="H1446">
            <v>372100</v>
          </cell>
        </row>
        <row r="1447">
          <cell r="A1447" t="str">
            <v>3537</v>
          </cell>
          <cell r="B1447" t="str">
            <v>高橋　雅弘　　　</v>
          </cell>
          <cell r="C1447">
            <v>95000</v>
          </cell>
          <cell r="D1447">
            <v>400050</v>
          </cell>
          <cell r="E1447">
            <v>495050</v>
          </cell>
          <cell r="F1447">
            <v>1381746</v>
          </cell>
          <cell r="G1447">
            <v>1876796</v>
          </cell>
          <cell r="H1447">
            <v>383100</v>
          </cell>
        </row>
        <row r="1448">
          <cell r="A1448" t="str">
            <v>3534</v>
          </cell>
          <cell r="B1448" t="str">
            <v>片平　文彦　　　</v>
          </cell>
          <cell r="C1448">
            <v>95000</v>
          </cell>
          <cell r="D1448">
            <v>400050</v>
          </cell>
          <cell r="E1448">
            <v>495050</v>
          </cell>
          <cell r="F1448">
            <v>1409425</v>
          </cell>
          <cell r="G1448">
            <v>1904475</v>
          </cell>
          <cell r="H1448">
            <v>383100</v>
          </cell>
        </row>
        <row r="1449">
          <cell r="A1449" t="str">
            <v>3533</v>
          </cell>
          <cell r="B1449" t="str">
            <v>小嶋　宏　　　　</v>
          </cell>
          <cell r="C1449">
            <v>95000</v>
          </cell>
          <cell r="D1449">
            <v>400050</v>
          </cell>
          <cell r="E1449">
            <v>495050</v>
          </cell>
          <cell r="F1449">
            <v>1297205</v>
          </cell>
          <cell r="G1449">
            <v>1792255</v>
          </cell>
          <cell r="H1449">
            <v>372100</v>
          </cell>
        </row>
        <row r="1450">
          <cell r="A1450" t="str">
            <v>3531</v>
          </cell>
          <cell r="B1450" t="str">
            <v>江藤　正次　　　</v>
          </cell>
          <cell r="C1450">
            <v>95000</v>
          </cell>
          <cell r="D1450">
            <v>400050</v>
          </cell>
          <cell r="E1450">
            <v>495050</v>
          </cell>
          <cell r="F1450">
            <v>1280099</v>
          </cell>
          <cell r="G1450">
            <v>1775149</v>
          </cell>
          <cell r="H1450">
            <v>372100</v>
          </cell>
        </row>
        <row r="1451">
          <cell r="A1451" t="str">
            <v>3535</v>
          </cell>
          <cell r="B1451" t="str">
            <v>木下　勝善　　　</v>
          </cell>
          <cell r="C1451">
            <v>95000</v>
          </cell>
          <cell r="D1451">
            <v>399820</v>
          </cell>
          <cell r="E1451">
            <v>494820</v>
          </cell>
          <cell r="F1451">
            <v>1302858</v>
          </cell>
          <cell r="G1451">
            <v>1797678</v>
          </cell>
          <cell r="H1451">
            <v>382350</v>
          </cell>
        </row>
        <row r="1452">
          <cell r="A1452" t="str">
            <v>3119</v>
          </cell>
          <cell r="B1452" t="str">
            <v>岩井　睦美　　　</v>
          </cell>
          <cell r="C1452">
            <v>354770</v>
          </cell>
          <cell r="D1452">
            <v>399660</v>
          </cell>
          <cell r="E1452">
            <v>754430</v>
          </cell>
          <cell r="F1452">
            <v>1992143</v>
          </cell>
          <cell r="G1452">
            <v>2746573</v>
          </cell>
          <cell r="H1452">
            <v>379680</v>
          </cell>
        </row>
        <row r="1453">
          <cell r="A1453" t="str">
            <v>3221</v>
          </cell>
          <cell r="B1453" t="str">
            <v>長島　香緒里　　</v>
          </cell>
          <cell r="C1453">
            <v>350700</v>
          </cell>
          <cell r="D1453">
            <v>398230</v>
          </cell>
          <cell r="E1453">
            <v>748930</v>
          </cell>
          <cell r="F1453">
            <v>2029981</v>
          </cell>
          <cell r="G1453">
            <v>2778911</v>
          </cell>
          <cell r="H1453">
            <v>0</v>
          </cell>
        </row>
        <row r="1454">
          <cell r="A1454" t="str">
            <v>3215</v>
          </cell>
          <cell r="B1454" t="str">
            <v>鈴木　飛鳥　　　</v>
          </cell>
          <cell r="C1454">
            <v>351230</v>
          </cell>
          <cell r="D1454">
            <v>398230</v>
          </cell>
          <cell r="E1454">
            <v>749460</v>
          </cell>
          <cell r="F1454">
            <v>1927260</v>
          </cell>
          <cell r="G1454">
            <v>2676720</v>
          </cell>
          <cell r="H1454">
            <v>385880</v>
          </cell>
        </row>
        <row r="1455">
          <cell r="A1455" t="str">
            <v>3213</v>
          </cell>
          <cell r="B1455" t="str">
            <v>桑平　良美　　　</v>
          </cell>
          <cell r="C1455">
            <v>351230</v>
          </cell>
          <cell r="D1455">
            <v>396120</v>
          </cell>
          <cell r="E1455">
            <v>747350</v>
          </cell>
          <cell r="F1455">
            <v>2077928</v>
          </cell>
          <cell r="G1455">
            <v>2825278</v>
          </cell>
          <cell r="H1455">
            <v>383840</v>
          </cell>
        </row>
        <row r="1456">
          <cell r="A1456" t="str">
            <v>3448</v>
          </cell>
          <cell r="B1456" t="str">
            <v>吉田　智美　　　</v>
          </cell>
          <cell r="C1456">
            <v>341070</v>
          </cell>
          <cell r="D1456">
            <v>394670</v>
          </cell>
          <cell r="E1456">
            <v>735740</v>
          </cell>
          <cell r="F1456">
            <v>2112664</v>
          </cell>
          <cell r="G1456">
            <v>2848404</v>
          </cell>
          <cell r="H1456">
            <v>368990</v>
          </cell>
        </row>
        <row r="1457">
          <cell r="A1457" t="str">
            <v>3441</v>
          </cell>
          <cell r="B1457" t="str">
            <v>小走　久仁子　　</v>
          </cell>
          <cell r="C1457">
            <v>341020</v>
          </cell>
          <cell r="D1457">
            <v>393020</v>
          </cell>
          <cell r="E1457">
            <v>734040</v>
          </cell>
          <cell r="F1457">
            <v>2332405</v>
          </cell>
          <cell r="G1457">
            <v>3066445</v>
          </cell>
          <cell r="H1457">
            <v>368990</v>
          </cell>
        </row>
        <row r="1458">
          <cell r="A1458" t="str">
            <v>3399</v>
          </cell>
          <cell r="B1458" t="str">
            <v>江崎　さつき　　</v>
          </cell>
          <cell r="C1458">
            <v>335700</v>
          </cell>
          <cell r="D1458">
            <v>392720</v>
          </cell>
          <cell r="E1458">
            <v>728420</v>
          </cell>
          <cell r="F1458">
            <v>1997681</v>
          </cell>
          <cell r="G1458">
            <v>2726101</v>
          </cell>
          <cell r="H1458">
            <v>350340</v>
          </cell>
        </row>
        <row r="1459">
          <cell r="A1459" t="str">
            <v>3421</v>
          </cell>
          <cell r="B1459" t="str">
            <v>蒲田　英里子　　</v>
          </cell>
          <cell r="C1459">
            <v>342600</v>
          </cell>
          <cell r="D1459">
            <v>392720</v>
          </cell>
          <cell r="E1459">
            <v>735320</v>
          </cell>
          <cell r="F1459">
            <v>2106517</v>
          </cell>
          <cell r="G1459">
            <v>2841837</v>
          </cell>
          <cell r="H1459">
            <v>354800</v>
          </cell>
        </row>
        <row r="1460">
          <cell r="A1460" t="str">
            <v>3403</v>
          </cell>
          <cell r="B1460" t="str">
            <v>津田　知子　　　</v>
          </cell>
          <cell r="C1460">
            <v>335700</v>
          </cell>
          <cell r="D1460">
            <v>392720</v>
          </cell>
          <cell r="E1460">
            <v>728420</v>
          </cell>
          <cell r="F1460">
            <v>2055974</v>
          </cell>
          <cell r="G1460">
            <v>2784394</v>
          </cell>
          <cell r="H1460">
            <v>354800</v>
          </cell>
        </row>
        <row r="1461">
          <cell r="A1461" t="str">
            <v>3416</v>
          </cell>
          <cell r="B1461" t="str">
            <v>塩山　麻里　　　</v>
          </cell>
          <cell r="C1461">
            <v>335700</v>
          </cell>
          <cell r="D1461">
            <v>388800</v>
          </cell>
          <cell r="E1461">
            <v>724500</v>
          </cell>
          <cell r="F1461">
            <v>2739918</v>
          </cell>
          <cell r="G1461">
            <v>3464418</v>
          </cell>
          <cell r="H1461">
            <v>346850</v>
          </cell>
        </row>
        <row r="1462">
          <cell r="A1462" t="str">
            <v>3409</v>
          </cell>
          <cell r="B1462" t="str">
            <v>山口　美保子　　</v>
          </cell>
          <cell r="C1462">
            <v>332890</v>
          </cell>
          <cell r="D1462">
            <v>388800</v>
          </cell>
          <cell r="E1462">
            <v>721690</v>
          </cell>
          <cell r="F1462">
            <v>2309607</v>
          </cell>
          <cell r="G1462">
            <v>3031297</v>
          </cell>
          <cell r="H1462">
            <v>351270</v>
          </cell>
        </row>
        <row r="1463">
          <cell r="A1463" t="str">
            <v>3429</v>
          </cell>
          <cell r="B1463" t="str">
            <v>武智　美穂　　　</v>
          </cell>
          <cell r="C1463">
            <v>339730</v>
          </cell>
          <cell r="D1463">
            <v>387430</v>
          </cell>
          <cell r="E1463">
            <v>727160</v>
          </cell>
          <cell r="F1463">
            <v>2031614</v>
          </cell>
          <cell r="G1463">
            <v>2758774</v>
          </cell>
          <cell r="H1463">
            <v>354800</v>
          </cell>
        </row>
        <row r="1464">
          <cell r="A1464" t="str">
            <v>3222</v>
          </cell>
          <cell r="B1464" t="str">
            <v>西堀　真理　　　</v>
          </cell>
          <cell r="C1464">
            <v>343570</v>
          </cell>
          <cell r="D1464">
            <v>387370</v>
          </cell>
          <cell r="E1464">
            <v>730940</v>
          </cell>
          <cell r="F1464">
            <v>1935787</v>
          </cell>
          <cell r="G1464">
            <v>2666727</v>
          </cell>
          <cell r="H1464">
            <v>368010</v>
          </cell>
        </row>
        <row r="1465">
          <cell r="A1465" t="str">
            <v>3449</v>
          </cell>
          <cell r="B1465" t="str">
            <v>熊谷　昌美　　　</v>
          </cell>
          <cell r="C1465">
            <v>334450</v>
          </cell>
          <cell r="D1465">
            <v>387080</v>
          </cell>
          <cell r="E1465">
            <v>721530</v>
          </cell>
          <cell r="F1465">
            <v>2059492</v>
          </cell>
          <cell r="G1465">
            <v>2781022</v>
          </cell>
          <cell r="H1465">
            <v>361900</v>
          </cell>
        </row>
        <row r="1466">
          <cell r="A1466" t="str">
            <v>3224</v>
          </cell>
          <cell r="B1466" t="str">
            <v>藤田　裕美　　　</v>
          </cell>
          <cell r="C1466">
            <v>343570</v>
          </cell>
          <cell r="D1466">
            <v>385340</v>
          </cell>
          <cell r="E1466">
            <v>728910</v>
          </cell>
          <cell r="F1466">
            <v>2073885</v>
          </cell>
          <cell r="G1466">
            <v>2802795</v>
          </cell>
          <cell r="H1466">
            <v>366090</v>
          </cell>
        </row>
        <row r="1467">
          <cell r="A1467" t="str">
            <v>3212</v>
          </cell>
          <cell r="B1467" t="str">
            <v>木佐貫　理江　　</v>
          </cell>
          <cell r="C1467">
            <v>343100</v>
          </cell>
          <cell r="D1467">
            <v>385340</v>
          </cell>
          <cell r="E1467">
            <v>728440</v>
          </cell>
          <cell r="F1467">
            <v>2096488</v>
          </cell>
          <cell r="G1467">
            <v>2824928</v>
          </cell>
          <cell r="H1467">
            <v>366090</v>
          </cell>
        </row>
        <row r="1468">
          <cell r="A1468" t="str">
            <v>3211</v>
          </cell>
          <cell r="B1468" t="str">
            <v>川那部　真理　　</v>
          </cell>
          <cell r="C1468">
            <v>327900</v>
          </cell>
          <cell r="D1468">
            <v>385340</v>
          </cell>
          <cell r="E1468">
            <v>713240</v>
          </cell>
          <cell r="F1468">
            <v>1929847</v>
          </cell>
          <cell r="G1468">
            <v>2643087</v>
          </cell>
          <cell r="H1468">
            <v>355070</v>
          </cell>
        </row>
        <row r="1469">
          <cell r="A1469" t="str">
            <v>3217</v>
          </cell>
          <cell r="B1469" t="str">
            <v>十亀　由理　　　</v>
          </cell>
          <cell r="C1469">
            <v>335910</v>
          </cell>
          <cell r="D1469">
            <v>385340</v>
          </cell>
          <cell r="E1469">
            <v>721250</v>
          </cell>
          <cell r="F1469">
            <v>2099291</v>
          </cell>
          <cell r="G1469">
            <v>2820541</v>
          </cell>
          <cell r="H1469">
            <v>366090</v>
          </cell>
        </row>
        <row r="1470">
          <cell r="A1470" t="str">
            <v>3207</v>
          </cell>
          <cell r="B1470" t="str">
            <v>岡野　長生子　　</v>
          </cell>
          <cell r="C1470">
            <v>342640</v>
          </cell>
          <cell r="D1470">
            <v>385340</v>
          </cell>
          <cell r="E1470">
            <v>727980</v>
          </cell>
          <cell r="F1470">
            <v>1987282</v>
          </cell>
          <cell r="G1470">
            <v>2715262</v>
          </cell>
          <cell r="H1470">
            <v>355590</v>
          </cell>
        </row>
        <row r="1471">
          <cell r="A1471" t="str">
            <v>3223</v>
          </cell>
          <cell r="B1471" t="str">
            <v>半下石　マキ　　</v>
          </cell>
          <cell r="C1471">
            <v>335500</v>
          </cell>
          <cell r="D1471">
            <v>385340</v>
          </cell>
          <cell r="E1471">
            <v>720840</v>
          </cell>
          <cell r="F1471">
            <v>1983262</v>
          </cell>
          <cell r="G1471">
            <v>2704102</v>
          </cell>
          <cell r="H1471">
            <v>355070</v>
          </cell>
        </row>
        <row r="1472">
          <cell r="A1472" t="str">
            <v>3225</v>
          </cell>
          <cell r="B1472" t="str">
            <v>山口　佐智子　　</v>
          </cell>
          <cell r="C1472">
            <v>343570</v>
          </cell>
          <cell r="D1472">
            <v>385340</v>
          </cell>
          <cell r="E1472">
            <v>728910</v>
          </cell>
          <cell r="F1472">
            <v>1912374</v>
          </cell>
          <cell r="G1472">
            <v>2641284</v>
          </cell>
          <cell r="H1472">
            <v>366090</v>
          </cell>
        </row>
        <row r="1473">
          <cell r="A1473" t="str">
            <v>3426</v>
          </cell>
          <cell r="B1473" t="str">
            <v>井後　奈都子　　</v>
          </cell>
          <cell r="C1473">
            <v>334000</v>
          </cell>
          <cell r="D1473">
            <v>384860</v>
          </cell>
          <cell r="E1473">
            <v>718860</v>
          </cell>
          <cell r="F1473">
            <v>2081329</v>
          </cell>
          <cell r="G1473">
            <v>2800189</v>
          </cell>
          <cell r="H1473">
            <v>347710</v>
          </cell>
        </row>
        <row r="1474">
          <cell r="A1474" t="str">
            <v>3357</v>
          </cell>
          <cell r="B1474" t="str">
            <v>明山　浩美　　　</v>
          </cell>
          <cell r="C1474">
            <v>334750</v>
          </cell>
          <cell r="D1474">
            <v>384860</v>
          </cell>
          <cell r="E1474">
            <v>719610</v>
          </cell>
          <cell r="F1474">
            <v>2007886</v>
          </cell>
          <cell r="G1474">
            <v>2727496</v>
          </cell>
          <cell r="H1474">
            <v>369600</v>
          </cell>
        </row>
        <row r="1475">
          <cell r="A1475" t="str">
            <v>3362</v>
          </cell>
          <cell r="B1475" t="str">
            <v>古川　栄里　　　</v>
          </cell>
          <cell r="C1475">
            <v>335110</v>
          </cell>
          <cell r="D1475">
            <v>384860</v>
          </cell>
          <cell r="E1475">
            <v>719970</v>
          </cell>
          <cell r="F1475">
            <v>2109230</v>
          </cell>
          <cell r="G1475">
            <v>2829200</v>
          </cell>
          <cell r="H1475">
            <v>373980</v>
          </cell>
        </row>
        <row r="1476">
          <cell r="A1476" t="str">
            <v>3220</v>
          </cell>
          <cell r="B1476" t="str">
            <v>露口　恵子　　　</v>
          </cell>
          <cell r="C1476">
            <v>335910</v>
          </cell>
          <cell r="D1476">
            <v>383290</v>
          </cell>
          <cell r="E1476">
            <v>719200</v>
          </cell>
          <cell r="F1476">
            <v>2022312</v>
          </cell>
          <cell r="G1476">
            <v>2741512</v>
          </cell>
          <cell r="H1476">
            <v>364130</v>
          </cell>
        </row>
        <row r="1477">
          <cell r="A1477" t="str">
            <v>3218</v>
          </cell>
          <cell r="B1477" t="str">
            <v>十河　有希子　　</v>
          </cell>
          <cell r="C1477">
            <v>335910</v>
          </cell>
          <cell r="D1477">
            <v>383290</v>
          </cell>
          <cell r="E1477">
            <v>719200</v>
          </cell>
          <cell r="F1477">
            <v>2165932</v>
          </cell>
          <cell r="G1477">
            <v>2885132</v>
          </cell>
          <cell r="H1477">
            <v>364130</v>
          </cell>
        </row>
        <row r="1478">
          <cell r="A1478" t="str">
            <v>3443</v>
          </cell>
          <cell r="B1478" t="str">
            <v>川口　祐喜子　　</v>
          </cell>
          <cell r="C1478">
            <v>334740</v>
          </cell>
          <cell r="D1478">
            <v>383030</v>
          </cell>
          <cell r="E1478">
            <v>717770</v>
          </cell>
          <cell r="F1478">
            <v>2064587</v>
          </cell>
          <cell r="G1478">
            <v>2782357</v>
          </cell>
          <cell r="H1478">
            <v>357340</v>
          </cell>
        </row>
        <row r="1479">
          <cell r="A1479" t="str">
            <v>3358</v>
          </cell>
          <cell r="B1479" t="str">
            <v>斉藤　恭子　　　</v>
          </cell>
          <cell r="C1479">
            <v>330660</v>
          </cell>
          <cell r="D1479">
            <v>379680</v>
          </cell>
          <cell r="E1479">
            <v>710340</v>
          </cell>
          <cell r="F1479">
            <v>2078070</v>
          </cell>
          <cell r="G1479">
            <v>2788410</v>
          </cell>
          <cell r="H1479">
            <v>361940</v>
          </cell>
        </row>
        <row r="1480">
          <cell r="A1480" t="str">
            <v>3363</v>
          </cell>
          <cell r="B1480" t="str">
            <v>森　恵子　　　　</v>
          </cell>
          <cell r="C1480">
            <v>325090</v>
          </cell>
          <cell r="D1480">
            <v>379680</v>
          </cell>
          <cell r="E1480">
            <v>704770</v>
          </cell>
          <cell r="F1480">
            <v>2013645</v>
          </cell>
          <cell r="G1480">
            <v>2718415</v>
          </cell>
          <cell r="H1480">
            <v>361940</v>
          </cell>
        </row>
        <row r="1481">
          <cell r="A1481" t="str">
            <v>3361</v>
          </cell>
          <cell r="B1481" t="str">
            <v>辻上　早苗　　　</v>
          </cell>
          <cell r="C1481">
            <v>325090</v>
          </cell>
          <cell r="D1481">
            <v>378930</v>
          </cell>
          <cell r="E1481">
            <v>704020</v>
          </cell>
          <cell r="F1481">
            <v>2099250</v>
          </cell>
          <cell r="G1481">
            <v>2803270</v>
          </cell>
          <cell r="H1481">
            <v>361010</v>
          </cell>
        </row>
        <row r="1482">
          <cell r="A1482" t="str">
            <v>3288</v>
          </cell>
          <cell r="B1482" t="str">
            <v>村主　さおり　　</v>
          </cell>
          <cell r="C1482">
            <v>332930</v>
          </cell>
          <cell r="D1482">
            <v>377010</v>
          </cell>
          <cell r="E1482">
            <v>709940</v>
          </cell>
          <cell r="F1482">
            <v>2223212</v>
          </cell>
          <cell r="G1482">
            <v>2933152</v>
          </cell>
          <cell r="H1482">
            <v>362060</v>
          </cell>
        </row>
        <row r="1483">
          <cell r="A1483" t="str">
            <v>3458</v>
          </cell>
          <cell r="B1483" t="str">
            <v>増山　小夜子　　</v>
          </cell>
          <cell r="C1483">
            <v>126000</v>
          </cell>
          <cell r="D1483">
            <v>375710</v>
          </cell>
          <cell r="E1483">
            <v>501710</v>
          </cell>
          <cell r="F1483">
            <v>1565150</v>
          </cell>
          <cell r="G1483">
            <v>2066860</v>
          </cell>
          <cell r="H1483">
            <v>346850</v>
          </cell>
        </row>
        <row r="1484">
          <cell r="A1484" t="str">
            <v>3455</v>
          </cell>
          <cell r="B1484" t="str">
            <v>田淵　笑子　　　</v>
          </cell>
          <cell r="C1484">
            <v>317480</v>
          </cell>
          <cell r="D1484">
            <v>375710</v>
          </cell>
          <cell r="E1484">
            <v>693190</v>
          </cell>
          <cell r="F1484">
            <v>2044756</v>
          </cell>
          <cell r="G1484">
            <v>2737946</v>
          </cell>
          <cell r="H1484">
            <v>351270</v>
          </cell>
        </row>
        <row r="1485">
          <cell r="A1485" t="str">
            <v>3447</v>
          </cell>
          <cell r="B1485" t="str">
            <v>蘆本　みち子　　</v>
          </cell>
          <cell r="C1485">
            <v>323040</v>
          </cell>
          <cell r="D1485">
            <v>375520</v>
          </cell>
          <cell r="E1485">
            <v>698560</v>
          </cell>
          <cell r="F1485">
            <v>2031225</v>
          </cell>
          <cell r="G1485">
            <v>2729785</v>
          </cell>
          <cell r="H1485">
            <v>350340</v>
          </cell>
        </row>
        <row r="1486">
          <cell r="A1486" t="str">
            <v>3467</v>
          </cell>
          <cell r="B1486" t="str">
            <v>世戸　基子　　　</v>
          </cell>
          <cell r="C1486">
            <v>106000</v>
          </cell>
          <cell r="D1486">
            <v>373510</v>
          </cell>
          <cell r="E1486">
            <v>479510</v>
          </cell>
          <cell r="F1486">
            <v>1484435</v>
          </cell>
          <cell r="G1486">
            <v>1963945</v>
          </cell>
          <cell r="H1486">
            <v>351270</v>
          </cell>
        </row>
        <row r="1487">
          <cell r="A1487" t="str">
            <v>3359</v>
          </cell>
          <cell r="B1487" t="str">
            <v>品田　真美　　　</v>
          </cell>
          <cell r="C1487">
            <v>325090</v>
          </cell>
          <cell r="D1487">
            <v>373190</v>
          </cell>
          <cell r="E1487">
            <v>698280</v>
          </cell>
          <cell r="F1487">
            <v>2013606</v>
          </cell>
          <cell r="G1487">
            <v>2711886</v>
          </cell>
          <cell r="H1487">
            <v>354280</v>
          </cell>
        </row>
        <row r="1488">
          <cell r="A1488" t="str">
            <v>3427</v>
          </cell>
          <cell r="B1488" t="str">
            <v>赤井　都代美　　</v>
          </cell>
          <cell r="C1488">
            <v>314310</v>
          </cell>
          <cell r="D1488">
            <v>371930</v>
          </cell>
          <cell r="E1488">
            <v>686240</v>
          </cell>
          <cell r="F1488">
            <v>2062102</v>
          </cell>
          <cell r="G1488">
            <v>2748342</v>
          </cell>
          <cell r="H1488">
            <v>336330</v>
          </cell>
        </row>
        <row r="1489">
          <cell r="A1489" t="str">
            <v>3444</v>
          </cell>
          <cell r="B1489" t="str">
            <v>桝本　雪子　　　</v>
          </cell>
          <cell r="C1489">
            <v>321510</v>
          </cell>
          <cell r="D1489">
            <v>371900</v>
          </cell>
          <cell r="E1489">
            <v>693410</v>
          </cell>
          <cell r="F1489">
            <v>1989374</v>
          </cell>
          <cell r="G1489">
            <v>2682784</v>
          </cell>
          <cell r="H1489">
            <v>347360</v>
          </cell>
        </row>
        <row r="1490">
          <cell r="A1490" t="str">
            <v>3450</v>
          </cell>
          <cell r="B1490" t="str">
            <v>菅野　香苗　　　</v>
          </cell>
          <cell r="C1490">
            <v>319670</v>
          </cell>
          <cell r="D1490">
            <v>371270</v>
          </cell>
          <cell r="E1490">
            <v>690940</v>
          </cell>
          <cell r="F1490">
            <v>2126817</v>
          </cell>
          <cell r="G1490">
            <v>2817757</v>
          </cell>
          <cell r="H1490">
            <v>347710</v>
          </cell>
        </row>
        <row r="1491">
          <cell r="A1491" t="str">
            <v>3273</v>
          </cell>
          <cell r="B1491" t="str">
            <v>木村　育子　　　</v>
          </cell>
          <cell r="C1491">
            <v>329340</v>
          </cell>
          <cell r="D1491">
            <v>371130</v>
          </cell>
          <cell r="E1491">
            <v>700470</v>
          </cell>
          <cell r="F1491">
            <v>2025034</v>
          </cell>
          <cell r="G1491">
            <v>2725504</v>
          </cell>
          <cell r="H1491">
            <v>356400</v>
          </cell>
        </row>
        <row r="1492">
          <cell r="A1492" t="str">
            <v>3445</v>
          </cell>
          <cell r="B1492" t="str">
            <v>金川　佳子　　　</v>
          </cell>
          <cell r="C1492">
            <v>312880</v>
          </cell>
          <cell r="D1492">
            <v>369050</v>
          </cell>
          <cell r="E1492">
            <v>681930</v>
          </cell>
          <cell r="F1492">
            <v>2062013</v>
          </cell>
          <cell r="G1492">
            <v>2743943</v>
          </cell>
          <cell r="H1492">
            <v>346650</v>
          </cell>
        </row>
        <row r="1493">
          <cell r="A1493" t="str">
            <v>3410</v>
          </cell>
          <cell r="B1493" t="str">
            <v>黒山　亜紀子　　</v>
          </cell>
          <cell r="C1493">
            <v>318550</v>
          </cell>
          <cell r="D1493">
            <v>368070</v>
          </cell>
          <cell r="E1493">
            <v>686620</v>
          </cell>
          <cell r="F1493">
            <v>1922874</v>
          </cell>
          <cell r="G1493">
            <v>2609494</v>
          </cell>
          <cell r="H1493">
            <v>332530</v>
          </cell>
        </row>
        <row r="1494">
          <cell r="A1494" t="str">
            <v>3442</v>
          </cell>
          <cell r="B1494" t="str">
            <v>内野　有佳　　　</v>
          </cell>
          <cell r="C1494">
            <v>321510</v>
          </cell>
          <cell r="D1494">
            <v>368010</v>
          </cell>
          <cell r="E1494">
            <v>689520</v>
          </cell>
          <cell r="F1494">
            <v>1999372</v>
          </cell>
          <cell r="G1494">
            <v>2688892</v>
          </cell>
          <cell r="H1494">
            <v>347710</v>
          </cell>
        </row>
        <row r="1495">
          <cell r="A1495" t="str">
            <v>3360</v>
          </cell>
          <cell r="B1495" t="str">
            <v>杉本　良子　　　</v>
          </cell>
          <cell r="C1495">
            <v>330660</v>
          </cell>
          <cell r="D1495">
            <v>368010</v>
          </cell>
          <cell r="E1495">
            <v>698670</v>
          </cell>
          <cell r="F1495">
            <v>1964316</v>
          </cell>
          <cell r="G1495">
            <v>2662986</v>
          </cell>
          <cell r="H1495">
            <v>346620</v>
          </cell>
        </row>
        <row r="1496">
          <cell r="A1496" t="str">
            <v>3208</v>
          </cell>
          <cell r="B1496" t="str">
            <v>長田　保美　　　</v>
          </cell>
          <cell r="C1496">
            <v>328250</v>
          </cell>
          <cell r="D1496">
            <v>367930</v>
          </cell>
          <cell r="E1496">
            <v>696180</v>
          </cell>
          <cell r="F1496">
            <v>1900882</v>
          </cell>
          <cell r="G1496">
            <v>2597062</v>
          </cell>
          <cell r="H1496">
            <v>346150</v>
          </cell>
        </row>
        <row r="1497">
          <cell r="A1497" t="str">
            <v>3433</v>
          </cell>
          <cell r="B1497" t="str">
            <v>和田　美幸　　　</v>
          </cell>
          <cell r="C1497">
            <v>331470</v>
          </cell>
          <cell r="D1497">
            <v>366050</v>
          </cell>
          <cell r="E1497">
            <v>697520</v>
          </cell>
          <cell r="F1497">
            <v>2097356</v>
          </cell>
          <cell r="G1497">
            <v>2794876</v>
          </cell>
          <cell r="H1497">
            <v>347360</v>
          </cell>
        </row>
        <row r="1498">
          <cell r="A1498" t="str">
            <v>3452</v>
          </cell>
          <cell r="B1498" t="str">
            <v>河内屋　京子　　</v>
          </cell>
          <cell r="C1498">
            <v>313470</v>
          </cell>
          <cell r="D1498">
            <v>361390</v>
          </cell>
          <cell r="E1498">
            <v>674860</v>
          </cell>
          <cell r="F1498">
            <v>1998145</v>
          </cell>
          <cell r="G1498">
            <v>2673005</v>
          </cell>
          <cell r="H1498">
            <v>336460</v>
          </cell>
        </row>
        <row r="1499">
          <cell r="A1499" t="str">
            <v>3379</v>
          </cell>
          <cell r="B1499" t="str">
            <v>谷山　利香　　　</v>
          </cell>
          <cell r="C1499">
            <v>310480</v>
          </cell>
          <cell r="D1499">
            <v>361330</v>
          </cell>
          <cell r="E1499">
            <v>671810</v>
          </cell>
          <cell r="F1499">
            <v>1873700</v>
          </cell>
          <cell r="G1499">
            <v>2545510</v>
          </cell>
          <cell r="H1499">
            <v>339810</v>
          </cell>
        </row>
        <row r="1500">
          <cell r="A1500" t="str">
            <v>3371</v>
          </cell>
          <cell r="B1500" t="str">
            <v>今岡　左知　　　</v>
          </cell>
          <cell r="C1500">
            <v>310480</v>
          </cell>
          <cell r="D1500">
            <v>361330</v>
          </cell>
          <cell r="E1500">
            <v>671810</v>
          </cell>
          <cell r="F1500">
            <v>1912646</v>
          </cell>
          <cell r="G1500">
            <v>2584456</v>
          </cell>
          <cell r="H1500">
            <v>347010</v>
          </cell>
        </row>
        <row r="1501">
          <cell r="A1501" t="str">
            <v>3378</v>
          </cell>
          <cell r="B1501" t="str">
            <v>高橋　里枝　　　</v>
          </cell>
          <cell r="C1501">
            <v>310170</v>
          </cell>
          <cell r="D1501">
            <v>356460</v>
          </cell>
          <cell r="E1501">
            <v>666630</v>
          </cell>
          <cell r="F1501">
            <v>1844616</v>
          </cell>
          <cell r="G1501">
            <v>2511246</v>
          </cell>
          <cell r="H1501">
            <v>332620</v>
          </cell>
        </row>
        <row r="1502">
          <cell r="A1502" t="str">
            <v>3375</v>
          </cell>
          <cell r="B1502" t="str">
            <v>鈴木　明子　　　</v>
          </cell>
          <cell r="C1502">
            <v>310480</v>
          </cell>
          <cell r="D1502">
            <v>356460</v>
          </cell>
          <cell r="E1502">
            <v>666940</v>
          </cell>
          <cell r="F1502">
            <v>1923497</v>
          </cell>
          <cell r="G1502">
            <v>2590437</v>
          </cell>
          <cell r="H1502">
            <v>339810</v>
          </cell>
        </row>
        <row r="1503">
          <cell r="A1503" t="str">
            <v>3381</v>
          </cell>
          <cell r="B1503" t="str">
            <v>古澤　利恵　　　</v>
          </cell>
          <cell r="C1503">
            <v>310480</v>
          </cell>
          <cell r="D1503">
            <v>356460</v>
          </cell>
          <cell r="E1503">
            <v>666940</v>
          </cell>
          <cell r="F1503">
            <v>1876275</v>
          </cell>
          <cell r="G1503">
            <v>2543215</v>
          </cell>
          <cell r="H1503">
            <v>339810</v>
          </cell>
        </row>
        <row r="1504">
          <cell r="A1504" t="str">
            <v>3374</v>
          </cell>
          <cell r="B1504" t="str">
            <v>白井　千晴　　　</v>
          </cell>
          <cell r="C1504">
            <v>310480</v>
          </cell>
          <cell r="D1504">
            <v>356460</v>
          </cell>
          <cell r="E1504">
            <v>666940</v>
          </cell>
          <cell r="F1504">
            <v>2031820</v>
          </cell>
          <cell r="G1504">
            <v>2698760</v>
          </cell>
          <cell r="H1504">
            <v>339810</v>
          </cell>
        </row>
        <row r="1505">
          <cell r="A1505" t="str">
            <v>3372</v>
          </cell>
          <cell r="B1505" t="str">
            <v>小林　恵子　　　</v>
          </cell>
          <cell r="C1505">
            <v>310480</v>
          </cell>
          <cell r="D1505">
            <v>356460</v>
          </cell>
          <cell r="E1505">
            <v>666940</v>
          </cell>
          <cell r="F1505">
            <v>1881191</v>
          </cell>
          <cell r="G1505">
            <v>2548131</v>
          </cell>
          <cell r="H1505">
            <v>339810</v>
          </cell>
        </row>
        <row r="1506">
          <cell r="A1506" t="str">
            <v>3377</v>
          </cell>
          <cell r="B1506" t="str">
            <v>高田　ますみ　　</v>
          </cell>
          <cell r="C1506">
            <v>310480</v>
          </cell>
          <cell r="D1506">
            <v>356460</v>
          </cell>
          <cell r="E1506">
            <v>666940</v>
          </cell>
          <cell r="F1506">
            <v>2089589</v>
          </cell>
          <cell r="G1506">
            <v>2756529</v>
          </cell>
          <cell r="H1506">
            <v>339810</v>
          </cell>
        </row>
        <row r="1507">
          <cell r="A1507" t="str">
            <v>0680</v>
          </cell>
          <cell r="B1507" t="str">
            <v>早瀬　和子　　　</v>
          </cell>
          <cell r="C1507">
            <v>325440</v>
          </cell>
          <cell r="D1507">
            <v>352770</v>
          </cell>
          <cell r="E1507">
            <v>678210</v>
          </cell>
          <cell r="F1507">
            <v>2024515</v>
          </cell>
          <cell r="G1507">
            <v>2702725</v>
          </cell>
          <cell r="H1507">
            <v>319500</v>
          </cell>
        </row>
        <row r="1508">
          <cell r="A1508" t="str">
            <v>3382</v>
          </cell>
          <cell r="B1508" t="str">
            <v>堀井　真理子　　</v>
          </cell>
          <cell r="C1508">
            <v>305250</v>
          </cell>
          <cell r="D1508">
            <v>350380</v>
          </cell>
          <cell r="E1508">
            <v>655630</v>
          </cell>
          <cell r="F1508">
            <v>1869804</v>
          </cell>
          <cell r="G1508">
            <v>2525434</v>
          </cell>
          <cell r="H1508">
            <v>339810</v>
          </cell>
        </row>
        <row r="1509">
          <cell r="A1509" t="str">
            <v>3525</v>
          </cell>
          <cell r="B1509" t="str">
            <v>福田　明子　　　</v>
          </cell>
          <cell r="C1509">
            <v>105000</v>
          </cell>
          <cell r="D1509">
            <v>347640</v>
          </cell>
          <cell r="E1509">
            <v>452640</v>
          </cell>
          <cell r="F1509">
            <v>1332577</v>
          </cell>
          <cell r="G1509">
            <v>1785217</v>
          </cell>
          <cell r="H1509">
            <v>327380</v>
          </cell>
        </row>
        <row r="1510">
          <cell r="A1510" t="str">
            <v>3514</v>
          </cell>
          <cell r="B1510" t="str">
            <v>荒川　敦子　　　</v>
          </cell>
          <cell r="C1510">
            <v>105000</v>
          </cell>
          <cell r="D1510">
            <v>347640</v>
          </cell>
          <cell r="E1510">
            <v>452640</v>
          </cell>
          <cell r="F1510">
            <v>1357032</v>
          </cell>
          <cell r="G1510">
            <v>1809672</v>
          </cell>
          <cell r="H1510">
            <v>332680</v>
          </cell>
        </row>
        <row r="1511">
          <cell r="A1511" t="str">
            <v>3516</v>
          </cell>
          <cell r="B1511" t="str">
            <v>上野　由美子　　</v>
          </cell>
          <cell r="C1511">
            <v>105000</v>
          </cell>
          <cell r="D1511">
            <v>347640</v>
          </cell>
          <cell r="E1511">
            <v>452640</v>
          </cell>
          <cell r="F1511">
            <v>1327524</v>
          </cell>
          <cell r="G1511">
            <v>1780164</v>
          </cell>
          <cell r="H1511">
            <v>336930</v>
          </cell>
        </row>
        <row r="1512">
          <cell r="A1512" t="str">
            <v>3520</v>
          </cell>
          <cell r="B1512" t="str">
            <v>曽根勝　治代　　</v>
          </cell>
          <cell r="C1512">
            <v>105000</v>
          </cell>
          <cell r="D1512">
            <v>347640</v>
          </cell>
          <cell r="E1512">
            <v>452640</v>
          </cell>
          <cell r="F1512">
            <v>1319159</v>
          </cell>
          <cell r="G1512">
            <v>1771799</v>
          </cell>
          <cell r="H1512">
            <v>332370</v>
          </cell>
        </row>
        <row r="1513">
          <cell r="A1513" t="str">
            <v>3528</v>
          </cell>
          <cell r="B1513" t="str">
            <v>柳田　成代　　　</v>
          </cell>
          <cell r="C1513">
            <v>105000</v>
          </cell>
          <cell r="D1513">
            <v>347640</v>
          </cell>
          <cell r="E1513">
            <v>452640</v>
          </cell>
          <cell r="F1513">
            <v>1321432</v>
          </cell>
          <cell r="G1513">
            <v>1774072</v>
          </cell>
          <cell r="H1513">
            <v>327380</v>
          </cell>
        </row>
        <row r="1514">
          <cell r="A1514" t="str">
            <v>3515</v>
          </cell>
          <cell r="B1514" t="str">
            <v>荒瀬　雅子　　　</v>
          </cell>
          <cell r="C1514">
            <v>105000</v>
          </cell>
          <cell r="D1514">
            <v>347640</v>
          </cell>
          <cell r="E1514">
            <v>452640</v>
          </cell>
          <cell r="F1514">
            <v>1341343</v>
          </cell>
          <cell r="G1514">
            <v>1793983</v>
          </cell>
          <cell r="H1514">
            <v>327380</v>
          </cell>
        </row>
        <row r="1515">
          <cell r="A1515" t="str">
            <v>3527</v>
          </cell>
          <cell r="B1515" t="str">
            <v>森岡　美佳　　　</v>
          </cell>
          <cell r="C1515">
            <v>105000</v>
          </cell>
          <cell r="D1515">
            <v>347640</v>
          </cell>
          <cell r="E1515">
            <v>452640</v>
          </cell>
          <cell r="F1515">
            <v>1325766</v>
          </cell>
          <cell r="G1515">
            <v>1778406</v>
          </cell>
          <cell r="H1515">
            <v>327380</v>
          </cell>
        </row>
        <row r="1516">
          <cell r="A1516" t="str">
            <v>3524</v>
          </cell>
          <cell r="B1516" t="str">
            <v>伴仲　幸子　　　</v>
          </cell>
          <cell r="C1516">
            <v>105000</v>
          </cell>
          <cell r="D1516">
            <v>347640</v>
          </cell>
          <cell r="E1516">
            <v>452640</v>
          </cell>
          <cell r="F1516">
            <v>1332886</v>
          </cell>
          <cell r="G1516">
            <v>1785526</v>
          </cell>
          <cell r="H1516">
            <v>332680</v>
          </cell>
        </row>
        <row r="1517">
          <cell r="A1517" t="str">
            <v>3526</v>
          </cell>
          <cell r="B1517" t="str">
            <v>望田　悦子　　　</v>
          </cell>
          <cell r="C1517">
            <v>105000</v>
          </cell>
          <cell r="D1517">
            <v>347640</v>
          </cell>
          <cell r="E1517">
            <v>452640</v>
          </cell>
          <cell r="F1517">
            <v>1327413</v>
          </cell>
          <cell r="G1517">
            <v>1780053</v>
          </cell>
          <cell r="H1517">
            <v>332680</v>
          </cell>
        </row>
        <row r="1518">
          <cell r="A1518" t="str">
            <v>3518</v>
          </cell>
          <cell r="B1518" t="str">
            <v>杉山　佳美　　　</v>
          </cell>
          <cell r="C1518">
            <v>105000</v>
          </cell>
          <cell r="D1518">
            <v>347640</v>
          </cell>
          <cell r="E1518">
            <v>452640</v>
          </cell>
          <cell r="F1518">
            <v>1329171</v>
          </cell>
          <cell r="G1518">
            <v>1781811</v>
          </cell>
          <cell r="H1518">
            <v>336930</v>
          </cell>
        </row>
        <row r="1519">
          <cell r="A1519" t="str">
            <v>3521</v>
          </cell>
          <cell r="B1519" t="str">
            <v>對馬　響　　　　</v>
          </cell>
          <cell r="C1519">
            <v>105000</v>
          </cell>
          <cell r="D1519">
            <v>347640</v>
          </cell>
          <cell r="E1519">
            <v>452640</v>
          </cell>
          <cell r="F1519">
            <v>1352698</v>
          </cell>
          <cell r="G1519">
            <v>1805338</v>
          </cell>
          <cell r="H1519">
            <v>336930</v>
          </cell>
        </row>
        <row r="1520">
          <cell r="A1520" t="str">
            <v>3517</v>
          </cell>
          <cell r="B1520" t="str">
            <v>亀田　弘子　　　</v>
          </cell>
          <cell r="C1520">
            <v>105000</v>
          </cell>
          <cell r="D1520">
            <v>347640</v>
          </cell>
          <cell r="E1520">
            <v>452640</v>
          </cell>
          <cell r="F1520">
            <v>1339598</v>
          </cell>
          <cell r="G1520">
            <v>1792238</v>
          </cell>
          <cell r="H1520">
            <v>336930</v>
          </cell>
        </row>
        <row r="1521">
          <cell r="A1521" t="str">
            <v>3523</v>
          </cell>
          <cell r="B1521" t="str">
            <v>野村　珠実　　　</v>
          </cell>
          <cell r="C1521">
            <v>105000</v>
          </cell>
          <cell r="D1521">
            <v>347640</v>
          </cell>
          <cell r="E1521">
            <v>452640</v>
          </cell>
          <cell r="F1521">
            <v>1327623</v>
          </cell>
          <cell r="G1521">
            <v>1780263</v>
          </cell>
          <cell r="H1521">
            <v>327380</v>
          </cell>
        </row>
        <row r="1522">
          <cell r="A1522" t="str">
            <v>3519</v>
          </cell>
          <cell r="B1522" t="str">
            <v>関根　美紀　　　</v>
          </cell>
          <cell r="C1522">
            <v>105000</v>
          </cell>
          <cell r="D1522">
            <v>347640</v>
          </cell>
          <cell r="E1522">
            <v>452640</v>
          </cell>
          <cell r="F1522">
            <v>1320841</v>
          </cell>
          <cell r="G1522">
            <v>1773481</v>
          </cell>
          <cell r="H1522">
            <v>332680</v>
          </cell>
        </row>
        <row r="1523">
          <cell r="A1523" t="str">
            <v>3522</v>
          </cell>
          <cell r="B1523" t="str">
            <v>土地　はる香　　</v>
          </cell>
          <cell r="C1523">
            <v>105000</v>
          </cell>
          <cell r="D1523">
            <v>347640</v>
          </cell>
          <cell r="E1523">
            <v>452640</v>
          </cell>
          <cell r="F1523">
            <v>1321432</v>
          </cell>
          <cell r="G1523">
            <v>1774072</v>
          </cell>
          <cell r="H1523">
            <v>332680</v>
          </cell>
        </row>
        <row r="1524">
          <cell r="A1524" t="str">
            <v>3557</v>
          </cell>
          <cell r="B1524" t="str">
            <v>野中　雅子　　　</v>
          </cell>
          <cell r="C1524">
            <v>31000</v>
          </cell>
          <cell r="D1524">
            <v>346030</v>
          </cell>
          <cell r="E1524">
            <v>377030</v>
          </cell>
          <cell r="F1524">
            <v>1102456</v>
          </cell>
          <cell r="G1524">
            <v>1479486</v>
          </cell>
          <cell r="H1524">
            <v>325760</v>
          </cell>
        </row>
        <row r="1525">
          <cell r="A1525" t="str">
            <v>3373</v>
          </cell>
          <cell r="B1525" t="str">
            <v>島田　陽子　　　</v>
          </cell>
          <cell r="C1525">
            <v>300840</v>
          </cell>
          <cell r="D1525">
            <v>344980</v>
          </cell>
          <cell r="E1525">
            <v>645820</v>
          </cell>
          <cell r="F1525">
            <v>1830626</v>
          </cell>
          <cell r="G1525">
            <v>2476446</v>
          </cell>
          <cell r="H1525">
            <v>325100</v>
          </cell>
        </row>
        <row r="1526">
          <cell r="A1526" t="str">
            <v>3383</v>
          </cell>
          <cell r="B1526" t="str">
            <v>宮城　加恵　　　</v>
          </cell>
          <cell r="C1526">
            <v>305250</v>
          </cell>
          <cell r="D1526">
            <v>344720</v>
          </cell>
          <cell r="E1526">
            <v>649970</v>
          </cell>
          <cell r="F1526">
            <v>1855174</v>
          </cell>
          <cell r="G1526">
            <v>2505144</v>
          </cell>
          <cell r="H1526">
            <v>323100</v>
          </cell>
        </row>
        <row r="1527">
          <cell r="A1527" t="str">
            <v>3384</v>
          </cell>
          <cell r="B1527" t="str">
            <v>山下　佳代子　　</v>
          </cell>
          <cell r="C1527">
            <v>302620</v>
          </cell>
          <cell r="D1527">
            <v>344720</v>
          </cell>
          <cell r="E1527">
            <v>647340</v>
          </cell>
          <cell r="F1527">
            <v>1848730</v>
          </cell>
          <cell r="G1527">
            <v>2496070</v>
          </cell>
          <cell r="H1527">
            <v>325100</v>
          </cell>
        </row>
        <row r="1528">
          <cell r="A1528" t="str">
            <v>3551</v>
          </cell>
          <cell r="B1528" t="str">
            <v>伯川　由利子　　</v>
          </cell>
          <cell r="C1528">
            <v>95000</v>
          </cell>
          <cell r="D1528">
            <v>329280</v>
          </cell>
          <cell r="E1528">
            <v>424280</v>
          </cell>
          <cell r="F1528">
            <v>1273534</v>
          </cell>
          <cell r="G1528">
            <v>1697814</v>
          </cell>
          <cell r="H1528">
            <v>319140</v>
          </cell>
        </row>
        <row r="1529">
          <cell r="A1529" t="str">
            <v>3541</v>
          </cell>
          <cell r="B1529" t="str">
            <v>加藤　昌代　　　</v>
          </cell>
          <cell r="C1529">
            <v>95000</v>
          </cell>
          <cell r="D1529">
            <v>329280</v>
          </cell>
          <cell r="E1529">
            <v>424280</v>
          </cell>
          <cell r="F1529">
            <v>1296468</v>
          </cell>
          <cell r="G1529">
            <v>1720748</v>
          </cell>
          <cell r="H1529">
            <v>319140</v>
          </cell>
        </row>
        <row r="1530">
          <cell r="A1530" t="str">
            <v>3539</v>
          </cell>
          <cell r="B1530" t="str">
            <v>荒木　歩　　　　</v>
          </cell>
          <cell r="C1530">
            <v>95000</v>
          </cell>
          <cell r="D1530">
            <v>329280</v>
          </cell>
          <cell r="E1530">
            <v>424280</v>
          </cell>
          <cell r="F1530">
            <v>1267172</v>
          </cell>
          <cell r="G1530">
            <v>1691452</v>
          </cell>
          <cell r="H1530">
            <v>310100</v>
          </cell>
        </row>
        <row r="1531">
          <cell r="A1531" t="str">
            <v>3553</v>
          </cell>
          <cell r="B1531" t="str">
            <v>柳野　純子　　　</v>
          </cell>
          <cell r="C1531">
            <v>95000</v>
          </cell>
          <cell r="D1531">
            <v>329280</v>
          </cell>
          <cell r="E1531">
            <v>424280</v>
          </cell>
          <cell r="F1531">
            <v>1291968</v>
          </cell>
          <cell r="G1531">
            <v>1716248</v>
          </cell>
          <cell r="H1531">
            <v>319140</v>
          </cell>
        </row>
        <row r="1532">
          <cell r="A1532" t="str">
            <v>3540</v>
          </cell>
          <cell r="B1532" t="str">
            <v>浦谷　正美　　　</v>
          </cell>
          <cell r="C1532">
            <v>95000</v>
          </cell>
          <cell r="D1532">
            <v>329280</v>
          </cell>
          <cell r="E1532">
            <v>424280</v>
          </cell>
          <cell r="F1532">
            <v>1292933</v>
          </cell>
          <cell r="G1532">
            <v>1717213</v>
          </cell>
          <cell r="H1532">
            <v>306080</v>
          </cell>
        </row>
        <row r="1533">
          <cell r="A1533" t="str">
            <v>3552</v>
          </cell>
          <cell r="B1533" t="str">
            <v>三輪　奈央　　　</v>
          </cell>
          <cell r="C1533">
            <v>95000</v>
          </cell>
          <cell r="D1533">
            <v>329280</v>
          </cell>
          <cell r="E1533">
            <v>424280</v>
          </cell>
          <cell r="F1533">
            <v>1255614</v>
          </cell>
          <cell r="G1533">
            <v>1679894</v>
          </cell>
          <cell r="H1533">
            <v>315120</v>
          </cell>
        </row>
        <row r="1534">
          <cell r="A1534" t="str">
            <v>3548</v>
          </cell>
          <cell r="B1534" t="str">
            <v>中井　やよい　　</v>
          </cell>
          <cell r="C1534">
            <v>95000</v>
          </cell>
          <cell r="D1534">
            <v>329280</v>
          </cell>
          <cell r="E1534">
            <v>424280</v>
          </cell>
          <cell r="F1534">
            <v>1253999</v>
          </cell>
          <cell r="G1534">
            <v>1678279</v>
          </cell>
          <cell r="H1534">
            <v>310100</v>
          </cell>
        </row>
        <row r="1535">
          <cell r="A1535" t="str">
            <v>3555</v>
          </cell>
          <cell r="B1535" t="str">
            <v>山崎　かおる　　</v>
          </cell>
          <cell r="C1535">
            <v>95000</v>
          </cell>
          <cell r="D1535">
            <v>329280</v>
          </cell>
          <cell r="E1535">
            <v>424280</v>
          </cell>
          <cell r="F1535">
            <v>1255614</v>
          </cell>
          <cell r="G1535">
            <v>1679894</v>
          </cell>
          <cell r="H1535">
            <v>315120</v>
          </cell>
        </row>
        <row r="1536">
          <cell r="A1536" t="str">
            <v>3544</v>
          </cell>
          <cell r="B1536" t="str">
            <v>國竹　美江　　　</v>
          </cell>
          <cell r="C1536">
            <v>95000</v>
          </cell>
          <cell r="D1536">
            <v>329280</v>
          </cell>
          <cell r="E1536">
            <v>424280</v>
          </cell>
          <cell r="F1536">
            <v>1262963</v>
          </cell>
          <cell r="G1536">
            <v>1687243</v>
          </cell>
          <cell r="H1536">
            <v>315120</v>
          </cell>
        </row>
        <row r="1537">
          <cell r="A1537" t="str">
            <v>3546</v>
          </cell>
          <cell r="B1537" t="str">
            <v>関　瑞穂　　　　</v>
          </cell>
          <cell r="C1537">
            <v>95000</v>
          </cell>
          <cell r="D1537">
            <v>329280</v>
          </cell>
          <cell r="E1537">
            <v>424280</v>
          </cell>
          <cell r="F1537">
            <v>1271100</v>
          </cell>
          <cell r="G1537">
            <v>1695380</v>
          </cell>
          <cell r="H1537">
            <v>310100</v>
          </cell>
        </row>
        <row r="1538">
          <cell r="A1538" t="str">
            <v>3547</v>
          </cell>
          <cell r="B1538" t="str">
            <v>徳永　麻紀　　　</v>
          </cell>
          <cell r="C1538">
            <v>95000</v>
          </cell>
          <cell r="D1538">
            <v>329280</v>
          </cell>
          <cell r="E1538">
            <v>424280</v>
          </cell>
          <cell r="F1538">
            <v>1285795</v>
          </cell>
          <cell r="G1538">
            <v>1710075</v>
          </cell>
          <cell r="H1538">
            <v>310100</v>
          </cell>
        </row>
        <row r="1539">
          <cell r="A1539" t="str">
            <v>3543</v>
          </cell>
          <cell r="B1539" t="str">
            <v>川名　麻由美　　</v>
          </cell>
          <cell r="C1539">
            <v>95000</v>
          </cell>
          <cell r="D1539">
            <v>329280</v>
          </cell>
          <cell r="E1539">
            <v>424280</v>
          </cell>
          <cell r="F1539">
            <v>1318134</v>
          </cell>
          <cell r="G1539">
            <v>1742414</v>
          </cell>
          <cell r="H1539">
            <v>315120</v>
          </cell>
        </row>
        <row r="1540">
          <cell r="A1540" t="str">
            <v>3554</v>
          </cell>
          <cell r="B1540" t="str">
            <v>山内　理恵　　　</v>
          </cell>
          <cell r="C1540">
            <v>95000</v>
          </cell>
          <cell r="D1540">
            <v>329280</v>
          </cell>
          <cell r="E1540">
            <v>424280</v>
          </cell>
          <cell r="F1540">
            <v>1277618</v>
          </cell>
          <cell r="G1540">
            <v>1701898</v>
          </cell>
          <cell r="H1540">
            <v>315120</v>
          </cell>
        </row>
        <row r="1541">
          <cell r="A1541" t="str">
            <v>3545</v>
          </cell>
          <cell r="B1541" t="str">
            <v>諸喜田　初江　　</v>
          </cell>
          <cell r="C1541">
            <v>95000</v>
          </cell>
          <cell r="D1541">
            <v>329280</v>
          </cell>
          <cell r="E1541">
            <v>424280</v>
          </cell>
          <cell r="F1541">
            <v>1261462</v>
          </cell>
          <cell r="G1541">
            <v>1685742</v>
          </cell>
          <cell r="H1541">
            <v>315120</v>
          </cell>
        </row>
        <row r="1542">
          <cell r="A1542" t="str">
            <v>3550</v>
          </cell>
          <cell r="B1542" t="str">
            <v>野間　彩　　　　</v>
          </cell>
          <cell r="C1542">
            <v>95000</v>
          </cell>
          <cell r="D1542">
            <v>328870</v>
          </cell>
          <cell r="E1542">
            <v>423870</v>
          </cell>
          <cell r="F1542">
            <v>1249444</v>
          </cell>
          <cell r="G1542">
            <v>1673314</v>
          </cell>
          <cell r="H1542">
            <v>314500</v>
          </cell>
        </row>
        <row r="1543">
          <cell r="A1543" t="str">
            <v>3556</v>
          </cell>
          <cell r="B1543" t="str">
            <v>横江　章子　　　</v>
          </cell>
          <cell r="C1543">
            <v>95000</v>
          </cell>
          <cell r="D1543">
            <v>328660</v>
          </cell>
          <cell r="E1543">
            <v>423660</v>
          </cell>
          <cell r="F1543">
            <v>1248692</v>
          </cell>
          <cell r="G1543">
            <v>1672352</v>
          </cell>
          <cell r="H1543">
            <v>315120</v>
          </cell>
        </row>
        <row r="1544">
          <cell r="A1544" t="str">
            <v>3549</v>
          </cell>
          <cell r="B1544" t="str">
            <v>西村　むつみ　　</v>
          </cell>
          <cell r="C1544">
            <v>95000</v>
          </cell>
          <cell r="D1544">
            <v>328440</v>
          </cell>
          <cell r="E1544">
            <v>423440</v>
          </cell>
          <cell r="F1544">
            <v>1273189</v>
          </cell>
          <cell r="G1544">
            <v>1696629</v>
          </cell>
          <cell r="H1544">
            <v>309320</v>
          </cell>
        </row>
        <row r="1545">
          <cell r="A1545" t="str">
            <v>1799</v>
          </cell>
          <cell r="B1545" t="str">
            <v>宮島　和子　　　</v>
          </cell>
          <cell r="C1545">
            <v>293990</v>
          </cell>
          <cell r="D1545">
            <v>308950</v>
          </cell>
          <cell r="E1545">
            <v>602940</v>
          </cell>
          <cell r="F1545">
            <v>4557</v>
          </cell>
          <cell r="G1545">
            <v>607497</v>
          </cell>
          <cell r="H1545">
            <v>278490</v>
          </cell>
        </row>
        <row r="1546">
          <cell r="A1546" t="str">
            <v>3561</v>
          </cell>
          <cell r="B1546" t="str">
            <v>水谷　芳重　　　</v>
          </cell>
          <cell r="C1546">
            <v>0</v>
          </cell>
          <cell r="D1546">
            <v>196000</v>
          </cell>
          <cell r="E1546">
            <v>196000</v>
          </cell>
          <cell r="F1546">
            <v>1224320</v>
          </cell>
          <cell r="G1546">
            <v>1420320</v>
          </cell>
          <cell r="H1546">
            <v>426030</v>
          </cell>
        </row>
        <row r="1547">
          <cell r="A1547" t="str">
            <v>3563</v>
          </cell>
          <cell r="B1547" t="str">
            <v>濱野　芳文　　　</v>
          </cell>
          <cell r="C1547">
            <v>0</v>
          </cell>
          <cell r="D1547">
            <v>91000</v>
          </cell>
          <cell r="E1547">
            <v>91000</v>
          </cell>
          <cell r="F1547">
            <v>707514</v>
          </cell>
          <cell r="G1547">
            <v>798514</v>
          </cell>
          <cell r="H1547">
            <v>467840</v>
          </cell>
        </row>
        <row r="1548">
          <cell r="A1548" t="str">
            <v>0468</v>
          </cell>
          <cell r="B1548" t="str">
            <v>竹内　良太郎　　</v>
          </cell>
          <cell r="C1548">
            <v>625340</v>
          </cell>
          <cell r="D1548">
            <v>0</v>
          </cell>
          <cell r="E1548">
            <v>0</v>
          </cell>
          <cell r="F1548">
            <v>4771592</v>
          </cell>
          <cell r="G1548">
            <v>4771592</v>
          </cell>
          <cell r="H1548">
            <v>497960</v>
          </cell>
        </row>
        <row r="1549">
          <cell r="A1549" t="str">
            <v>3590</v>
          </cell>
          <cell r="B1549" t="str">
            <v>野口　明男　　　</v>
          </cell>
          <cell r="C1549">
            <v>0</v>
          </cell>
          <cell r="D1549">
            <v>0</v>
          </cell>
          <cell r="E1549">
            <v>0</v>
          </cell>
          <cell r="F1549">
            <v>0</v>
          </cell>
          <cell r="G1549">
            <v>0</v>
          </cell>
          <cell r="H1549">
            <v>150000</v>
          </cell>
        </row>
        <row r="1550">
          <cell r="A1550" t="str">
            <v>3605</v>
          </cell>
          <cell r="B1550" t="str">
            <v>桑鶴　知子　　　</v>
          </cell>
          <cell r="C1550">
            <v>0</v>
          </cell>
          <cell r="D1550">
            <v>0</v>
          </cell>
          <cell r="E1550">
            <v>0</v>
          </cell>
          <cell r="F1550">
            <v>0</v>
          </cell>
          <cell r="G1550">
            <v>0</v>
          </cell>
          <cell r="H1550">
            <v>105000</v>
          </cell>
        </row>
        <row r="1551">
          <cell r="A1551" t="str">
            <v>3591</v>
          </cell>
          <cell r="B1551" t="str">
            <v>野口　秀樹　　　</v>
          </cell>
          <cell r="C1551">
            <v>0</v>
          </cell>
          <cell r="D1551">
            <v>0</v>
          </cell>
          <cell r="E1551">
            <v>0</v>
          </cell>
          <cell r="F1551">
            <v>0</v>
          </cell>
          <cell r="G1551">
            <v>0</v>
          </cell>
          <cell r="H1551">
            <v>150000</v>
          </cell>
        </row>
        <row r="1552">
          <cell r="A1552" t="str">
            <v>3565</v>
          </cell>
          <cell r="B1552" t="str">
            <v>安藤　俊哉　　　</v>
          </cell>
          <cell r="C1552">
            <v>0</v>
          </cell>
          <cell r="D1552">
            <v>0</v>
          </cell>
          <cell r="E1552">
            <v>0</v>
          </cell>
          <cell r="F1552">
            <v>0</v>
          </cell>
          <cell r="G1552">
            <v>0</v>
          </cell>
          <cell r="H1552">
            <v>160000</v>
          </cell>
        </row>
        <row r="1553">
          <cell r="A1553" t="str">
            <v>3566</v>
          </cell>
          <cell r="B1553" t="str">
            <v>安東　正光　　　</v>
          </cell>
          <cell r="C1553">
            <v>0</v>
          </cell>
          <cell r="D1553">
            <v>0</v>
          </cell>
          <cell r="E1553">
            <v>0</v>
          </cell>
          <cell r="F1553">
            <v>0</v>
          </cell>
          <cell r="G1553">
            <v>0</v>
          </cell>
          <cell r="H1553">
            <v>160000</v>
          </cell>
        </row>
        <row r="1554">
          <cell r="A1554" t="str">
            <v>3593</v>
          </cell>
          <cell r="B1554" t="str">
            <v>日高　美範　　　</v>
          </cell>
          <cell r="C1554">
            <v>0</v>
          </cell>
          <cell r="D1554">
            <v>0</v>
          </cell>
          <cell r="E1554">
            <v>0</v>
          </cell>
          <cell r="F1554">
            <v>0</v>
          </cell>
          <cell r="G1554">
            <v>0</v>
          </cell>
          <cell r="H1554">
            <v>150000</v>
          </cell>
        </row>
        <row r="1555">
          <cell r="A1555" t="str">
            <v>3567</v>
          </cell>
          <cell r="B1555" t="str">
            <v>梶　秀彰　　　　</v>
          </cell>
          <cell r="C1555">
            <v>0</v>
          </cell>
          <cell r="D1555">
            <v>0</v>
          </cell>
          <cell r="E1555">
            <v>0</v>
          </cell>
          <cell r="F1555">
            <v>0</v>
          </cell>
          <cell r="G1555">
            <v>0</v>
          </cell>
          <cell r="H1555">
            <v>160000</v>
          </cell>
        </row>
        <row r="1556">
          <cell r="A1556" t="str">
            <v>3616</v>
          </cell>
          <cell r="B1556" t="str">
            <v>吉岡　悦子　　　</v>
          </cell>
          <cell r="C1556">
            <v>0</v>
          </cell>
          <cell r="D1556">
            <v>0</v>
          </cell>
          <cell r="E1556">
            <v>0</v>
          </cell>
          <cell r="F1556">
            <v>0</v>
          </cell>
          <cell r="G1556">
            <v>0</v>
          </cell>
          <cell r="H1556">
            <v>95000</v>
          </cell>
        </row>
        <row r="1557">
          <cell r="A1557" t="str">
            <v>3613</v>
          </cell>
          <cell r="B1557" t="str">
            <v>佐川　弓子　　　</v>
          </cell>
          <cell r="C1557">
            <v>0</v>
          </cell>
          <cell r="D1557">
            <v>0</v>
          </cell>
          <cell r="E1557">
            <v>0</v>
          </cell>
          <cell r="F1557">
            <v>0</v>
          </cell>
          <cell r="G1557">
            <v>0</v>
          </cell>
          <cell r="H1557">
            <v>95000</v>
          </cell>
        </row>
        <row r="1558">
          <cell r="A1558" t="str">
            <v>3595</v>
          </cell>
          <cell r="B1558" t="str">
            <v>松本　潔和　　　</v>
          </cell>
          <cell r="C1558">
            <v>0</v>
          </cell>
          <cell r="D1558">
            <v>0</v>
          </cell>
          <cell r="E1558">
            <v>0</v>
          </cell>
          <cell r="F1558">
            <v>0</v>
          </cell>
          <cell r="G1558">
            <v>0</v>
          </cell>
          <cell r="H1558">
            <v>150000</v>
          </cell>
        </row>
        <row r="1559">
          <cell r="A1559" t="str">
            <v>3571</v>
          </cell>
          <cell r="B1559" t="str">
            <v>上野　透　　　　</v>
          </cell>
          <cell r="C1559">
            <v>0</v>
          </cell>
          <cell r="D1559">
            <v>0</v>
          </cell>
          <cell r="E1559">
            <v>0</v>
          </cell>
          <cell r="F1559">
            <v>0</v>
          </cell>
          <cell r="G1559">
            <v>0</v>
          </cell>
          <cell r="H1559">
            <v>150000</v>
          </cell>
        </row>
        <row r="1560">
          <cell r="A1560" t="str">
            <v>3573</v>
          </cell>
          <cell r="B1560" t="str">
            <v>沖原　太郎　　　</v>
          </cell>
          <cell r="C1560">
            <v>0</v>
          </cell>
          <cell r="D1560">
            <v>0</v>
          </cell>
          <cell r="E1560">
            <v>0</v>
          </cell>
          <cell r="F1560">
            <v>0</v>
          </cell>
          <cell r="G1560">
            <v>0</v>
          </cell>
          <cell r="H1560">
            <v>150000</v>
          </cell>
        </row>
        <row r="1561">
          <cell r="A1561" t="str">
            <v>3574</v>
          </cell>
          <cell r="B1561" t="str">
            <v>奥崎　広　　　　</v>
          </cell>
          <cell r="C1561">
            <v>0</v>
          </cell>
          <cell r="D1561">
            <v>0</v>
          </cell>
          <cell r="E1561">
            <v>0</v>
          </cell>
          <cell r="F1561">
            <v>0</v>
          </cell>
          <cell r="G1561">
            <v>0</v>
          </cell>
          <cell r="H1561">
            <v>150000</v>
          </cell>
        </row>
        <row r="1562">
          <cell r="A1562" t="str">
            <v>3597</v>
          </cell>
          <cell r="B1562" t="str">
            <v>森中　宏至　　　</v>
          </cell>
          <cell r="C1562">
            <v>0</v>
          </cell>
          <cell r="D1562">
            <v>0</v>
          </cell>
          <cell r="E1562">
            <v>0</v>
          </cell>
          <cell r="F1562">
            <v>0</v>
          </cell>
          <cell r="G1562">
            <v>0</v>
          </cell>
          <cell r="H1562">
            <v>150000</v>
          </cell>
        </row>
        <row r="1563">
          <cell r="A1563" t="str">
            <v>3575</v>
          </cell>
          <cell r="B1563" t="str">
            <v>長田　正也　　　</v>
          </cell>
          <cell r="C1563">
            <v>0</v>
          </cell>
          <cell r="D1563">
            <v>0</v>
          </cell>
          <cell r="E1563">
            <v>0</v>
          </cell>
          <cell r="F1563">
            <v>0</v>
          </cell>
          <cell r="G1563">
            <v>0</v>
          </cell>
          <cell r="H1563">
            <v>150000</v>
          </cell>
        </row>
        <row r="1564">
          <cell r="A1564" t="str">
            <v>3578</v>
          </cell>
          <cell r="B1564" t="str">
            <v>木下　太郎　　　</v>
          </cell>
          <cell r="C1564">
            <v>0</v>
          </cell>
          <cell r="D1564">
            <v>0</v>
          </cell>
          <cell r="E1564">
            <v>0</v>
          </cell>
          <cell r="F1564">
            <v>0</v>
          </cell>
          <cell r="G1564">
            <v>0</v>
          </cell>
          <cell r="H1564">
            <v>150000</v>
          </cell>
        </row>
        <row r="1565">
          <cell r="A1565" t="str">
            <v>3614</v>
          </cell>
          <cell r="B1565" t="str">
            <v>佐藤　江利奈　　</v>
          </cell>
          <cell r="C1565">
            <v>0</v>
          </cell>
          <cell r="D1565">
            <v>0</v>
          </cell>
          <cell r="E1565">
            <v>0</v>
          </cell>
          <cell r="F1565">
            <v>0</v>
          </cell>
          <cell r="G1565">
            <v>0</v>
          </cell>
          <cell r="H1565">
            <v>95000</v>
          </cell>
        </row>
        <row r="1566">
          <cell r="A1566" t="str">
            <v>3599</v>
          </cell>
          <cell r="B1566" t="str">
            <v>安田　有志　　　</v>
          </cell>
          <cell r="C1566">
            <v>0</v>
          </cell>
          <cell r="D1566">
            <v>0</v>
          </cell>
          <cell r="E1566">
            <v>0</v>
          </cell>
          <cell r="F1566">
            <v>0</v>
          </cell>
          <cell r="G1566">
            <v>0</v>
          </cell>
          <cell r="H1566">
            <v>150000</v>
          </cell>
        </row>
        <row r="1567">
          <cell r="A1567" t="str">
            <v>3579</v>
          </cell>
          <cell r="B1567" t="str">
            <v>日下部　昇　　　</v>
          </cell>
          <cell r="C1567">
            <v>0</v>
          </cell>
          <cell r="D1567">
            <v>0</v>
          </cell>
          <cell r="E1567">
            <v>0</v>
          </cell>
          <cell r="F1567">
            <v>0</v>
          </cell>
          <cell r="G1567">
            <v>0</v>
          </cell>
          <cell r="H1567">
            <v>150000</v>
          </cell>
        </row>
        <row r="1568">
          <cell r="A1568" t="str">
            <v>3581</v>
          </cell>
          <cell r="B1568" t="str">
            <v>真田　智之　　　</v>
          </cell>
          <cell r="C1568">
            <v>0</v>
          </cell>
          <cell r="D1568">
            <v>0</v>
          </cell>
          <cell r="E1568">
            <v>0</v>
          </cell>
          <cell r="F1568">
            <v>0</v>
          </cell>
          <cell r="G1568">
            <v>0</v>
          </cell>
          <cell r="H1568">
            <v>150000</v>
          </cell>
        </row>
        <row r="1569">
          <cell r="A1569" t="str">
            <v>3582</v>
          </cell>
          <cell r="B1569" t="str">
            <v>杉山　智也　　　</v>
          </cell>
          <cell r="C1569">
            <v>0</v>
          </cell>
          <cell r="D1569">
            <v>0</v>
          </cell>
          <cell r="E1569">
            <v>0</v>
          </cell>
          <cell r="F1569">
            <v>0</v>
          </cell>
          <cell r="G1569">
            <v>0</v>
          </cell>
          <cell r="H1569">
            <v>150000</v>
          </cell>
        </row>
        <row r="1570">
          <cell r="A1570" t="str">
            <v>3601</v>
          </cell>
          <cell r="B1570" t="str">
            <v>西部　麗子　　　</v>
          </cell>
          <cell r="C1570">
            <v>0</v>
          </cell>
          <cell r="D1570">
            <v>0</v>
          </cell>
          <cell r="E1570">
            <v>0</v>
          </cell>
          <cell r="F1570">
            <v>0</v>
          </cell>
          <cell r="G1570">
            <v>0</v>
          </cell>
          <cell r="H1570">
            <v>150000</v>
          </cell>
        </row>
        <row r="1571">
          <cell r="A1571" t="str">
            <v>3583</v>
          </cell>
          <cell r="B1571" t="str">
            <v>寺田　聖　　　　</v>
          </cell>
          <cell r="C1571">
            <v>0</v>
          </cell>
          <cell r="D1571">
            <v>0</v>
          </cell>
          <cell r="E1571">
            <v>0</v>
          </cell>
          <cell r="F1571">
            <v>0</v>
          </cell>
          <cell r="G1571">
            <v>0</v>
          </cell>
          <cell r="H1571">
            <v>150000</v>
          </cell>
        </row>
        <row r="1572">
          <cell r="A1572" t="str">
            <v>3570</v>
          </cell>
          <cell r="B1572" t="str">
            <v>穴井　豊春　　　</v>
          </cell>
          <cell r="C1572">
            <v>0</v>
          </cell>
          <cell r="D1572">
            <v>0</v>
          </cell>
          <cell r="E1572">
            <v>0</v>
          </cell>
          <cell r="F1572">
            <v>0</v>
          </cell>
          <cell r="G1572">
            <v>0</v>
          </cell>
          <cell r="H1572">
            <v>150000</v>
          </cell>
        </row>
        <row r="1573">
          <cell r="A1573" t="str">
            <v>3615</v>
          </cell>
          <cell r="B1573" t="str">
            <v>本田　裕喜子　　</v>
          </cell>
          <cell r="C1573">
            <v>0</v>
          </cell>
          <cell r="D1573">
            <v>0</v>
          </cell>
          <cell r="E1573">
            <v>0</v>
          </cell>
          <cell r="F1573">
            <v>0</v>
          </cell>
          <cell r="G1573">
            <v>0</v>
          </cell>
          <cell r="H1573">
            <v>95000</v>
          </cell>
        </row>
        <row r="1574">
          <cell r="A1574" t="str">
            <v>3603</v>
          </cell>
          <cell r="B1574" t="str">
            <v>本田　規子　　　</v>
          </cell>
          <cell r="C1574">
            <v>0</v>
          </cell>
          <cell r="D1574">
            <v>0</v>
          </cell>
          <cell r="E1574">
            <v>0</v>
          </cell>
          <cell r="F1574">
            <v>0</v>
          </cell>
          <cell r="G1574">
            <v>0</v>
          </cell>
          <cell r="H1574">
            <v>150000</v>
          </cell>
        </row>
        <row r="1575">
          <cell r="A1575" t="str">
            <v>3587</v>
          </cell>
          <cell r="B1575" t="str">
            <v>並川　基裕　　　</v>
          </cell>
          <cell r="C1575">
            <v>0</v>
          </cell>
          <cell r="D1575">
            <v>0</v>
          </cell>
          <cell r="E1575">
            <v>0</v>
          </cell>
          <cell r="F1575">
            <v>0</v>
          </cell>
          <cell r="G1575">
            <v>0</v>
          </cell>
          <cell r="H1575">
            <v>150000</v>
          </cell>
        </row>
        <row r="1576">
          <cell r="A1576" t="str">
            <v>3589</v>
          </cell>
          <cell r="B1576" t="str">
            <v>西野　一幸　　　</v>
          </cell>
          <cell r="C1576">
            <v>0</v>
          </cell>
          <cell r="D1576">
            <v>0</v>
          </cell>
          <cell r="E1576">
            <v>0</v>
          </cell>
          <cell r="F1576">
            <v>0</v>
          </cell>
          <cell r="G1576">
            <v>0</v>
          </cell>
          <cell r="H1576">
            <v>150000</v>
          </cell>
        </row>
        <row r="1577">
          <cell r="A1577" t="str">
            <v>3612</v>
          </cell>
          <cell r="B1577" t="str">
            <v>菊地　淳子　　　</v>
          </cell>
          <cell r="C1577">
            <v>0</v>
          </cell>
          <cell r="D1577">
            <v>0</v>
          </cell>
          <cell r="E1577">
            <v>0</v>
          </cell>
          <cell r="F1577">
            <v>0</v>
          </cell>
          <cell r="G1577">
            <v>0</v>
          </cell>
          <cell r="H1577">
            <v>95000</v>
          </cell>
        </row>
        <row r="1578">
          <cell r="A1578" t="str">
            <v>3592</v>
          </cell>
          <cell r="B1578" t="str">
            <v>野田　幸彦　　　</v>
          </cell>
          <cell r="C1578">
            <v>0</v>
          </cell>
          <cell r="D1578">
            <v>0</v>
          </cell>
          <cell r="E1578">
            <v>0</v>
          </cell>
          <cell r="F1578">
            <v>0</v>
          </cell>
          <cell r="G1578">
            <v>0</v>
          </cell>
          <cell r="H1578">
            <v>150000</v>
          </cell>
        </row>
        <row r="1579">
          <cell r="A1579" t="str">
            <v>3606</v>
          </cell>
          <cell r="B1579" t="str">
            <v>谷村　和子　　　</v>
          </cell>
          <cell r="C1579">
            <v>0</v>
          </cell>
          <cell r="D1579">
            <v>0</v>
          </cell>
          <cell r="E1579">
            <v>0</v>
          </cell>
          <cell r="F1579">
            <v>0</v>
          </cell>
          <cell r="G1579">
            <v>0</v>
          </cell>
          <cell r="H1579">
            <v>105000</v>
          </cell>
        </row>
        <row r="1580">
          <cell r="A1580" t="str">
            <v>3586</v>
          </cell>
          <cell r="B1580" t="str">
            <v>永友　茂美　　　</v>
          </cell>
          <cell r="C1580">
            <v>0</v>
          </cell>
          <cell r="D1580">
            <v>0</v>
          </cell>
          <cell r="E1580">
            <v>0</v>
          </cell>
          <cell r="F1580">
            <v>0</v>
          </cell>
          <cell r="G1580">
            <v>0</v>
          </cell>
          <cell r="H1580">
            <v>150000</v>
          </cell>
        </row>
        <row r="1581">
          <cell r="A1581" t="str">
            <v>3607</v>
          </cell>
          <cell r="B1581" t="str">
            <v>乗富　聡子　　　</v>
          </cell>
          <cell r="C1581">
            <v>0</v>
          </cell>
          <cell r="D1581">
            <v>0</v>
          </cell>
          <cell r="E1581">
            <v>0</v>
          </cell>
          <cell r="F1581">
            <v>0</v>
          </cell>
          <cell r="G1581">
            <v>0</v>
          </cell>
          <cell r="H1581">
            <v>105000</v>
          </cell>
        </row>
        <row r="1582">
          <cell r="A1582" t="str">
            <v>3596</v>
          </cell>
          <cell r="B1582" t="str">
            <v>森田　晃行　　　</v>
          </cell>
          <cell r="C1582">
            <v>0</v>
          </cell>
          <cell r="D1582">
            <v>0</v>
          </cell>
          <cell r="E1582">
            <v>0</v>
          </cell>
          <cell r="F1582">
            <v>0</v>
          </cell>
          <cell r="G1582">
            <v>0</v>
          </cell>
          <cell r="H1582">
            <v>150000</v>
          </cell>
        </row>
        <row r="1583">
          <cell r="A1583" t="str">
            <v>3608</v>
          </cell>
          <cell r="B1583" t="str">
            <v>花田　恭子　　　</v>
          </cell>
          <cell r="C1583">
            <v>0</v>
          </cell>
          <cell r="D1583">
            <v>0</v>
          </cell>
          <cell r="E1583">
            <v>0</v>
          </cell>
          <cell r="F1583">
            <v>0</v>
          </cell>
          <cell r="G1583">
            <v>0</v>
          </cell>
          <cell r="H1583">
            <v>105000</v>
          </cell>
        </row>
        <row r="1584">
          <cell r="A1584" t="str">
            <v>3577</v>
          </cell>
          <cell r="B1584" t="str">
            <v>木暮　啓二　　　</v>
          </cell>
          <cell r="C1584">
            <v>0</v>
          </cell>
          <cell r="D1584">
            <v>0</v>
          </cell>
          <cell r="E1584">
            <v>0</v>
          </cell>
          <cell r="F1584">
            <v>0</v>
          </cell>
          <cell r="G1584">
            <v>0</v>
          </cell>
          <cell r="H1584">
            <v>150000</v>
          </cell>
        </row>
        <row r="1585">
          <cell r="A1585" t="str">
            <v>3609</v>
          </cell>
          <cell r="B1585" t="str">
            <v>諸永　慧莉　　　</v>
          </cell>
          <cell r="C1585">
            <v>0</v>
          </cell>
          <cell r="D1585">
            <v>0</v>
          </cell>
          <cell r="E1585">
            <v>0</v>
          </cell>
          <cell r="F1585">
            <v>0</v>
          </cell>
          <cell r="G1585">
            <v>0</v>
          </cell>
          <cell r="H1585">
            <v>105000</v>
          </cell>
        </row>
        <row r="1586">
          <cell r="A1586" t="str">
            <v>3600</v>
          </cell>
          <cell r="B1586" t="str">
            <v>黒田　真壽美　　</v>
          </cell>
          <cell r="C1586">
            <v>0</v>
          </cell>
          <cell r="D1586">
            <v>0</v>
          </cell>
          <cell r="E1586">
            <v>0</v>
          </cell>
          <cell r="F1586">
            <v>0</v>
          </cell>
          <cell r="G1586">
            <v>0</v>
          </cell>
          <cell r="H1586">
            <v>150000</v>
          </cell>
        </row>
        <row r="1587">
          <cell r="A1587" t="str">
            <v>3610</v>
          </cell>
          <cell r="B1587" t="str">
            <v>上松　晶子　　　</v>
          </cell>
          <cell r="C1587">
            <v>0</v>
          </cell>
          <cell r="D1587">
            <v>0</v>
          </cell>
          <cell r="E1587">
            <v>0</v>
          </cell>
          <cell r="F1587">
            <v>0</v>
          </cell>
          <cell r="G1587">
            <v>0</v>
          </cell>
          <cell r="H1587">
            <v>95000</v>
          </cell>
        </row>
        <row r="1588">
          <cell r="A1588" t="str">
            <v>3569</v>
          </cell>
          <cell r="B1588" t="str">
            <v>長尾　淳二　　　</v>
          </cell>
          <cell r="C1588">
            <v>0</v>
          </cell>
          <cell r="D1588">
            <v>0</v>
          </cell>
          <cell r="E1588">
            <v>0</v>
          </cell>
          <cell r="F1588">
            <v>0</v>
          </cell>
          <cell r="G1588">
            <v>0</v>
          </cell>
          <cell r="H1588">
            <v>160000</v>
          </cell>
        </row>
        <row r="1589">
          <cell r="A1589" t="str">
            <v>3611</v>
          </cell>
          <cell r="B1589" t="str">
            <v>加山　志帆　　　</v>
          </cell>
          <cell r="C1589">
            <v>0</v>
          </cell>
          <cell r="D1589">
            <v>0</v>
          </cell>
          <cell r="E1589">
            <v>0</v>
          </cell>
          <cell r="F1589">
            <v>0</v>
          </cell>
          <cell r="G1589">
            <v>0</v>
          </cell>
          <cell r="H1589">
            <v>95000</v>
          </cell>
        </row>
        <row r="1590">
          <cell r="A1590" t="str">
            <v>3604</v>
          </cell>
          <cell r="B1590" t="str">
            <v>山崎　由賀　　　</v>
          </cell>
          <cell r="C1590">
            <v>0</v>
          </cell>
          <cell r="D1590">
            <v>0</v>
          </cell>
          <cell r="E1590">
            <v>0</v>
          </cell>
          <cell r="F1590">
            <v>0</v>
          </cell>
          <cell r="G1590">
            <v>0</v>
          </cell>
          <cell r="H1590">
            <v>150000</v>
          </cell>
        </row>
        <row r="1591">
          <cell r="A1591" t="str">
            <v>3576</v>
          </cell>
          <cell r="B1591" t="str">
            <v>加藤　雅也　　　</v>
          </cell>
          <cell r="C1591">
            <v>0</v>
          </cell>
          <cell r="D1591">
            <v>0</v>
          </cell>
          <cell r="E1591">
            <v>0</v>
          </cell>
          <cell r="F1591">
            <v>0</v>
          </cell>
          <cell r="G1591">
            <v>0</v>
          </cell>
          <cell r="H1591">
            <v>150000</v>
          </cell>
        </row>
        <row r="1592">
          <cell r="A1592" t="str">
            <v>3585</v>
          </cell>
          <cell r="B1592" t="str">
            <v>土肥　祐樹　　　</v>
          </cell>
          <cell r="C1592">
            <v>0</v>
          </cell>
          <cell r="D1592">
            <v>0</v>
          </cell>
          <cell r="E1592">
            <v>0</v>
          </cell>
          <cell r="F1592">
            <v>0</v>
          </cell>
          <cell r="G1592">
            <v>0</v>
          </cell>
          <cell r="H1592">
            <v>150000</v>
          </cell>
        </row>
        <row r="1593">
          <cell r="A1593" t="str">
            <v>3572</v>
          </cell>
          <cell r="B1593" t="str">
            <v>岡本　圭史　　　</v>
          </cell>
          <cell r="C1593">
            <v>0</v>
          </cell>
          <cell r="D1593">
            <v>0</v>
          </cell>
          <cell r="E1593">
            <v>0</v>
          </cell>
          <cell r="F1593">
            <v>0</v>
          </cell>
          <cell r="G1593">
            <v>0</v>
          </cell>
          <cell r="H1593">
            <v>150000</v>
          </cell>
        </row>
        <row r="1594">
          <cell r="A1594" t="str">
            <v>3598</v>
          </cell>
          <cell r="B1594" t="str">
            <v>八木　一光　　　</v>
          </cell>
          <cell r="C1594">
            <v>0</v>
          </cell>
          <cell r="D1594">
            <v>0</v>
          </cell>
          <cell r="E1594">
            <v>0</v>
          </cell>
          <cell r="F1594">
            <v>0</v>
          </cell>
          <cell r="G1594">
            <v>0</v>
          </cell>
          <cell r="H1594">
            <v>150000</v>
          </cell>
        </row>
        <row r="1595">
          <cell r="A1595" t="str">
            <v>3580</v>
          </cell>
          <cell r="B1595" t="str">
            <v>坂口　陽一郎　　</v>
          </cell>
          <cell r="C1595">
            <v>0</v>
          </cell>
          <cell r="D1595">
            <v>0</v>
          </cell>
          <cell r="E1595">
            <v>0</v>
          </cell>
          <cell r="F1595">
            <v>0</v>
          </cell>
          <cell r="G1595">
            <v>0</v>
          </cell>
          <cell r="H1595">
            <v>150000</v>
          </cell>
        </row>
        <row r="1596">
          <cell r="A1596" t="str">
            <v>3594</v>
          </cell>
          <cell r="B1596" t="str">
            <v>松村　康志　　　</v>
          </cell>
          <cell r="C1596">
            <v>0</v>
          </cell>
          <cell r="D1596">
            <v>0</v>
          </cell>
          <cell r="E1596">
            <v>0</v>
          </cell>
          <cell r="F1596">
            <v>0</v>
          </cell>
          <cell r="G1596">
            <v>0</v>
          </cell>
          <cell r="H1596">
            <v>150000</v>
          </cell>
        </row>
        <row r="1597">
          <cell r="A1597" t="str">
            <v>3588</v>
          </cell>
          <cell r="B1597" t="str">
            <v>成川　重敏　　　</v>
          </cell>
          <cell r="C1597">
            <v>0</v>
          </cell>
          <cell r="D1597">
            <v>0</v>
          </cell>
          <cell r="E1597">
            <v>0</v>
          </cell>
          <cell r="F1597">
            <v>0</v>
          </cell>
          <cell r="G1597">
            <v>0</v>
          </cell>
          <cell r="H1597">
            <v>150000</v>
          </cell>
        </row>
        <row r="1598">
          <cell r="A1598" t="str">
            <v>3602</v>
          </cell>
          <cell r="B1598" t="str">
            <v>林　美喜子　　　</v>
          </cell>
          <cell r="C1598">
            <v>0</v>
          </cell>
          <cell r="D1598">
            <v>0</v>
          </cell>
          <cell r="E1598">
            <v>0</v>
          </cell>
          <cell r="F1598">
            <v>0</v>
          </cell>
          <cell r="G1598">
            <v>0</v>
          </cell>
          <cell r="H1598">
            <v>150000</v>
          </cell>
        </row>
        <row r="1599">
          <cell r="A1599" t="str">
            <v>0096</v>
          </cell>
          <cell r="B1599" t="str">
            <v>小西　貞男　　　</v>
          </cell>
          <cell r="C1599">
            <v>608700</v>
          </cell>
          <cell r="D1599">
            <v>0</v>
          </cell>
          <cell r="E1599">
            <v>0</v>
          </cell>
          <cell r="F1599">
            <v>5235648</v>
          </cell>
          <cell r="G1599">
            <v>5235648</v>
          </cell>
          <cell r="H1599">
            <v>481800</v>
          </cell>
        </row>
        <row r="1600">
          <cell r="A1600" t="str">
            <v>3568</v>
          </cell>
          <cell r="B1600" t="str">
            <v>丹野　寿典　　　</v>
          </cell>
          <cell r="C1600">
            <v>0</v>
          </cell>
          <cell r="D1600">
            <v>0</v>
          </cell>
          <cell r="E1600">
            <v>0</v>
          </cell>
          <cell r="F1600">
            <v>0</v>
          </cell>
          <cell r="G1600">
            <v>0</v>
          </cell>
          <cell r="H1600">
            <v>160000</v>
          </cell>
        </row>
        <row r="1601">
          <cell r="A1601" t="str">
            <v>3584</v>
          </cell>
          <cell r="B1601" t="str">
            <v>刀根　文次郎　　</v>
          </cell>
          <cell r="C1601">
            <v>0</v>
          </cell>
          <cell r="D1601">
            <v>0</v>
          </cell>
          <cell r="E1601">
            <v>0</v>
          </cell>
          <cell r="F1601">
            <v>0</v>
          </cell>
          <cell r="G1601">
            <v>0</v>
          </cell>
          <cell r="H1601">
            <v>150000</v>
          </cell>
        </row>
        <row r="1602">
          <cell r="A1602" t="str">
            <v>3617</v>
          </cell>
          <cell r="B1602" t="str">
            <v>須田　陽子　　　</v>
          </cell>
          <cell r="C1602">
            <v>0</v>
          </cell>
          <cell r="D1602">
            <v>0</v>
          </cell>
          <cell r="E1602">
            <v>0</v>
          </cell>
          <cell r="F1602">
            <v>0</v>
          </cell>
          <cell r="G1602">
            <v>0</v>
          </cell>
          <cell r="H1602">
            <v>79000</v>
          </cell>
        </row>
        <row r="1603">
          <cell r="A1603" t="str">
            <v>3619</v>
          </cell>
          <cell r="B1603" t="str">
            <v>吉原　光代　　　</v>
          </cell>
          <cell r="C1603">
            <v>0</v>
          </cell>
          <cell r="D1603">
            <v>0</v>
          </cell>
          <cell r="E1603">
            <v>0</v>
          </cell>
          <cell r="F1603">
            <v>0</v>
          </cell>
          <cell r="G1603">
            <v>0</v>
          </cell>
          <cell r="H1603">
            <v>60000</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更新履歴"/>
      <sheetName val="Table_C"/>
      <sheetName val="Table_M"/>
      <sheetName val="Table_T"/>
      <sheetName val="Table_Sch"/>
      <sheetName val="Table_Other"/>
      <sheetName val="コード設計"/>
      <sheetName val="IF_SOLNO_EO"/>
      <sheetName val="M_SOLNO"/>
      <sheetName val="T_SOLNO販売"/>
      <sheetName val="T_SOLNO生産"/>
      <sheetName val="C_SOLNO"/>
      <sheetName val="M1"/>
      <sheetName val="MG"/>
      <sheetName val="M2"/>
      <sheetName val="T1"/>
      <sheetName val="T2"/>
      <sheetName val="TG"/>
      <sheetName val="WG"/>
      <sheetName val="C1"/>
      <sheetName val="C2"/>
      <sheetName val="W"/>
      <sheetName val="K"/>
      <sheetName val="KM"/>
      <sheetName val="KT"/>
      <sheetName val="M3"/>
      <sheetName val="T3"/>
      <sheetName val="C3"/>
      <sheetName val="C4H"/>
      <sheetName val="M4H"/>
      <sheetName val="T4H"/>
      <sheetName val="T5"/>
      <sheetName val="M5"/>
      <sheetName val="C5"/>
      <sheetName val="View1"/>
      <sheetName val="Func"/>
      <sheetName val="SolnoFunc"/>
      <sheetName val="View2"/>
      <sheetName val="Proc"/>
      <sheetName val="SolnoProc"/>
      <sheetName val="Zaiko"/>
      <sheetName val="Genka"/>
      <sheetName val="Batch"/>
      <sheetName val="ascaa"/>
      <sheetName val="macro"/>
      <sheetName val="Trigger"/>
      <sheetName val="ZaikoBroker"/>
      <sheetName val="HikiateBroker"/>
      <sheetName val="Tanaoroshi"/>
      <sheetName val="kaikei"/>
      <sheetName val="target"/>
      <sheetName val="賞与･年収"/>
      <sheetName val="SOLNOTable_def_Rev7"/>
      <sheetName val="b00611"/>
      <sheetName val="Ｔ　データ"/>
      <sheetName val="Ｔ　新黒"/>
      <sheetName val="計画"/>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refreshError="1"/>
      <sheetData sheetId="12"/>
      <sheetData sheetId="13"/>
      <sheetData sheetId="14"/>
      <sheetData sheetId="15"/>
      <sheetData sheetId="16"/>
      <sheetData sheetId="17"/>
      <sheetData sheetId="18"/>
      <sheetData sheetId="19" refreshError="1"/>
      <sheetData sheetId="20"/>
      <sheetData sheetId="21"/>
      <sheetData sheetId="22" refreshError="1"/>
      <sheetData sheetId="23" refreshError="1"/>
      <sheetData sheetId="24"/>
      <sheetData sheetId="25" refreshError="1"/>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0405"/>
      <sheetName val="Sheet1 (2)"/>
      <sheetName val="Sheet1"/>
      <sheetName val="Sheet2"/>
    </sheetNames>
    <sheetDataSet>
      <sheetData sheetId="0"/>
      <sheetData sheetId="1"/>
      <sheetData sheetId="2">
        <row r="1">
          <cell r="A1" t="str">
            <v>Sunwarmer for Walgreens 3P</v>
          </cell>
        </row>
        <row r="2">
          <cell r="A2" t="str">
            <v>Sunwarmer for CVS 1P</v>
          </cell>
        </row>
        <row r="3">
          <cell r="A3" t="str">
            <v>Sunwarmer for CVS 3P</v>
          </cell>
        </row>
        <row r="4">
          <cell r="A4" t="str">
            <v>Sunwarmer for CVS 4P BonusPack</v>
          </cell>
        </row>
        <row r="5">
          <cell r="A5" t="str">
            <v>Sunwarmer for RiteAid 3P</v>
          </cell>
        </row>
        <row r="6">
          <cell r="A6" t="str">
            <v>Sunwarmer for Church &amp; Dwight Bulk</v>
          </cell>
        </row>
        <row r="7">
          <cell r="A7" t="str">
            <v>Capsule warmer for PERRIGO Bulk</v>
          </cell>
        </row>
        <row r="8">
          <cell r="A8" t="str">
            <v>Adhesive 4*5 HM 3P</v>
          </cell>
        </row>
        <row r="9">
          <cell r="A9" t="str">
            <v>Sunwarmer for CVS 1P、3P</v>
          </cell>
        </row>
      </sheetData>
      <sheetData sheetId="3"/>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3年広告計画"/>
      <sheetName val="新5ｶ年計画"/>
      <sheetName val="投資と借入"/>
      <sheetName val="年销售促销比较(公司)"/>
      <sheetName val="Income Statement"/>
      <sheetName val="Balance Sheet"/>
      <sheetName val="cf"/>
      <sheetName val="新組織"/>
      <sheetName val="H8上目標"/>
      <sheetName val="商品マスタ"/>
      <sheetName val="ビジネスレビュー資料"/>
      <sheetName val="Income_Statement1"/>
      <sheetName val="Balance_Sheet1"/>
      <sheetName val="Income_Statement"/>
      <sheetName val="Balance_Sheet"/>
      <sheetName val="HA実販"/>
      <sheetName val="Income_Statement2"/>
      <sheetName val="Balance_Sheet2"/>
      <sheetName val="表紙"/>
      <sheetName val="00002"/>
      <sheetName val="#REF!"/>
      <sheetName val="商品ﾏｽﾀｰ(7月2日)"/>
      <sheetName val="追加MCR"/>
    </sheetNames>
    <sheetDataSet>
      <sheetData sheetId="0"/>
      <sheetData sheetId="1"/>
      <sheetData sheetId="2"/>
      <sheetData sheetId="3"/>
      <sheetData sheetId="4" refreshError="1">
        <row r="7">
          <cell r="B7" t="str">
            <v xml:space="preserve">Current Month </v>
          </cell>
          <cell r="C7">
            <v>37652</v>
          </cell>
        </row>
        <row r="9">
          <cell r="B9" t="str">
            <v>Account</v>
          </cell>
          <cell r="C9" t="str">
            <v>Pri.Yr.</v>
          </cell>
        </row>
        <row r="11">
          <cell r="B11" t="str">
            <v>Gross Sales</v>
          </cell>
          <cell r="C11">
            <v>1379680.53</v>
          </cell>
        </row>
        <row r="12">
          <cell r="B12" t="str">
            <v>Export Sales</v>
          </cell>
        </row>
        <row r="13">
          <cell r="B13" t="str">
            <v>Sales Returns</v>
          </cell>
        </row>
        <row r="14">
          <cell r="B14" t="str">
            <v>Sales Discounts</v>
          </cell>
          <cell r="C14">
            <v>147132.71</v>
          </cell>
        </row>
        <row r="15">
          <cell r="B15" t="str">
            <v>Net Sales</v>
          </cell>
          <cell r="C15">
            <v>1232547.82</v>
          </cell>
        </row>
        <row r="17">
          <cell r="B17" t="str">
            <v>Beginning Balance of Inventory</v>
          </cell>
          <cell r="C17">
            <v>1255374.8400000001</v>
          </cell>
        </row>
        <row r="19">
          <cell r="B19" t="str">
            <v>Manufacturing Cost</v>
          </cell>
          <cell r="C19">
            <v>700169.73</v>
          </cell>
        </row>
        <row r="20">
          <cell r="B20" t="str">
            <v>Transfer to Other Accounts</v>
          </cell>
          <cell r="C20">
            <v>176138.12</v>
          </cell>
        </row>
        <row r="21">
          <cell r="B21" t="str">
            <v>Ending Balance of Inventory</v>
          </cell>
          <cell r="C21">
            <v>1131996.69</v>
          </cell>
        </row>
        <row r="22">
          <cell r="B22" t="str">
            <v>Cost of Goods Sold</v>
          </cell>
          <cell r="C22">
            <v>647409.76000000024</v>
          </cell>
        </row>
        <row r="24">
          <cell r="B24" t="str">
            <v>Gross Profit</v>
          </cell>
          <cell r="C24">
            <v>585138.05999999982</v>
          </cell>
        </row>
        <row r="26">
          <cell r="B26" t="str">
            <v>Sales,General,Administrative and Financial Costs</v>
          </cell>
          <cell r="C26">
            <v>2680366.9500000002</v>
          </cell>
        </row>
        <row r="28">
          <cell r="B28" t="str">
            <v>Operating Income</v>
          </cell>
          <cell r="C28">
            <v>-2095228.8900000004</v>
          </cell>
        </row>
        <row r="30">
          <cell r="B30" t="str">
            <v>Other Income</v>
          </cell>
        </row>
        <row r="31">
          <cell r="B31" t="str">
            <v>Other Expenses</v>
          </cell>
        </row>
        <row r="34">
          <cell r="B34" t="str">
            <v>Income Before Tax</v>
          </cell>
          <cell r="C34">
            <v>-2095228.8900000004</v>
          </cell>
        </row>
        <row r="36">
          <cell r="B36" t="str">
            <v>Taxes</v>
          </cell>
        </row>
        <row r="38">
          <cell r="B38" t="str">
            <v>Net Income</v>
          </cell>
          <cell r="C38">
            <v>-2095228.8900000004</v>
          </cell>
        </row>
      </sheetData>
      <sheetData sheetId="5" refreshError="1">
        <row r="7">
          <cell r="B7" t="str">
            <v>Assets</v>
          </cell>
          <cell r="C7">
            <v>37652</v>
          </cell>
        </row>
        <row r="9">
          <cell r="B9" t="str">
            <v>Account</v>
          </cell>
          <cell r="C9" t="str">
            <v>Actual</v>
          </cell>
          <cell r="D9" t="str">
            <v>Budget</v>
          </cell>
          <cell r="E9" t="str">
            <v>Pri.Yr.</v>
          </cell>
        </row>
        <row r="11">
          <cell r="B11" t="str">
            <v>Cash on hand</v>
          </cell>
          <cell r="C11">
            <v>3628.55</v>
          </cell>
          <cell r="E11">
            <v>38359.589999999997</v>
          </cell>
        </row>
        <row r="12">
          <cell r="B12" t="str">
            <v>Cash in banks</v>
          </cell>
          <cell r="C12">
            <v>6153643.6799999997</v>
          </cell>
          <cell r="D12">
            <v>6729422</v>
          </cell>
          <cell r="E12">
            <v>8370506.3099999996</v>
          </cell>
        </row>
        <row r="13">
          <cell r="B13" t="str">
            <v>Accounts Receivable</v>
          </cell>
          <cell r="C13">
            <v>4792706.87</v>
          </cell>
          <cell r="D13">
            <v>4845943</v>
          </cell>
          <cell r="E13">
            <v>4586868.95</v>
          </cell>
        </row>
        <row r="14">
          <cell r="B14" t="str">
            <v>Others</v>
          </cell>
          <cell r="C14">
            <v>382142.98</v>
          </cell>
          <cell r="E14">
            <v>198408.06</v>
          </cell>
        </row>
        <row r="15">
          <cell r="B15" t="str">
            <v>Sub Total</v>
          </cell>
          <cell r="C15">
            <v>11332122.08</v>
          </cell>
          <cell r="D15">
            <v>11575365</v>
          </cell>
          <cell r="E15">
            <v>13194142.910000002</v>
          </cell>
        </row>
        <row r="17">
          <cell r="B17" t="str">
            <v>Raw Materials</v>
          </cell>
          <cell r="C17">
            <v>864486.38</v>
          </cell>
          <cell r="D17">
            <v>625000</v>
          </cell>
          <cell r="E17">
            <v>520993.65</v>
          </cell>
        </row>
        <row r="18">
          <cell r="B18" t="str">
            <v>Package</v>
          </cell>
          <cell r="C18">
            <v>725279.88</v>
          </cell>
          <cell r="D18">
            <v>462000</v>
          </cell>
          <cell r="E18">
            <v>301503.68</v>
          </cell>
        </row>
        <row r="19">
          <cell r="B19" t="str">
            <v>Finished Goods</v>
          </cell>
          <cell r="C19">
            <v>1465395.71</v>
          </cell>
          <cell r="D19">
            <v>1458000</v>
          </cell>
          <cell r="E19">
            <v>1131996.69</v>
          </cell>
        </row>
        <row r="20">
          <cell r="B20" t="str">
            <v>Consigned goods</v>
          </cell>
          <cell r="C20">
            <v>0</v>
          </cell>
          <cell r="E20">
            <v>0</v>
          </cell>
        </row>
        <row r="21">
          <cell r="B21" t="str">
            <v>Total Inventory</v>
          </cell>
          <cell r="C21">
            <v>3055161.9699999997</v>
          </cell>
          <cell r="D21">
            <v>2545000</v>
          </cell>
          <cell r="E21">
            <v>1954494.02</v>
          </cell>
        </row>
        <row r="23">
          <cell r="B23" t="str">
            <v>Prepaid Expense</v>
          </cell>
          <cell r="C23">
            <v>756245.7</v>
          </cell>
          <cell r="D23">
            <v>603376</v>
          </cell>
          <cell r="E23">
            <v>837632.59</v>
          </cell>
        </row>
        <row r="24">
          <cell r="B24" t="str">
            <v>Suspense Payment</v>
          </cell>
        </row>
        <row r="25">
          <cell r="B25" t="str">
            <v>Prepaid Sales Tax</v>
          </cell>
        </row>
        <row r="26">
          <cell r="B26" t="str">
            <v>Others</v>
          </cell>
          <cell r="D26">
            <v>395000</v>
          </cell>
          <cell r="E26">
            <v>20480</v>
          </cell>
        </row>
        <row r="27">
          <cell r="B27" t="str">
            <v>Sub Total</v>
          </cell>
          <cell r="C27">
            <v>756245.7</v>
          </cell>
          <cell r="D27">
            <v>998376</v>
          </cell>
          <cell r="E27">
            <v>858112.59</v>
          </cell>
        </row>
        <row r="29">
          <cell r="B29" t="str">
            <v>Allowance for Bad Debts</v>
          </cell>
        </row>
        <row r="30">
          <cell r="B30" t="str">
            <v>Allowance for Disposed Goods</v>
          </cell>
          <cell r="C30">
            <v>2238.58</v>
          </cell>
        </row>
        <row r="32">
          <cell r="B32" t="str">
            <v>Total Current Assets</v>
          </cell>
          <cell r="C32">
            <v>15141291.17</v>
          </cell>
          <cell r="D32">
            <v>15118741</v>
          </cell>
          <cell r="E32">
            <v>16006749.520000001</v>
          </cell>
        </row>
        <row r="34">
          <cell r="B34" t="str">
            <v>Fixed Assets</v>
          </cell>
          <cell r="C34">
            <v>8355499.5</v>
          </cell>
          <cell r="D34">
            <v>8365000</v>
          </cell>
          <cell r="E34">
            <v>7566262.8799999999</v>
          </cell>
        </row>
        <row r="35">
          <cell r="B35" t="str">
            <v>Allowance for Depreciation(-)</v>
          </cell>
          <cell r="C35">
            <v>2154068.34</v>
          </cell>
          <cell r="D35">
            <v>2155000</v>
          </cell>
          <cell r="E35">
            <v>1455824.86</v>
          </cell>
        </row>
        <row r="36">
          <cell r="B36" t="str">
            <v>Total Tangible Assets</v>
          </cell>
          <cell r="C36">
            <v>6201431.1600000001</v>
          </cell>
          <cell r="D36">
            <v>6210000</v>
          </cell>
          <cell r="E36">
            <v>6110438.0199999996</v>
          </cell>
        </row>
        <row r="38">
          <cell r="B38" t="str">
            <v>Goodwill</v>
          </cell>
        </row>
        <row r="39">
          <cell r="B39" t="str">
            <v>Start-up Costs</v>
          </cell>
        </row>
        <row r="40">
          <cell r="B40" t="str">
            <v>Others</v>
          </cell>
          <cell r="C40">
            <v>1705</v>
          </cell>
          <cell r="D40">
            <v>18000</v>
          </cell>
          <cell r="E40">
            <v>3565</v>
          </cell>
        </row>
        <row r="41">
          <cell r="B41" t="str">
            <v>Total Intangible Assets</v>
          </cell>
          <cell r="C41">
            <v>1705</v>
          </cell>
          <cell r="D41">
            <v>18000</v>
          </cell>
          <cell r="E41">
            <v>3565</v>
          </cell>
        </row>
        <row r="43">
          <cell r="B43" t="str">
            <v>Invested Securities</v>
          </cell>
        </row>
        <row r="44">
          <cell r="B44" t="str">
            <v>Deposit</v>
          </cell>
        </row>
        <row r="45">
          <cell r="B45" t="str">
            <v>Long-term Prepaid Expense</v>
          </cell>
          <cell r="C45">
            <v>3901365.46</v>
          </cell>
          <cell r="D45">
            <v>3620136</v>
          </cell>
        </row>
        <row r="46">
          <cell r="B46" t="str">
            <v>Others</v>
          </cell>
        </row>
        <row r="47">
          <cell r="B47" t="str">
            <v>Total Investments</v>
          </cell>
          <cell r="C47">
            <v>3901365.46</v>
          </cell>
          <cell r="D47">
            <v>3620136</v>
          </cell>
          <cell r="E47">
            <v>0</v>
          </cell>
        </row>
        <row r="49">
          <cell r="B49" t="str">
            <v>Total Fixed Assets</v>
          </cell>
          <cell r="C49">
            <v>10104501.620000001</v>
          </cell>
          <cell r="D49">
            <v>9848136</v>
          </cell>
          <cell r="E49">
            <v>6114003.0199999996</v>
          </cell>
        </row>
        <row r="51">
          <cell r="B51" t="str">
            <v>Deffered Assets</v>
          </cell>
          <cell r="C51">
            <v>230863.46</v>
          </cell>
          <cell r="D51">
            <v>230864</v>
          </cell>
          <cell r="E51">
            <v>405273.14</v>
          </cell>
        </row>
        <row r="53">
          <cell r="B53" t="str">
            <v>Elimination</v>
          </cell>
        </row>
        <row r="55">
          <cell r="B55" t="str">
            <v>Total Assets</v>
          </cell>
          <cell r="C55">
            <v>25476656.25</v>
          </cell>
          <cell r="D55">
            <v>25197741</v>
          </cell>
          <cell r="E55">
            <v>22526025.68</v>
          </cell>
        </row>
        <row r="57">
          <cell r="B57" t="str">
            <v>Liabilities</v>
          </cell>
        </row>
        <row r="59">
          <cell r="B59" t="str">
            <v>Account</v>
          </cell>
          <cell r="C59" t="str">
            <v>Actual</v>
          </cell>
          <cell r="D59" t="str">
            <v>Budget</v>
          </cell>
          <cell r="E59" t="str">
            <v>Actual</v>
          </cell>
        </row>
        <row r="61">
          <cell r="B61" t="str">
            <v>Notes Payable</v>
          </cell>
        </row>
        <row r="62">
          <cell r="B62" t="str">
            <v>Accounts Payable</v>
          </cell>
          <cell r="C62">
            <v>8081239.5499999998</v>
          </cell>
          <cell r="D62">
            <v>6859999</v>
          </cell>
          <cell r="E62">
            <v>13005410.75</v>
          </cell>
        </row>
        <row r="63">
          <cell r="B63" t="str">
            <v>Others</v>
          </cell>
          <cell r="C63">
            <v>123486.08</v>
          </cell>
          <cell r="E63">
            <v>35275.199999999997</v>
          </cell>
        </row>
        <row r="64">
          <cell r="B64" t="str">
            <v>Sub Total</v>
          </cell>
          <cell r="C64">
            <v>8204725.6299999999</v>
          </cell>
          <cell r="D64">
            <v>6859999</v>
          </cell>
          <cell r="E64">
            <v>13040685.949999999</v>
          </cell>
        </row>
        <row r="66">
          <cell r="B66" t="str">
            <v>Short-term Loan</v>
          </cell>
          <cell r="C66">
            <v>7620000</v>
          </cell>
          <cell r="D66">
            <v>7620000</v>
          </cell>
          <cell r="E66">
            <v>4820000</v>
          </cell>
        </row>
        <row r="67">
          <cell r="B67" t="str">
            <v>Accrued salaries and wages</v>
          </cell>
          <cell r="C67">
            <v>260535.64</v>
          </cell>
          <cell r="D67">
            <v>243000</v>
          </cell>
          <cell r="E67">
            <v>251885.39</v>
          </cell>
        </row>
        <row r="68">
          <cell r="B68" t="str">
            <v>income taxes payable</v>
          </cell>
          <cell r="C68">
            <v>392931.26</v>
          </cell>
          <cell r="D68">
            <v>446800</v>
          </cell>
          <cell r="E68">
            <v>455738.57</v>
          </cell>
        </row>
        <row r="69">
          <cell r="B69" t="str">
            <v>Other accounts payable</v>
          </cell>
          <cell r="C69">
            <v>164206.43</v>
          </cell>
          <cell r="D69">
            <v>198957</v>
          </cell>
          <cell r="E69">
            <v>375134.62</v>
          </cell>
        </row>
        <row r="70">
          <cell r="B70" t="str">
            <v>Accured Expense</v>
          </cell>
          <cell r="C70">
            <v>698496.72</v>
          </cell>
          <cell r="D70">
            <v>1319868</v>
          </cell>
          <cell r="E70">
            <v>27025.42</v>
          </cell>
        </row>
        <row r="71">
          <cell r="B71" t="str">
            <v>Others</v>
          </cell>
          <cell r="C71">
            <v>556.73</v>
          </cell>
        </row>
        <row r="72">
          <cell r="B72" t="str">
            <v>Sub Total</v>
          </cell>
          <cell r="C72">
            <v>9136726.7800000012</v>
          </cell>
          <cell r="D72">
            <v>9828625</v>
          </cell>
          <cell r="E72">
            <v>5929784</v>
          </cell>
        </row>
        <row r="74">
          <cell r="B74" t="str">
            <v>Reserve for Loss on Goods Unsold</v>
          </cell>
        </row>
        <row r="75">
          <cell r="B75" t="str">
            <v>Reserve for Bonus</v>
          </cell>
        </row>
        <row r="76">
          <cell r="B76" t="str">
            <v>Others</v>
          </cell>
        </row>
        <row r="77">
          <cell r="B77" t="str">
            <v>Total Reserve</v>
          </cell>
          <cell r="C77">
            <v>0</v>
          </cell>
          <cell r="D77">
            <v>0</v>
          </cell>
          <cell r="E77">
            <v>0</v>
          </cell>
        </row>
        <row r="79">
          <cell r="B79" t="str">
            <v>Total Current Liabilities</v>
          </cell>
          <cell r="C79">
            <v>17341452.41</v>
          </cell>
          <cell r="D79">
            <v>16688624</v>
          </cell>
          <cell r="E79">
            <v>18970469.949999999</v>
          </cell>
        </row>
        <row r="81">
          <cell r="B81" t="str">
            <v>Long-term Loan</v>
          </cell>
        </row>
        <row r="82">
          <cell r="B82" t="str">
            <v>Deposit Received</v>
          </cell>
        </row>
        <row r="83">
          <cell r="B83" t="str">
            <v>Reserve for Retirement Allowance</v>
          </cell>
        </row>
        <row r="84">
          <cell r="B84" t="str">
            <v>Others</v>
          </cell>
        </row>
        <row r="85">
          <cell r="B85" t="str">
            <v>Total Fixed Liabilities</v>
          </cell>
          <cell r="C85">
            <v>0</v>
          </cell>
          <cell r="D85">
            <v>0</v>
          </cell>
          <cell r="E85">
            <v>0</v>
          </cell>
        </row>
        <row r="87">
          <cell r="B87" t="str">
            <v>Total Liabilities</v>
          </cell>
          <cell r="C87">
            <v>17341452.41</v>
          </cell>
          <cell r="D87">
            <v>16688624</v>
          </cell>
          <cell r="E87">
            <v>18970469.949999999</v>
          </cell>
        </row>
        <row r="89">
          <cell r="B89" t="str">
            <v>Capital</v>
          </cell>
          <cell r="C89">
            <v>39837291.240000002</v>
          </cell>
          <cell r="D89">
            <v>39837291</v>
          </cell>
          <cell r="E89">
            <v>21959403.239999998</v>
          </cell>
        </row>
        <row r="90">
          <cell r="B90" t="str">
            <v>Statutory reserve</v>
          </cell>
        </row>
        <row r="91">
          <cell r="B91" t="str">
            <v>Retained Earnings</v>
          </cell>
        </row>
        <row r="92">
          <cell r="B92" t="str">
            <v>Unappopriated retained earnings at end of period</v>
          </cell>
          <cell r="C92">
            <v>-31702087.400000002</v>
          </cell>
          <cell r="D92">
            <v>-31328174</v>
          </cell>
          <cell r="E92">
            <v>-18403847.510000002</v>
          </cell>
        </row>
        <row r="93">
          <cell r="B93" t="str">
            <v>Current Net Income</v>
          </cell>
          <cell r="C93">
            <v>-1562982.51</v>
          </cell>
          <cell r="D93">
            <v>-1161321</v>
          </cell>
          <cell r="E93">
            <v>-2095228.89</v>
          </cell>
        </row>
        <row r="94">
          <cell r="B94" t="str">
            <v>Total Equity</v>
          </cell>
          <cell r="C94">
            <v>8135203.8399999999</v>
          </cell>
          <cell r="D94">
            <v>8509117</v>
          </cell>
          <cell r="E94">
            <v>3555555.7299999967</v>
          </cell>
        </row>
        <row r="96">
          <cell r="B96" t="str">
            <v>Total Liablities &amp; Equity</v>
          </cell>
          <cell r="C96">
            <v>25476656.25</v>
          </cell>
          <cell r="D96">
            <v>25197741</v>
          </cell>
          <cell r="E96">
            <v>22526025.679999996</v>
          </cell>
        </row>
      </sheetData>
      <sheetData sheetId="6"/>
      <sheetData sheetId="7"/>
      <sheetData sheetId="8" refreshError="1"/>
      <sheetData sheetId="9" refreshError="1"/>
      <sheetData sheetId="10" refreshError="1"/>
      <sheetData sheetId="11"/>
      <sheetData sheetId="12"/>
      <sheetData sheetId="13">
        <row r="7">
          <cell r="B7" t="str">
            <v xml:space="preserve">Current Month </v>
          </cell>
        </row>
      </sheetData>
      <sheetData sheetId="14">
        <row r="7">
          <cell r="B7" t="str">
            <v>Assets</v>
          </cell>
        </row>
      </sheetData>
      <sheetData sheetId="15" refreshError="1"/>
      <sheetData sheetId="16">
        <row r="7">
          <cell r="B7" t="str">
            <v xml:space="preserve">Current Month </v>
          </cell>
        </row>
      </sheetData>
      <sheetData sheetId="17">
        <row r="7">
          <cell r="B7" t="str">
            <v>Assets</v>
          </cell>
        </row>
      </sheetData>
      <sheetData sheetId="18" refreshError="1"/>
      <sheetData sheetId="19" refreshError="1"/>
      <sheetData sheetId="20" refreshError="1"/>
      <sheetData sheetId="21" refreshError="1"/>
      <sheetData sheetId="22"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 Statement"/>
      <sheetName val="Balance Sheet"/>
      <sheetName val="SGA&amp;F"/>
      <sheetName val="Cost of Goods Manu"/>
      <sheetName val="在库明细"/>
      <sheetName val="評価単価"/>
      <sheetName val="出荷実績"/>
      <sheetName val="在庫"/>
      <sheetName val="前年累計（月初更新）"/>
      <sheetName val="前年単月（月初更新）"/>
      <sheetName val="Sheet4"/>
      <sheetName val="ﾏｸﾛ"/>
      <sheetName val="Income_Statement1"/>
      <sheetName val="Balance_Sheet1"/>
      <sheetName val="Cost_of_Goods_Manu1"/>
      <sheetName val="Income_Statement"/>
      <sheetName val="Balance_Sheet"/>
      <sheetName val="Cost_of_Goods_Manu"/>
      <sheetName val="Income_Statement2"/>
      <sheetName val="Balance_Sheet2"/>
      <sheetName val="Cost_of_Goods_Manu2"/>
      <sheetName val="718店別目標"/>
      <sheetName val="DATA-SHEET"/>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sheetData sheetId="21" refreshError="1"/>
      <sheetData sheetId="22"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CH"/>
    </sheetNames>
    <sheetDataSet>
      <sheetData sheetId="0"/>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固定資産(Fixed Assets)"/>
      <sheetName val="販売管理費明細書(Comm.Exp.)"/>
      <sheetName val="製造原価明細書(COG)"/>
      <sheetName val="損益計算書(PL)"/>
      <sheetName val="貸借対照表(BS)"/>
      <sheetName val="ST0903"/>
      <sheetName val="CC0903"/>
      <sheetName val="FS0903"/>
      <sheetName val="IC-01-12"/>
      <sheetName val="FA0903"/>
      <sheetName val="FSACC"/>
      <sheetName val="ATTACHMENT"/>
      <sheetName val="FSACCforReview"/>
      <sheetName val="InventoryforReview"/>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19">
          <cell r="A119" t="str">
            <v>PROFIT &amp; LOSS ACCOUNTS</v>
          </cell>
          <cell r="D119" t="str">
            <v>SEP 2003</v>
          </cell>
        </row>
        <row r="120">
          <cell r="A120" t="str">
            <v>-</v>
          </cell>
          <cell r="B120" t="str">
            <v>-</v>
          </cell>
          <cell r="C120" t="str">
            <v>-</v>
          </cell>
          <cell r="D120" t="str">
            <v>-</v>
          </cell>
        </row>
        <row r="121">
          <cell r="A121" t="str">
            <v>NET SALES</v>
          </cell>
          <cell r="D121">
            <v>1745570044</v>
          </cell>
        </row>
        <row r="122">
          <cell r="A122" t="str">
            <v>COSTS OF GOODS SOLD</v>
          </cell>
          <cell r="D122">
            <v>-1465562252</v>
          </cell>
        </row>
        <row r="123">
          <cell r="D123" t="str">
            <v>-</v>
          </cell>
        </row>
        <row r="124">
          <cell r="A124" t="str">
            <v>GROSS PROFIT</v>
          </cell>
          <cell r="D124">
            <v>280007792</v>
          </cell>
        </row>
        <row r="125">
          <cell r="A125" t="str">
            <v>OPERATING EXPENSES</v>
          </cell>
          <cell r="D125">
            <v>-143027512</v>
          </cell>
        </row>
        <row r="126">
          <cell r="D126" t="str">
            <v>-</v>
          </cell>
        </row>
        <row r="127">
          <cell r="A127" t="str">
            <v>NET OPERATING PROFIT</v>
          </cell>
          <cell r="D127">
            <v>136980280</v>
          </cell>
        </row>
        <row r="128">
          <cell r="A128" t="str">
            <v>71010001  OTHER EXPENSES</v>
          </cell>
          <cell r="D128">
            <v>-22967258.199999999</v>
          </cell>
        </row>
        <row r="129">
          <cell r="D129" t="str">
            <v>-</v>
          </cell>
        </row>
        <row r="130">
          <cell r="D130">
            <v>114013021.8</v>
          </cell>
        </row>
        <row r="131">
          <cell r="A131" t="str">
            <v>71020001  OTHER INCOME</v>
          </cell>
          <cell r="D131">
            <v>16768404.130000001</v>
          </cell>
        </row>
        <row r="132">
          <cell r="A132" t="str">
            <v>31070001  CORRECTION REVENUE LAST MONTH</v>
          </cell>
          <cell r="D132">
            <v>0</v>
          </cell>
        </row>
        <row r="133">
          <cell r="D133" t="str">
            <v>-</v>
          </cell>
        </row>
        <row r="134">
          <cell r="A134" t="str">
            <v>NET PROFIT/(LOSS)</v>
          </cell>
          <cell r="D134">
            <v>130781425.92999999</v>
          </cell>
        </row>
        <row r="135">
          <cell r="A135" t="str">
            <v>31060001  CORRECTION REVENUE LAST YEAR</v>
          </cell>
          <cell r="D135">
            <v>0</v>
          </cell>
        </row>
        <row r="136">
          <cell r="A136" t="str">
            <v>31030001  REVENUE RESERVE</v>
          </cell>
          <cell r="D136">
            <v>7667867458.9899998</v>
          </cell>
        </row>
        <row r="137">
          <cell r="D137" t="str">
            <v>-</v>
          </cell>
        </row>
        <row r="138">
          <cell r="A138" t="str">
            <v>CLOSING REVENUE RESERVE</v>
          </cell>
          <cell r="D138">
            <v>7798648884.9200001</v>
          </cell>
        </row>
        <row r="139">
          <cell r="D139" t="str">
            <v>=</v>
          </cell>
        </row>
        <row r="141">
          <cell r="A141" t="str">
            <v>OPERATING EXPENSES</v>
          </cell>
        </row>
        <row r="142">
          <cell r="A142" t="str">
            <v>-</v>
          </cell>
          <cell r="B142" t="str">
            <v>-</v>
          </cell>
          <cell r="C142" t="str">
            <v>-</v>
          </cell>
        </row>
        <row r="143">
          <cell r="A143" t="str">
            <v>61010001  AUDIT FEE</v>
          </cell>
          <cell r="D143">
            <v>0</v>
          </cell>
        </row>
        <row r="144">
          <cell r="A144" t="str">
            <v>61010003  BANK CHARGE B.O.T - Rp</v>
          </cell>
          <cell r="D144">
            <v>-5000</v>
          </cell>
        </row>
        <row r="145">
          <cell r="A145" t="str">
            <v>61010004  BANK CHARGE B.O.T - US$</v>
          </cell>
          <cell r="D145">
            <v>-1533184</v>
          </cell>
        </row>
        <row r="146">
          <cell r="A146" t="str">
            <v>61010002  BANK CHARGE BANK BUANA INDONESIA</v>
          </cell>
          <cell r="D146">
            <v>-880000</v>
          </cell>
        </row>
        <row r="147">
          <cell r="A147" t="str">
            <v>61010005  STAMP DUTY</v>
          </cell>
          <cell r="D147">
            <v>-126000</v>
          </cell>
        </row>
        <row r="148">
          <cell r="A148" t="str">
            <v>61010006  ENTERTAINMENT</v>
          </cell>
          <cell r="D148">
            <v>-461132</v>
          </cell>
        </row>
        <row r="149">
          <cell r="A149" t="str">
            <v>61010007  PRINTING &amp; STATIONERY</v>
          </cell>
          <cell r="D149">
            <v>-1275000</v>
          </cell>
        </row>
        <row r="150">
          <cell r="A150" t="str">
            <v>61010008  POSTAGE</v>
          </cell>
          <cell r="D150">
            <v>-101800</v>
          </cell>
        </row>
        <row r="151">
          <cell r="A151" t="str">
            <v>61010009  RENTAL HOUSE</v>
          </cell>
          <cell r="D151">
            <v>-8891660</v>
          </cell>
        </row>
        <row r="152">
          <cell r="A152" t="str">
            <v>61010010  TRAVELING</v>
          </cell>
          <cell r="D152">
            <v>-1431900</v>
          </cell>
        </row>
        <row r="153">
          <cell r="A153" t="str">
            <v>61010011  DRIVER SALARY</v>
          </cell>
          <cell r="D153">
            <v>-1390000</v>
          </cell>
        </row>
        <row r="154">
          <cell r="A154" t="str">
            <v>61010012  EXPORT HANDLING EXP</v>
          </cell>
          <cell r="D154">
            <v>-18111160</v>
          </cell>
        </row>
        <row r="155">
          <cell r="A155" t="str">
            <v>61010013  DEP OFFICE</v>
          </cell>
          <cell r="D155">
            <v>-444107</v>
          </cell>
        </row>
        <row r="156">
          <cell r="A156" t="str">
            <v>61010014  INDIRECT LABOUR/STAFF</v>
          </cell>
          <cell r="D156">
            <v>-28122000</v>
          </cell>
        </row>
        <row r="157">
          <cell r="A157" t="str">
            <v>61010015  TELEPHONE</v>
          </cell>
          <cell r="D157">
            <v>-4883605</v>
          </cell>
        </row>
        <row r="158">
          <cell r="A158" t="str">
            <v>61010016  CAR REPAIR AND RENTAL</v>
          </cell>
          <cell r="D158">
            <v>-195000</v>
          </cell>
        </row>
        <row r="159">
          <cell r="A159" t="str">
            <v>61010021  ROYALTY</v>
          </cell>
          <cell r="D159">
            <v>-34755717</v>
          </cell>
        </row>
        <row r="160">
          <cell r="A160" t="str">
            <v>61010022  GENERAL OFFICE EXP</v>
          </cell>
          <cell r="D160">
            <v>-29886390</v>
          </cell>
        </row>
        <row r="161">
          <cell r="A161" t="str">
            <v>61010023  TRANSPORT EXP</v>
          </cell>
          <cell r="D161">
            <v>-1023900</v>
          </cell>
        </row>
        <row r="162">
          <cell r="A162" t="str">
            <v>61010024  PPh 21 STAFF</v>
          </cell>
          <cell r="D162">
            <v>-7393290</v>
          </cell>
        </row>
        <row r="163">
          <cell r="A163" t="str">
            <v>61010025  BANK CHARGE MANDIRI</v>
          </cell>
          <cell r="D163">
            <v>-200000</v>
          </cell>
        </row>
        <row r="164">
          <cell r="A164" t="str">
            <v>61010026  DEP MOTOR VEHICLE</v>
          </cell>
          <cell r="D164">
            <v>-1916667</v>
          </cell>
        </row>
        <row r="165">
          <cell r="D165" t="str">
            <v>-</v>
          </cell>
        </row>
        <row r="166">
          <cell r="A166" t="str">
            <v>OPERATING EXPENSES</v>
          </cell>
          <cell r="D166">
            <v>-143027512</v>
          </cell>
        </row>
        <row r="167">
          <cell r="D167" t="str">
            <v>=</v>
          </cell>
        </row>
        <row r="172">
          <cell r="A172" t="str">
            <v>SALES</v>
          </cell>
          <cell r="D172" t="str">
            <v>SEP 2003</v>
          </cell>
        </row>
        <row r="173">
          <cell r="A173" t="str">
            <v>-</v>
          </cell>
          <cell r="B173" t="str">
            <v>-</v>
          </cell>
          <cell r="C173" t="str">
            <v>-</v>
          </cell>
        </row>
        <row r="175">
          <cell r="A175" t="str">
            <v>41010001  SALES</v>
          </cell>
          <cell r="D175">
            <v>1745570044</v>
          </cell>
        </row>
        <row r="176">
          <cell r="A176" t="str">
            <v>41020001  SALES DISCOUNTS</v>
          </cell>
          <cell r="D176">
            <v>0</v>
          </cell>
        </row>
        <row r="177">
          <cell r="A177" t="str">
            <v>41030001  SALES RETURNS</v>
          </cell>
          <cell r="D177">
            <v>0</v>
          </cell>
        </row>
        <row r="178">
          <cell r="D178" t="str">
            <v>-</v>
          </cell>
        </row>
        <row r="179">
          <cell r="A179" t="str">
            <v>NET SALES</v>
          </cell>
          <cell r="D179">
            <v>1745570044</v>
          </cell>
        </row>
        <row r="180">
          <cell r="D180" t="str">
            <v>=</v>
          </cell>
        </row>
        <row r="183">
          <cell r="A183" t="str">
            <v>COSTS OF GOODS SOLD</v>
          </cell>
        </row>
        <row r="184">
          <cell r="A184" t="str">
            <v>-</v>
          </cell>
          <cell r="B184" t="str">
            <v>-</v>
          </cell>
          <cell r="C184" t="str">
            <v>-</v>
          </cell>
        </row>
        <row r="185">
          <cell r="A185" t="str">
            <v>11130001  FINISHED GOODS-OPENING</v>
          </cell>
          <cell r="D185">
            <v>-987868471</v>
          </cell>
        </row>
        <row r="186">
          <cell r="A186" t="str">
            <v>COSTS OF GOODS MANUFACTURED</v>
          </cell>
          <cell r="D186">
            <v>-1154773394</v>
          </cell>
        </row>
        <row r="187">
          <cell r="A187" t="str">
            <v>11130001  FINISHED GOODS-CLOSING</v>
          </cell>
          <cell r="D187">
            <v>677079613</v>
          </cell>
        </row>
        <row r="188">
          <cell r="D188" t="str">
            <v>-</v>
          </cell>
        </row>
        <row r="189">
          <cell r="A189" t="str">
            <v>COSTS OF GOODS SOLD</v>
          </cell>
          <cell r="D189">
            <v>-1465562252</v>
          </cell>
        </row>
        <row r="190">
          <cell r="D190" t="str">
            <v>=</v>
          </cell>
        </row>
        <row r="193">
          <cell r="A193" t="str">
            <v>STERILIZATION/EOG GAS</v>
          </cell>
        </row>
        <row r="194">
          <cell r="A194" t="str">
            <v>-</v>
          </cell>
          <cell r="B194" t="str">
            <v>-</v>
          </cell>
          <cell r="C194" t="str">
            <v>-</v>
          </cell>
        </row>
        <row r="195">
          <cell r="A195" t="str">
            <v>11110002  STERILIZATION - OPENING BAL</v>
          </cell>
          <cell r="D195">
            <v>-19511031</v>
          </cell>
        </row>
        <row r="196">
          <cell r="A196" t="str">
            <v>51010001  STERILIZATION - EXP</v>
          </cell>
          <cell r="D196">
            <v>-11795000</v>
          </cell>
        </row>
        <row r="197">
          <cell r="A197" t="str">
            <v>11110002  STERILIZATION - CLOSING BAL</v>
          </cell>
          <cell r="D197">
            <v>22445834</v>
          </cell>
        </row>
        <row r="198">
          <cell r="D198" t="str">
            <v>-</v>
          </cell>
        </row>
        <row r="199">
          <cell r="A199" t="str">
            <v>STERILIZATION/EOG GAS NETT</v>
          </cell>
          <cell r="D199">
            <v>-8860197</v>
          </cell>
        </row>
        <row r="200">
          <cell r="D200" t="str">
            <v>=</v>
          </cell>
        </row>
        <row r="203">
          <cell r="A203" t="str">
            <v>COSTS OF GOODS MANUFACTURED</v>
          </cell>
        </row>
        <row r="204">
          <cell r="A204" t="str">
            <v>-</v>
          </cell>
          <cell r="B204" t="str">
            <v>-</v>
          </cell>
          <cell r="C204" t="str">
            <v>-</v>
          </cell>
        </row>
        <row r="205">
          <cell r="A205" t="str">
            <v xml:space="preserve">DIRECT MATERIALS CONSUMED </v>
          </cell>
          <cell r="D205">
            <v>-892288940</v>
          </cell>
        </row>
        <row r="206">
          <cell r="A206" t="str">
            <v xml:space="preserve">PACKAGING MATERIALS CONSUMED </v>
          </cell>
          <cell r="D206">
            <v>-33109690</v>
          </cell>
        </row>
        <row r="207">
          <cell r="A207" t="str">
            <v>51020001  DIRECT LABOUR-WAGES</v>
          </cell>
          <cell r="D207">
            <v>-117121100</v>
          </cell>
        </row>
        <row r="208">
          <cell r="A208" t="str">
            <v>FACTORY OVERHEAD</v>
          </cell>
          <cell r="D208">
            <v>-97371467</v>
          </cell>
        </row>
        <row r="209">
          <cell r="A209" t="str">
            <v>STERILIZATION/EOG GAS NETT</v>
          </cell>
          <cell r="D209">
            <v>-8860197</v>
          </cell>
        </row>
        <row r="210">
          <cell r="A210" t="str">
            <v>W.I.P CONSUMED</v>
          </cell>
          <cell r="D210">
            <v>0</v>
          </cell>
        </row>
        <row r="211">
          <cell r="A211" t="str">
            <v>51030014  IMPORT HANDLING EXP</v>
          </cell>
          <cell r="D211">
            <v>-6022000</v>
          </cell>
        </row>
        <row r="212">
          <cell r="D212" t="str">
            <v>-</v>
          </cell>
        </row>
        <row r="213">
          <cell r="A213" t="str">
            <v>COSTS OF GOODS MANUFACTURED</v>
          </cell>
          <cell r="D213">
            <v>-1154773394</v>
          </cell>
        </row>
        <row r="214">
          <cell r="D214" t="str">
            <v>=</v>
          </cell>
        </row>
        <row r="217">
          <cell r="A217" t="str">
            <v xml:space="preserve">DIRECT MATERIALS CONSUMED </v>
          </cell>
          <cell r="D217" t="str">
            <v>SEP 2003</v>
          </cell>
        </row>
        <row r="218">
          <cell r="A218" t="str">
            <v>-</v>
          </cell>
          <cell r="B218" t="str">
            <v>-</v>
          </cell>
          <cell r="C218" t="str">
            <v>-</v>
          </cell>
          <cell r="D218" t="str">
            <v>-</v>
          </cell>
        </row>
        <row r="220">
          <cell r="A220" t="str">
            <v>11110001  DIRECT MATERIALS-OPENG BAL</v>
          </cell>
          <cell r="D220">
            <v>-801909665</v>
          </cell>
        </row>
        <row r="221">
          <cell r="A221" t="str">
            <v>51010001  DIRECT MATERIALS-PURCHASES</v>
          </cell>
          <cell r="D221">
            <v>-885740810</v>
          </cell>
        </row>
        <row r="222">
          <cell r="A222" t="str">
            <v>51060001  DIRECT MATERIALS-PUR. DISC.</v>
          </cell>
          <cell r="D222">
            <v>2781200</v>
          </cell>
        </row>
        <row r="223">
          <cell r="A223" t="str">
            <v>51070001  DIRECT MATERIALS-PUR. RETURNS</v>
          </cell>
          <cell r="D223">
            <v>0</v>
          </cell>
        </row>
        <row r="224">
          <cell r="A224" t="str">
            <v>11110001  DIRECT MATERIALS-CLOSG BAL</v>
          </cell>
          <cell r="D224">
            <v>792580335</v>
          </cell>
        </row>
        <row r="225">
          <cell r="D225" t="str">
            <v>-</v>
          </cell>
        </row>
        <row r="226">
          <cell r="A226" t="str">
            <v xml:space="preserve">DIRECT MATERIALS CONSUMED </v>
          </cell>
          <cell r="D226">
            <v>-892288940</v>
          </cell>
        </row>
        <row r="227">
          <cell r="D227" t="str">
            <v>=</v>
          </cell>
        </row>
        <row r="229">
          <cell r="A229" t="str">
            <v xml:space="preserve">PACKAGING MATERIALS CONSUMED </v>
          </cell>
          <cell r="D229" t="str">
            <v>SEP 2003</v>
          </cell>
        </row>
        <row r="230">
          <cell r="A230" t="str">
            <v>-</v>
          </cell>
          <cell r="B230" t="str">
            <v>-</v>
          </cell>
          <cell r="C230" t="str">
            <v>-</v>
          </cell>
          <cell r="D230" t="str">
            <v>-</v>
          </cell>
        </row>
        <row r="232">
          <cell r="A232" t="str">
            <v>11110001  PACKAGING MATERIAL-OPENG BAL</v>
          </cell>
          <cell r="D232">
            <v>-33847766</v>
          </cell>
        </row>
        <row r="233">
          <cell r="A233" t="str">
            <v>51010003  PACKAGING MATERIAL-PURCHASES</v>
          </cell>
          <cell r="D233">
            <v>-36308000</v>
          </cell>
        </row>
        <row r="234">
          <cell r="A234" t="str">
            <v>51060001  PACKAGING MATERIALS-PUR. DISC.</v>
          </cell>
          <cell r="D234">
            <v>0</v>
          </cell>
        </row>
        <row r="235">
          <cell r="A235" t="str">
            <v>51070001  PACKAGING MATERIALS-PUR. RETURNS</v>
          </cell>
          <cell r="D235">
            <v>0</v>
          </cell>
        </row>
        <row r="236">
          <cell r="A236" t="str">
            <v>11110001  PACKAGING MATERIALS-CLOSG BAL</v>
          </cell>
          <cell r="D236">
            <v>37046076</v>
          </cell>
        </row>
        <row r="237">
          <cell r="D237" t="str">
            <v>-</v>
          </cell>
        </row>
        <row r="238">
          <cell r="A238" t="str">
            <v xml:space="preserve">PACKAGING MATERIALS CONSUMED </v>
          </cell>
          <cell r="D238">
            <v>-33109690</v>
          </cell>
        </row>
        <row r="239">
          <cell r="D239" t="str">
            <v>=</v>
          </cell>
        </row>
        <row r="241">
          <cell r="A241" t="str">
            <v>WORK IN PROCESS</v>
          </cell>
        </row>
        <row r="242">
          <cell r="A242" t="str">
            <v>-</v>
          </cell>
          <cell r="B242" t="str">
            <v>-</v>
          </cell>
          <cell r="C242" t="str">
            <v>-</v>
          </cell>
        </row>
        <row r="243">
          <cell r="A243" t="str">
            <v>11120003  W.I.P - OPENING</v>
          </cell>
          <cell r="D243">
            <v>0</v>
          </cell>
        </row>
        <row r="244">
          <cell r="A244" t="str">
            <v>1112****  W.I.P - PURCHASE</v>
          </cell>
          <cell r="D244">
            <v>0</v>
          </cell>
        </row>
        <row r="245">
          <cell r="A245" t="str">
            <v>1112****  W.I.P - DISCOUNT</v>
          </cell>
          <cell r="D245">
            <v>0</v>
          </cell>
        </row>
        <row r="246">
          <cell r="A246" t="str">
            <v>1112****  W.I.P - RETURN</v>
          </cell>
          <cell r="D246">
            <v>0</v>
          </cell>
        </row>
        <row r="247">
          <cell r="A247" t="str">
            <v>11120003  W.I.P - CLOSING</v>
          </cell>
          <cell r="D247">
            <v>0</v>
          </cell>
        </row>
        <row r="248">
          <cell r="D248" t="str">
            <v>-</v>
          </cell>
        </row>
        <row r="249">
          <cell r="A249" t="str">
            <v>W.I.P CONSUMED</v>
          </cell>
          <cell r="D249">
            <v>0</v>
          </cell>
        </row>
        <row r="250">
          <cell r="D250" t="str">
            <v>=</v>
          </cell>
        </row>
        <row r="252">
          <cell r="A252" t="str">
            <v>FACTORY OVERHEAD</v>
          </cell>
        </row>
        <row r="253">
          <cell r="A253" t="str">
            <v>-</v>
          </cell>
          <cell r="B253" t="str">
            <v>-</v>
          </cell>
          <cell r="C253" t="str">
            <v>-</v>
          </cell>
        </row>
        <row r="254">
          <cell r="A254" t="str">
            <v>51030001  INDIRECT MATERIAL</v>
          </cell>
          <cell r="D254">
            <v>-12326339</v>
          </cell>
        </row>
        <row r="255">
          <cell r="A255" t="str">
            <v>51030002  DEP MACHINERY</v>
          </cell>
          <cell r="D255">
            <v>-13452750</v>
          </cell>
        </row>
        <row r="256">
          <cell r="A256" t="str">
            <v>51030003  DEP BUILDING</v>
          </cell>
          <cell r="D256">
            <v>-3770363</v>
          </cell>
        </row>
        <row r="257">
          <cell r="A257" t="str">
            <v>51030004  DEP EQUIPMENT/TOOLS</v>
          </cell>
          <cell r="D257">
            <v>0</v>
          </cell>
        </row>
        <row r="258">
          <cell r="A258" t="str">
            <v>51030005  ELECTRICITY</v>
          </cell>
          <cell r="D258">
            <v>-14248450</v>
          </cell>
        </row>
        <row r="259">
          <cell r="A259" t="str">
            <v>51030006  RENTAL BUILDING</v>
          </cell>
          <cell r="D259">
            <v>-51393750</v>
          </cell>
        </row>
        <row r="260">
          <cell r="A260" t="str">
            <v>51030007  MACHINE REPAIR</v>
          </cell>
          <cell r="D260">
            <v>-1084000</v>
          </cell>
        </row>
        <row r="261">
          <cell r="A261" t="str">
            <v>51030008  MOULD REPAIR</v>
          </cell>
          <cell r="D261">
            <v>0</v>
          </cell>
        </row>
        <row r="262">
          <cell r="A262" t="str">
            <v>51030009  GENERAL FACTORY EXP</v>
          </cell>
          <cell r="D262">
            <v>-844815</v>
          </cell>
        </row>
        <row r="263">
          <cell r="A263" t="str">
            <v>51030010  MEDICAL EXP</v>
          </cell>
          <cell r="D263">
            <v>-51000</v>
          </cell>
        </row>
        <row r="264">
          <cell r="A264" t="str">
            <v>51030011  STAMP DUTY</v>
          </cell>
          <cell r="D264">
            <v>0</v>
          </cell>
        </row>
        <row r="265">
          <cell r="A265" t="str">
            <v>51030012  BUILDING EXP</v>
          </cell>
          <cell r="D265">
            <v>-200000</v>
          </cell>
        </row>
        <row r="266">
          <cell r="A266" t="str">
            <v>51030013  INSURANCE</v>
          </cell>
          <cell r="D266">
            <v>0</v>
          </cell>
        </row>
        <row r="267">
          <cell r="D267" t="str">
            <v>-</v>
          </cell>
        </row>
        <row r="268">
          <cell r="A268" t="str">
            <v>FACTORY OVERHEAD</v>
          </cell>
          <cell r="D268">
            <v>-97371467</v>
          </cell>
        </row>
        <row r="269">
          <cell r="D269" t="str">
            <v>=</v>
          </cell>
        </row>
        <row r="273">
          <cell r="A273" t="str">
            <v>BALANCE SHEET AS AT</v>
          </cell>
          <cell r="D273" t="str">
            <v>SEP 2003</v>
          </cell>
        </row>
        <row r="274">
          <cell r="A274" t="str">
            <v>-</v>
          </cell>
          <cell r="B274" t="str">
            <v>-</v>
          </cell>
          <cell r="C274" t="str">
            <v>-</v>
          </cell>
          <cell r="D274" t="str">
            <v>-</v>
          </cell>
        </row>
        <row r="275">
          <cell r="A275" t="str">
            <v>31080001  SHARE CAPITAL</v>
          </cell>
          <cell r="D275">
            <v>400000000</v>
          </cell>
        </row>
        <row r="276">
          <cell r="A276" t="str">
            <v>CLOSING REVENUE RESERVE</v>
          </cell>
          <cell r="D276">
            <v>7798648884.9200001</v>
          </cell>
        </row>
        <row r="277">
          <cell r="A277" t="str">
            <v>31090001  DEVIDEN</v>
          </cell>
          <cell r="D277">
            <v>-800000000</v>
          </cell>
        </row>
        <row r="278">
          <cell r="D278" t="str">
            <v>-</v>
          </cell>
        </row>
        <row r="279">
          <cell r="D279">
            <v>7398648884.9200001</v>
          </cell>
        </row>
        <row r="280">
          <cell r="D280" t="str">
            <v>=</v>
          </cell>
        </row>
        <row r="281">
          <cell r="A281" t="str">
            <v>FIXED ASSETS</v>
          </cell>
        </row>
        <row r="282">
          <cell r="A282" t="str">
            <v>-</v>
          </cell>
          <cell r="B282" t="str">
            <v>-</v>
          </cell>
          <cell r="C282" t="str">
            <v>------</v>
          </cell>
        </row>
        <row r="283">
          <cell r="A283" t="str">
            <v>COSTS</v>
          </cell>
          <cell r="D283">
            <v>2291946034</v>
          </cell>
        </row>
        <row r="284">
          <cell r="A284" t="str">
            <v>ACC DEP</v>
          </cell>
          <cell r="D284">
            <v>-1470248860</v>
          </cell>
        </row>
        <row r="285">
          <cell r="D285" t="str">
            <v>-</v>
          </cell>
        </row>
        <row r="286">
          <cell r="D286">
            <v>821697174</v>
          </cell>
        </row>
        <row r="287">
          <cell r="D287" t="str">
            <v>-</v>
          </cell>
        </row>
        <row r="288">
          <cell r="A288" t="str">
            <v>CURRENT ASSETS</v>
          </cell>
        </row>
        <row r="289">
          <cell r="A289" t="str">
            <v>------------------</v>
          </cell>
        </row>
        <row r="290">
          <cell r="A290" t="str">
            <v>11010001  PETTY CASH</v>
          </cell>
          <cell r="D290">
            <v>108706200</v>
          </cell>
        </row>
        <row r="291">
          <cell r="A291" t="str">
            <v>11020002  B.O.T.M Rp</v>
          </cell>
          <cell r="D291">
            <v>4846472.68</v>
          </cell>
        </row>
        <row r="292">
          <cell r="A292" t="str">
            <v>11020003  B.O.T.M US$ 227,129.62 X Rp 8,415</v>
          </cell>
          <cell r="D292">
            <v>1911295752</v>
          </cell>
        </row>
        <row r="293">
          <cell r="A293" t="str">
            <v>11020001  BANK BUANA INDONESIA</v>
          </cell>
          <cell r="D293">
            <v>173487934.94999999</v>
          </cell>
        </row>
        <row r="294">
          <cell r="A294" t="str">
            <v>11020004  BANK MANDIRI</v>
          </cell>
          <cell r="D294">
            <v>115916296.78</v>
          </cell>
        </row>
        <row r="295">
          <cell r="A295" t="str">
            <v>11040001  DEPOSITO BBI</v>
          </cell>
          <cell r="D295">
            <v>100000000</v>
          </cell>
        </row>
        <row r="296">
          <cell r="A296" t="str">
            <v>11040001  DEPOSITO MANDIRI</v>
          </cell>
          <cell r="D296">
            <v>100000000</v>
          </cell>
        </row>
        <row r="297">
          <cell r="A297" t="str">
            <v>11050001  TRADE DEBTORS US$ 98,481.6 X Rp 8,415</v>
          </cell>
          <cell r="D297">
            <v>828722664</v>
          </cell>
        </row>
        <row r="298">
          <cell r="A298" t="str">
            <v>11060001  PERSONAL LOAN</v>
          </cell>
          <cell r="D298">
            <v>0</v>
          </cell>
        </row>
        <row r="299">
          <cell r="A299" t="str">
            <v>11070001  OTHER RECEIVABLE</v>
          </cell>
          <cell r="D299">
            <v>0</v>
          </cell>
        </row>
        <row r="300">
          <cell r="A300" t="str">
            <v xml:space="preserve">1108****  PREPAYMENTS </v>
          </cell>
          <cell r="D300">
            <v>464268224.19999999</v>
          </cell>
        </row>
        <row r="301">
          <cell r="A301" t="str">
            <v>11080001  VAT INPUT</v>
          </cell>
          <cell r="D301">
            <v>1351499219.72</v>
          </cell>
        </row>
        <row r="302">
          <cell r="A302" t="str">
            <v>11080005  PPH 22 IMPORT + 25 BADAN</v>
          </cell>
          <cell r="D302">
            <v>1024159007</v>
          </cell>
        </row>
        <row r="303">
          <cell r="A303" t="str">
            <v>11080008  PPH 21 + 26</v>
          </cell>
          <cell r="D303">
            <v>0</v>
          </cell>
        </row>
        <row r="304">
          <cell r="A304" t="str">
            <v>11110001  STOCK-RAW MATERIALS</v>
          </cell>
          <cell r="D304">
            <v>792580335</v>
          </cell>
        </row>
        <row r="305">
          <cell r="A305" t="str">
            <v>11130001  STOCK-FINISHED GOODS</v>
          </cell>
          <cell r="D305">
            <v>677079613</v>
          </cell>
        </row>
        <row r="306">
          <cell r="A306" t="str">
            <v>********  STOCK-PACKAGING MATERIAL</v>
          </cell>
          <cell r="D306">
            <v>37046076</v>
          </cell>
        </row>
        <row r="307">
          <cell r="A307" t="str">
            <v>11120003  STOCK-WORK IN PROCESS</v>
          </cell>
          <cell r="D307">
            <v>0</v>
          </cell>
        </row>
        <row r="308">
          <cell r="A308" t="str">
            <v>11030001  GOODS IN TRANSIT</v>
          </cell>
          <cell r="D308">
            <v>0</v>
          </cell>
        </row>
        <row r="309">
          <cell r="A309" t="str">
            <v>11110001  STERILIZATION/EOG GAS</v>
          </cell>
          <cell r="D309">
            <v>22445834</v>
          </cell>
        </row>
        <row r="310">
          <cell r="D310" t="str">
            <v>-</v>
          </cell>
        </row>
        <row r="311">
          <cell r="A311" t="str">
            <v>CURRENT ASSETS</v>
          </cell>
          <cell r="D311">
            <v>7712053629.3299999</v>
          </cell>
        </row>
        <row r="312">
          <cell r="D312" t="str">
            <v>-</v>
          </cell>
        </row>
        <row r="313">
          <cell r="A313" t="str">
            <v>CURRENT LIABILITIES</v>
          </cell>
        </row>
        <row r="314">
          <cell r="A314" t="str">
            <v>------------------</v>
          </cell>
        </row>
        <row r="315">
          <cell r="A315" t="str">
            <v>210*****  TRADE CREDITORS</v>
          </cell>
          <cell r="D315">
            <v>1100346201.4100001</v>
          </cell>
        </row>
        <row r="316">
          <cell r="A316" t="str">
            <v>21040001  OTHER CREDITORS-KOBAYASHI</v>
          </cell>
          <cell r="D316">
            <v>0</v>
          </cell>
        </row>
        <row r="317">
          <cell r="A317" t="str">
            <v>21040002  OTHER CREDITOR</v>
          </cell>
          <cell r="D317">
            <v>0</v>
          </cell>
        </row>
        <row r="318">
          <cell r="A318" t="str">
            <v>21040003  KOBAYASHI PHARM DEPOSIT</v>
          </cell>
          <cell r="D318">
            <v>0</v>
          </cell>
        </row>
        <row r="319">
          <cell r="A319" t="str">
            <v>21040004  PENDING PAYMENT</v>
          </cell>
          <cell r="D319">
            <v>0</v>
          </cell>
        </row>
        <row r="320">
          <cell r="A320" t="str">
            <v xml:space="preserve">21070001  TAX PAYABLE </v>
          </cell>
          <cell r="D320">
            <v>0</v>
          </cell>
        </row>
        <row r="321">
          <cell r="A321" t="str">
            <v>21070002  ACCRUED</v>
          </cell>
          <cell r="D321">
            <v>0</v>
          </cell>
        </row>
        <row r="322">
          <cell r="A322" t="str">
            <v xml:space="preserve">21080001  INTEREST PAYABLE </v>
          </cell>
          <cell r="D322">
            <v>0</v>
          </cell>
        </row>
        <row r="323">
          <cell r="A323" t="str">
            <v>21090001  ROYALTY PAYABLE US$ 4,130.21 X Rp 8.415</v>
          </cell>
          <cell r="D323">
            <v>34755717</v>
          </cell>
        </row>
        <row r="324">
          <cell r="D324" t="str">
            <v>-</v>
          </cell>
        </row>
        <row r="325">
          <cell r="A325" t="str">
            <v>CURRENT LIABILITIES</v>
          </cell>
          <cell r="D325">
            <v>1135101918.4100001</v>
          </cell>
        </row>
        <row r="326">
          <cell r="D326" t="str">
            <v>-</v>
          </cell>
        </row>
        <row r="327">
          <cell r="A327" t="str">
            <v>NET CURRENT ASSETS</v>
          </cell>
          <cell r="D327">
            <v>6576951710.9200001</v>
          </cell>
        </row>
        <row r="328">
          <cell r="D328" t="str">
            <v>-</v>
          </cell>
        </row>
        <row r="329">
          <cell r="A329" t="str">
            <v>TOTAL ASSETS</v>
          </cell>
          <cell r="D329">
            <v>7398648884.9200001</v>
          </cell>
        </row>
        <row r="330">
          <cell r="D330" t="str">
            <v>=</v>
          </cell>
        </row>
        <row r="331">
          <cell r="D331">
            <v>0</v>
          </cell>
        </row>
        <row r="333">
          <cell r="A333" t="str">
            <v>FIXED ASSETS AS AT</v>
          </cell>
          <cell r="D333" t="str">
            <v>SEP 2003</v>
          </cell>
        </row>
        <row r="334">
          <cell r="A334" t="str">
            <v>-</v>
          </cell>
          <cell r="B334" t="str">
            <v>-</v>
          </cell>
          <cell r="C334" t="str">
            <v>-</v>
          </cell>
          <cell r="D334" t="str">
            <v>-</v>
          </cell>
        </row>
        <row r="335">
          <cell r="A335" t="str">
            <v>12010001  MACHINERY</v>
          </cell>
          <cell r="D335">
            <v>1614329841</v>
          </cell>
        </row>
        <row r="336">
          <cell r="A336" t="str">
            <v>12900001  ACC DEP-MACHINERY</v>
          </cell>
          <cell r="D336">
            <v>-1073224968</v>
          </cell>
        </row>
        <row r="337">
          <cell r="D337" t="str">
            <v>-</v>
          </cell>
        </row>
        <row r="338">
          <cell r="D338">
            <v>541104873</v>
          </cell>
        </row>
        <row r="339">
          <cell r="D339" t="str">
            <v>-</v>
          </cell>
        </row>
        <row r="342">
          <cell r="A342" t="str">
            <v>12020001  OFFICE</v>
          </cell>
          <cell r="D342">
            <v>36667655</v>
          </cell>
        </row>
        <row r="343">
          <cell r="A343" t="str">
            <v>12900002  ACC DEP-OFFICE</v>
          </cell>
          <cell r="D343">
            <v>-28673710</v>
          </cell>
        </row>
        <row r="344">
          <cell r="D344" t="str">
            <v>-</v>
          </cell>
        </row>
        <row r="345">
          <cell r="D345">
            <v>7993945</v>
          </cell>
        </row>
        <row r="346">
          <cell r="D346" t="str">
            <v>-</v>
          </cell>
        </row>
        <row r="349">
          <cell r="A349" t="str">
            <v>12030001  BUILDING</v>
          </cell>
          <cell r="D349">
            <v>452443538</v>
          </cell>
        </row>
        <row r="350">
          <cell r="A350" t="str">
            <v>12900003  ACC DEP-BUILDING</v>
          </cell>
          <cell r="D350">
            <v>-348511846</v>
          </cell>
        </row>
        <row r="351">
          <cell r="D351" t="str">
            <v>-</v>
          </cell>
        </row>
        <row r="352">
          <cell r="D352">
            <v>103931692</v>
          </cell>
        </row>
        <row r="353">
          <cell r="D353" t="str">
            <v>-</v>
          </cell>
        </row>
        <row r="356">
          <cell r="A356" t="str">
            <v>12040001  EQUIPMENT/TOOLS</v>
          </cell>
          <cell r="D356">
            <v>4505000</v>
          </cell>
        </row>
        <row r="357">
          <cell r="A357" t="str">
            <v>12900004  ACC DEP-EQUIPMENT/TOOLS</v>
          </cell>
          <cell r="D357">
            <v>-4505000</v>
          </cell>
        </row>
        <row r="358">
          <cell r="D358" t="str">
            <v>-</v>
          </cell>
        </row>
        <row r="359">
          <cell r="D359">
            <v>0</v>
          </cell>
        </row>
        <row r="360">
          <cell r="D360" t="str">
            <v>-</v>
          </cell>
        </row>
        <row r="362">
          <cell r="A362" t="str">
            <v>12050001  MOTOR VEHICLE</v>
          </cell>
          <cell r="D362">
            <v>184000000</v>
          </cell>
        </row>
        <row r="363">
          <cell r="A363" t="str">
            <v>12900005  ACC DEP-MOTOR VEHICLE</v>
          </cell>
          <cell r="D363">
            <v>-15333336</v>
          </cell>
        </row>
        <row r="364">
          <cell r="D364" t="str">
            <v>-</v>
          </cell>
        </row>
        <row r="365">
          <cell r="D365">
            <v>168666664</v>
          </cell>
        </row>
        <row r="366">
          <cell r="A366" t="str">
            <v>FIXED ASSETS</v>
          </cell>
          <cell r="D366" t="str">
            <v>-</v>
          </cell>
        </row>
        <row r="367">
          <cell r="A367" t="str">
            <v>-</v>
          </cell>
          <cell r="B367" t="str">
            <v>-</v>
          </cell>
          <cell r="C367" t="str">
            <v>-------</v>
          </cell>
        </row>
        <row r="368">
          <cell r="A368" t="str">
            <v>COSTS</v>
          </cell>
          <cell r="D368">
            <v>2291946034</v>
          </cell>
        </row>
        <row r="369">
          <cell r="A369" t="str">
            <v>ACC DEP</v>
          </cell>
          <cell r="D369">
            <v>-1470248860</v>
          </cell>
        </row>
        <row r="370">
          <cell r="D370" t="str">
            <v>-</v>
          </cell>
        </row>
        <row r="371">
          <cell r="D371">
            <v>821697174</v>
          </cell>
        </row>
        <row r="372">
          <cell r="D372" t="str">
            <v>=</v>
          </cell>
        </row>
      </sheetData>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ハ商品"/>
      <sheetName val="ハつぼ"/>
      <sheetName val="ハ玉"/>
      <sheetName val="ハ台紙"/>
      <sheetName val="ハ内箱"/>
      <sheetName val="ハ外箱"/>
      <sheetName val="成型品"/>
      <sheetName val="フィルム"/>
      <sheetName val="PPクリアケース"/>
      <sheetName val="ス商品"/>
      <sheetName val="スつぼ"/>
      <sheetName val="ス玉"/>
      <sheetName val="ス台紙"/>
      <sheetName val="ス内箱"/>
      <sheetName val="ス外箱"/>
    </sheetNames>
    <sheetDataSet>
      <sheetData sheetId="0">
        <row r="3">
          <cell r="D3" t="str">
            <v>加工甲数</v>
          </cell>
        </row>
        <row r="5">
          <cell r="D5">
            <v>0</v>
          </cell>
        </row>
        <row r="8">
          <cell r="D8">
            <v>0</v>
          </cell>
        </row>
        <row r="9">
          <cell r="D9">
            <v>0</v>
          </cell>
        </row>
        <row r="10">
          <cell r="D10">
            <v>0</v>
          </cell>
        </row>
        <row r="14">
          <cell r="D14">
            <v>0</v>
          </cell>
        </row>
        <row r="38">
          <cell r="D38" t="str">
            <v>加工甲数</v>
          </cell>
        </row>
        <row r="40">
          <cell r="D40">
            <v>0</v>
          </cell>
        </row>
        <row r="43">
          <cell r="D43">
            <v>0</v>
          </cell>
        </row>
        <row r="44">
          <cell r="D44">
            <v>0</v>
          </cell>
        </row>
        <row r="45">
          <cell r="D45">
            <v>0</v>
          </cell>
        </row>
        <row r="49">
          <cell r="D49">
            <v>0</v>
          </cell>
        </row>
        <row r="73">
          <cell r="D73" t="str">
            <v>加工甲数</v>
          </cell>
        </row>
        <row r="75">
          <cell r="D75">
            <v>0</v>
          </cell>
        </row>
        <row r="78">
          <cell r="D78">
            <v>0</v>
          </cell>
        </row>
        <row r="79">
          <cell r="D79">
            <v>0</v>
          </cell>
        </row>
        <row r="80">
          <cell r="D80">
            <v>0</v>
          </cell>
        </row>
        <row r="84">
          <cell r="D84">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
          <cell r="E1" t="str">
            <v>1P＝３０甲</v>
          </cell>
        </row>
        <row r="3">
          <cell r="D3" t="str">
            <v>加工甲数</v>
          </cell>
          <cell r="E3" t="str">
            <v>出庫数</v>
          </cell>
        </row>
        <row r="5">
          <cell r="D5">
            <v>420</v>
          </cell>
          <cell r="E5">
            <v>270</v>
          </cell>
        </row>
        <row r="6">
          <cell r="D6">
            <v>0</v>
          </cell>
          <cell r="E6">
            <v>150</v>
          </cell>
        </row>
        <row r="7">
          <cell r="D7">
            <v>410</v>
          </cell>
          <cell r="E7">
            <v>60</v>
          </cell>
        </row>
        <row r="8">
          <cell r="D8">
            <v>0</v>
          </cell>
          <cell r="E8">
            <v>30</v>
          </cell>
        </row>
        <row r="9">
          <cell r="D9">
            <v>0</v>
          </cell>
          <cell r="E9">
            <v>320</v>
          </cell>
        </row>
        <row r="10">
          <cell r="D10">
            <v>0</v>
          </cell>
          <cell r="E10">
            <v>0</v>
          </cell>
        </row>
        <row r="12">
          <cell r="D12">
            <v>0</v>
          </cell>
        </row>
        <row r="29">
          <cell r="D29">
            <v>0</v>
          </cell>
        </row>
        <row r="31">
          <cell r="D31">
            <v>0</v>
          </cell>
        </row>
        <row r="36">
          <cell r="E36" t="str">
            <v>1P＝３０甲</v>
          </cell>
        </row>
        <row r="38">
          <cell r="D38" t="str">
            <v>加工甲数</v>
          </cell>
          <cell r="E38" t="str">
            <v>出庫数</v>
          </cell>
        </row>
        <row r="40">
          <cell r="D40">
            <v>0</v>
          </cell>
          <cell r="E40">
            <v>0</v>
          </cell>
        </row>
        <row r="41">
          <cell r="D41">
            <v>0</v>
          </cell>
          <cell r="E41">
            <v>0</v>
          </cell>
        </row>
        <row r="42">
          <cell r="E42">
            <v>0</v>
          </cell>
        </row>
        <row r="43">
          <cell r="D43">
            <v>210</v>
          </cell>
          <cell r="E43">
            <v>210</v>
          </cell>
        </row>
        <row r="44">
          <cell r="D44">
            <v>0</v>
          </cell>
          <cell r="E44">
            <v>0</v>
          </cell>
        </row>
        <row r="45">
          <cell r="E45">
            <v>0</v>
          </cell>
        </row>
        <row r="46">
          <cell r="D46">
            <v>0</v>
          </cell>
        </row>
        <row r="71">
          <cell r="E71" t="str">
            <v>1P＝３０甲</v>
          </cell>
        </row>
        <row r="73">
          <cell r="D73" t="str">
            <v>加工甲数</v>
          </cell>
          <cell r="E73" t="str">
            <v>出庫数</v>
          </cell>
        </row>
        <row r="75">
          <cell r="D75">
            <v>0</v>
          </cell>
          <cell r="E75">
            <v>0</v>
          </cell>
        </row>
        <row r="76">
          <cell r="D76">
            <v>0</v>
          </cell>
          <cell r="E76">
            <v>0</v>
          </cell>
        </row>
        <row r="77">
          <cell r="E77">
            <v>0</v>
          </cell>
        </row>
        <row r="78">
          <cell r="D78">
            <v>0</v>
          </cell>
          <cell r="E78">
            <v>0</v>
          </cell>
        </row>
        <row r="79">
          <cell r="D79">
            <v>0</v>
          </cell>
          <cell r="E79">
            <v>0</v>
          </cell>
        </row>
        <row r="80">
          <cell r="E80">
            <v>0</v>
          </cell>
        </row>
        <row r="81">
          <cell r="D81">
            <v>0</v>
          </cell>
        </row>
      </sheetData>
      <sheetData sheetId="10" refreshError="1"/>
      <sheetData sheetId="11" refreshError="1"/>
      <sheetData sheetId="12" refreshError="1"/>
      <sheetData sheetId="13" refreshError="1"/>
      <sheetData sheetId="14"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日ライフ_粘着シート"/>
      <sheetName val="日ライフ_Ｎｅｗブレスロン"/>
      <sheetName val="コストダウン資料"/>
      <sheetName val="資料⑦"/>
      <sheetName val="資料⑥"/>
      <sheetName val="資料⑤"/>
      <sheetName val="資料④"/>
      <sheetName val="資料③"/>
      <sheetName val="資料②"/>
      <sheetName val="資料①"/>
      <sheetName val="Sheet1"/>
    </sheetNames>
    <sheetDataSet>
      <sheetData sheetId="0"/>
      <sheetData sheetId="1"/>
      <sheetData sheetId="2">
        <row r="31">
          <cell r="I31">
            <v>0</v>
          </cell>
        </row>
        <row r="46">
          <cell r="C46">
            <v>92</v>
          </cell>
          <cell r="H46">
            <v>4</v>
          </cell>
        </row>
      </sheetData>
      <sheetData sheetId="3"/>
      <sheetData sheetId="4"/>
      <sheetData sheetId="5"/>
      <sheetData sheetId="6"/>
      <sheetData sheetId="7"/>
      <sheetData sheetId="8"/>
      <sheetData sheetId="9"/>
      <sheetData sheetId="10"/>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日ライフ_粘着シート"/>
      <sheetName val="日ライフ_Ｎｅｗブレスロン"/>
      <sheetName val="コストダウン資料"/>
      <sheetName val="資料⑦"/>
      <sheetName val="資料⑥"/>
      <sheetName val="資料⑤"/>
      <sheetName val="資料④"/>
      <sheetName val="資料③"/>
      <sheetName val="資料②"/>
      <sheetName val="資料①"/>
      <sheetName val="Sheet1"/>
    </sheetNames>
    <sheetDataSet>
      <sheetData sheetId="0"/>
      <sheetData sheetId="1"/>
      <sheetData sheetId="2">
        <row r="31">
          <cell r="I31">
            <v>0</v>
          </cell>
        </row>
        <row r="46">
          <cell r="C46">
            <v>92</v>
          </cell>
        </row>
      </sheetData>
      <sheetData sheetId="3"/>
      <sheetData sheetId="4"/>
      <sheetData sheetId="5"/>
      <sheetData sheetId="6"/>
      <sheetData sheetId="7"/>
      <sheetData sheetId="8"/>
      <sheetData sheetId="9"/>
      <sheetData sheetId="10"/>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日ライフ_粘着シート"/>
      <sheetName val="日ライフ_Ｎｅｗブレスロン"/>
      <sheetName val="コストダウン資料"/>
      <sheetName val="資料①"/>
      <sheetName val="資料②"/>
      <sheetName val="資料③"/>
      <sheetName val="資料④"/>
      <sheetName val="資料⑤"/>
      <sheetName val="資料⑥"/>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 Statement"/>
      <sheetName val="Balance Sheet"/>
      <sheetName val="SGA&amp;F"/>
      <sheetName val="Cost of Goods Manu"/>
      <sheetName val="在库明细"/>
      <sheetName val="メニュー"/>
      <sheetName val="ｺｰﾄﾞ"/>
      <sheetName val="Income_Statement1"/>
      <sheetName val="Balance_Sheet1"/>
      <sheetName val="Cost_of_Goods_Manu1"/>
      <sheetName val="Income_Statement"/>
      <sheetName val="Balance_Sheet"/>
      <sheetName val="Cost_of_Goods_Manu"/>
      <sheetName val="ﾘﾍﾞｰﾄﾗﾝｸ2000"/>
      <sheetName val="賞与･年収"/>
      <sheetName val="Income_Statement2"/>
      <sheetName val="Balance_Sheet2"/>
      <sheetName val="Cost_of_Goods_Manu2"/>
      <sheetName val="１業種"/>
      <sheetName val="マスター"/>
      <sheetName val="DATA"/>
      <sheetName val="クロス昨年"/>
      <sheetName val="クロス売上"/>
      <sheetName val="入力用"/>
      <sheetName val="2003NEW FORMAT-JAPAN"/>
      <sheetName val="商品マスター"/>
      <sheetName val="大型店版"/>
      <sheetName val="商品ﾏｽﾀｰ(1月25日)"/>
      <sheetName val="MARCH"/>
      <sheetName val="#REF!"/>
    </sheetNames>
    <sheetDataSet>
      <sheetData sheetId="0"/>
      <sheetData sheetId="1"/>
      <sheetData sheetId="2"/>
      <sheetData sheetId="3"/>
      <sheetData sheetId="4" refreshError="1"/>
      <sheetData sheetId="5" refreshError="1"/>
      <sheetData sheetId="6" refreshError="1"/>
      <sheetData sheetId="7"/>
      <sheetData sheetId="8"/>
      <sheetData sheetId="9"/>
      <sheetData sheetId="10"/>
      <sheetData sheetId="11"/>
      <sheetData sheetId="12"/>
      <sheetData sheetId="13" refreshError="1"/>
      <sheetData sheetId="14" refreshError="1"/>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YE1"/>
      <sheetName val="25DJ40"/>
      <sheetName val="SGA&amp;F"/>
      <sheetName val="Cost of Goods Manu"/>
      <sheetName val="設定"/>
      <sheetName val="#REF"/>
      <sheetName val="ﾌﾟﾚｾﾞﾝ資"/>
      <sheetName val="賞与･年収"/>
      <sheetName val="1ﾍﾟｰｼﾞ"/>
      <sheetName val="MARCH"/>
      <sheetName val="テーブル一覧"/>
      <sheetName val="累計分析"/>
      <sheetName val="予実差分析"/>
      <sheetName val="マクロ"/>
      <sheetName val="マスター"/>
      <sheetName val="DATA"/>
      <sheetName val="クロス昨年"/>
      <sheetName val="クロス売上"/>
      <sheetName val="入力用"/>
      <sheetName val="商品マスター"/>
      <sheetName val="大型店版"/>
      <sheetName val="商品ﾏｽﾀｰ(1月25日)"/>
      <sheetName val="３ヶ月計画書(前半)"/>
      <sheetName val="営業所８"/>
    </sheetNames>
    <definedNames>
      <definedName name="営業部別配荷"/>
      <definedName name="各営業部"/>
      <definedName name="業態別配荷"/>
      <definedName name="終了"/>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コットン３号データ"/>
      <sheetName val="稼動データ"/>
      <sheetName val="集計"/>
      <sheetName val="稼働率計算"/>
      <sheetName val="マクロ実行"/>
      <sheetName val="サラ８８０３月別実績"/>
      <sheetName val="経理帳票"/>
    </sheetNames>
    <sheetDataSet>
      <sheetData sheetId="0"/>
      <sheetData sheetId="1">
        <row r="1">
          <cell r="A1" t="str">
            <v>号機</v>
          </cell>
        </row>
        <row r="2">
          <cell r="A2" t="str">
            <v>コットン１号</v>
          </cell>
        </row>
        <row r="3">
          <cell r="A3" t="str">
            <v>コットン１号</v>
          </cell>
        </row>
        <row r="4">
          <cell r="A4" t="str">
            <v>コットン１号</v>
          </cell>
        </row>
        <row r="5">
          <cell r="A5" t="str">
            <v>コットン１号</v>
          </cell>
        </row>
        <row r="6">
          <cell r="A6" t="str">
            <v>コットン１号</v>
          </cell>
        </row>
        <row r="7">
          <cell r="A7" t="str">
            <v>コットン１号</v>
          </cell>
        </row>
        <row r="8">
          <cell r="A8" t="str">
            <v>コットン１号</v>
          </cell>
        </row>
        <row r="9">
          <cell r="A9" t="str">
            <v>コットン１号</v>
          </cell>
        </row>
        <row r="10">
          <cell r="A10" t="str">
            <v>コットン１号</v>
          </cell>
        </row>
        <row r="11">
          <cell r="A11" t="str">
            <v>コットン１号</v>
          </cell>
        </row>
        <row r="12">
          <cell r="A12" t="str">
            <v>コットン１号</v>
          </cell>
        </row>
        <row r="13">
          <cell r="A13" t="str">
            <v>コットン１号</v>
          </cell>
        </row>
        <row r="14">
          <cell r="A14" t="str">
            <v>コットン１号</v>
          </cell>
        </row>
        <row r="15">
          <cell r="A15" t="str">
            <v>コットン１号</v>
          </cell>
        </row>
        <row r="16">
          <cell r="A16" t="str">
            <v>コットン１号</v>
          </cell>
        </row>
        <row r="17">
          <cell r="A17" t="str">
            <v>コットン１号</v>
          </cell>
        </row>
        <row r="18">
          <cell r="A18" t="str">
            <v>コットン１号</v>
          </cell>
        </row>
        <row r="19">
          <cell r="A19" t="str">
            <v>コットン１号</v>
          </cell>
        </row>
        <row r="20">
          <cell r="A20" t="str">
            <v>コットン１号</v>
          </cell>
        </row>
        <row r="21">
          <cell r="A21" t="str">
            <v>コットン１号</v>
          </cell>
        </row>
        <row r="22">
          <cell r="A22" t="str">
            <v>コットン１号</v>
          </cell>
        </row>
        <row r="23">
          <cell r="A23" t="str">
            <v>コットン１号</v>
          </cell>
        </row>
        <row r="24">
          <cell r="A24" t="str">
            <v>コットン１号</v>
          </cell>
        </row>
        <row r="25">
          <cell r="A25" t="str">
            <v>コットン１号</v>
          </cell>
        </row>
        <row r="26">
          <cell r="A26" t="str">
            <v>コットン１号</v>
          </cell>
        </row>
        <row r="27">
          <cell r="A27" t="str">
            <v>コットン１号</v>
          </cell>
        </row>
        <row r="28">
          <cell r="A28" t="str">
            <v>コットン１号</v>
          </cell>
        </row>
        <row r="29">
          <cell r="A29" t="str">
            <v>コットン１号</v>
          </cell>
        </row>
        <row r="30">
          <cell r="A30" t="str">
            <v>コットン１号</v>
          </cell>
        </row>
        <row r="31">
          <cell r="A31" t="str">
            <v>コットン１号</v>
          </cell>
        </row>
        <row r="32">
          <cell r="A32" t="str">
            <v>コットン2号</v>
          </cell>
        </row>
        <row r="33">
          <cell r="A33" t="str">
            <v>コットン2号</v>
          </cell>
        </row>
        <row r="34">
          <cell r="A34" t="str">
            <v>コットン2号</v>
          </cell>
        </row>
        <row r="35">
          <cell r="A35" t="str">
            <v>コットン2号</v>
          </cell>
        </row>
        <row r="36">
          <cell r="A36" t="str">
            <v>コットン2号</v>
          </cell>
        </row>
        <row r="37">
          <cell r="A37" t="str">
            <v>コットン2号</v>
          </cell>
        </row>
        <row r="38">
          <cell r="A38" t="str">
            <v>コットン2号</v>
          </cell>
        </row>
        <row r="39">
          <cell r="A39" t="str">
            <v>コットン2号</v>
          </cell>
        </row>
        <row r="40">
          <cell r="A40" t="str">
            <v>コットン2号</v>
          </cell>
        </row>
        <row r="41">
          <cell r="A41" t="str">
            <v>コットン2号</v>
          </cell>
        </row>
        <row r="42">
          <cell r="A42" t="str">
            <v>コットン2号</v>
          </cell>
        </row>
        <row r="43">
          <cell r="A43" t="str">
            <v>コットン2号</v>
          </cell>
        </row>
        <row r="44">
          <cell r="A44" t="str">
            <v>コットン2号</v>
          </cell>
        </row>
        <row r="45">
          <cell r="A45" t="str">
            <v>コットン2号</v>
          </cell>
        </row>
        <row r="46">
          <cell r="A46" t="str">
            <v>コットン2号</v>
          </cell>
        </row>
        <row r="47">
          <cell r="A47" t="str">
            <v>コットン2号</v>
          </cell>
        </row>
        <row r="48">
          <cell r="A48" t="str">
            <v>コットン2号</v>
          </cell>
        </row>
        <row r="49">
          <cell r="A49" t="str">
            <v>コットン2号</v>
          </cell>
        </row>
        <row r="50">
          <cell r="A50" t="str">
            <v>コットン2号</v>
          </cell>
        </row>
        <row r="51">
          <cell r="A51" t="str">
            <v>コットン2号</v>
          </cell>
        </row>
        <row r="52">
          <cell r="A52" t="str">
            <v>コットン2号</v>
          </cell>
        </row>
        <row r="53">
          <cell r="A53" t="str">
            <v>コットン2号</v>
          </cell>
        </row>
        <row r="54">
          <cell r="A54" t="str">
            <v>コットン2号</v>
          </cell>
        </row>
        <row r="55">
          <cell r="A55" t="str">
            <v>コットン2号</v>
          </cell>
        </row>
        <row r="56">
          <cell r="A56" t="str">
            <v>コットン2号</v>
          </cell>
        </row>
        <row r="57">
          <cell r="A57" t="str">
            <v>コットン2号</v>
          </cell>
        </row>
        <row r="58">
          <cell r="A58" t="str">
            <v>コットン2号</v>
          </cell>
        </row>
        <row r="59">
          <cell r="A59" t="str">
            <v>コットン2号</v>
          </cell>
        </row>
        <row r="60">
          <cell r="A60" t="str">
            <v>コットン2号</v>
          </cell>
        </row>
        <row r="61">
          <cell r="A61" t="str">
            <v>コットン2号</v>
          </cell>
        </row>
        <row r="62">
          <cell r="A62" t="str">
            <v>新コットン３号</v>
          </cell>
        </row>
        <row r="63">
          <cell r="A63" t="str">
            <v>新コットン３号</v>
          </cell>
        </row>
        <row r="64">
          <cell r="A64" t="str">
            <v>新コットン３号</v>
          </cell>
        </row>
        <row r="65">
          <cell r="A65" t="str">
            <v>新コットン３号</v>
          </cell>
        </row>
        <row r="66">
          <cell r="A66" t="str">
            <v>新コットン３号</v>
          </cell>
        </row>
        <row r="67">
          <cell r="A67" t="str">
            <v>新コットン３号</v>
          </cell>
        </row>
        <row r="68">
          <cell r="A68" t="str">
            <v>新コットン３号</v>
          </cell>
        </row>
        <row r="69">
          <cell r="A69" t="str">
            <v>新コットン３号</v>
          </cell>
        </row>
        <row r="70">
          <cell r="A70" t="str">
            <v>新コットン３号</v>
          </cell>
        </row>
        <row r="71">
          <cell r="A71" t="str">
            <v>新コットン３号</v>
          </cell>
        </row>
        <row r="72">
          <cell r="A72" t="str">
            <v>新コットン３号</v>
          </cell>
        </row>
        <row r="73">
          <cell r="A73" t="str">
            <v>新コットン３号</v>
          </cell>
        </row>
        <row r="74">
          <cell r="A74" t="str">
            <v>新コットン３号</v>
          </cell>
        </row>
        <row r="75">
          <cell r="A75" t="str">
            <v>新コットン３号</v>
          </cell>
        </row>
        <row r="76">
          <cell r="A76" t="str">
            <v>新コットン３号</v>
          </cell>
        </row>
        <row r="77">
          <cell r="A77" t="str">
            <v>新コットン３号</v>
          </cell>
        </row>
        <row r="78">
          <cell r="A78" t="str">
            <v>新コットン３号</v>
          </cell>
        </row>
        <row r="79">
          <cell r="A79" t="str">
            <v>新コットン３号</v>
          </cell>
        </row>
        <row r="80">
          <cell r="A80" t="str">
            <v>新コットン３号</v>
          </cell>
        </row>
        <row r="81">
          <cell r="A81" t="str">
            <v>新コットン３号</v>
          </cell>
        </row>
        <row r="82">
          <cell r="A82" t="str">
            <v>新コットン３号</v>
          </cell>
        </row>
        <row r="83">
          <cell r="A83" t="str">
            <v>新コットン３号</v>
          </cell>
        </row>
        <row r="84">
          <cell r="A84" t="str">
            <v>新コットン３号</v>
          </cell>
        </row>
        <row r="85">
          <cell r="A85" t="str">
            <v>新コットン３号</v>
          </cell>
        </row>
        <row r="86">
          <cell r="A86" t="str">
            <v>新コットン３号</v>
          </cell>
        </row>
        <row r="87">
          <cell r="A87" t="str">
            <v>新コットン３号</v>
          </cell>
        </row>
        <row r="88">
          <cell r="A88" t="str">
            <v>新コットン３号</v>
          </cell>
        </row>
        <row r="89">
          <cell r="A89" t="str">
            <v>新コットン３号</v>
          </cell>
        </row>
        <row r="90">
          <cell r="A90" t="str">
            <v>新コットン３号</v>
          </cell>
        </row>
        <row r="91">
          <cell r="A91" t="str">
            <v>新コットン３号</v>
          </cell>
        </row>
        <row r="92">
          <cell r="A92" t="str">
            <v>パウダーオン２号</v>
          </cell>
        </row>
        <row r="93">
          <cell r="A93" t="str">
            <v>パウダーオン２号</v>
          </cell>
        </row>
        <row r="94">
          <cell r="A94" t="str">
            <v>パウダーオン２号</v>
          </cell>
        </row>
        <row r="95">
          <cell r="A95" t="str">
            <v>パウダーオン２号</v>
          </cell>
        </row>
        <row r="96">
          <cell r="A96" t="str">
            <v>パウダーオン２号</v>
          </cell>
        </row>
        <row r="97">
          <cell r="A97" t="str">
            <v>パウダーオン２号</v>
          </cell>
        </row>
        <row r="98">
          <cell r="A98" t="str">
            <v>パウダーオン２号</v>
          </cell>
        </row>
        <row r="99">
          <cell r="A99" t="str">
            <v>パウダーオン２号</v>
          </cell>
        </row>
        <row r="100">
          <cell r="A100" t="str">
            <v>パウダーオン２号</v>
          </cell>
        </row>
        <row r="101">
          <cell r="A101" t="str">
            <v>パウダーオン２号</v>
          </cell>
        </row>
        <row r="102">
          <cell r="A102" t="str">
            <v>パウダーオン２号</v>
          </cell>
        </row>
        <row r="103">
          <cell r="A103" t="str">
            <v>パウダーオン２号</v>
          </cell>
        </row>
        <row r="104">
          <cell r="A104" t="str">
            <v>パウダーオン２号</v>
          </cell>
        </row>
        <row r="105">
          <cell r="A105" t="str">
            <v>パウダーオン２号</v>
          </cell>
        </row>
        <row r="106">
          <cell r="A106" t="str">
            <v>パウダーオン２号</v>
          </cell>
        </row>
        <row r="107">
          <cell r="A107" t="str">
            <v>パウダーオン２号</v>
          </cell>
        </row>
        <row r="108">
          <cell r="A108" t="str">
            <v>パウダーオン２号</v>
          </cell>
        </row>
        <row r="109">
          <cell r="A109" t="str">
            <v>パウダーオン２号</v>
          </cell>
        </row>
        <row r="110">
          <cell r="A110" t="str">
            <v>パウダーオン２号</v>
          </cell>
        </row>
        <row r="111">
          <cell r="A111" t="str">
            <v>パウダーオン２号</v>
          </cell>
        </row>
        <row r="112">
          <cell r="A112" t="str">
            <v>パウダーオン２号</v>
          </cell>
        </row>
        <row r="113">
          <cell r="A113" t="str">
            <v>パウダーオン２号</v>
          </cell>
        </row>
        <row r="114">
          <cell r="A114" t="str">
            <v>パウダーオン２号</v>
          </cell>
        </row>
        <row r="115">
          <cell r="A115" t="str">
            <v>パウダーオン２号</v>
          </cell>
        </row>
        <row r="116">
          <cell r="A116" t="str">
            <v>パウダーオン２号</v>
          </cell>
        </row>
        <row r="117">
          <cell r="A117" t="str">
            <v>パウダーオン２号</v>
          </cell>
        </row>
        <row r="118">
          <cell r="A118" t="str">
            <v>パウダーオン２号</v>
          </cell>
        </row>
        <row r="119">
          <cell r="A119" t="str">
            <v>パウダーオン２号</v>
          </cell>
        </row>
        <row r="120">
          <cell r="A120" t="str">
            <v>パウダーオン２号</v>
          </cell>
        </row>
        <row r="121">
          <cell r="A121" t="str">
            <v>パウダーオン２号</v>
          </cell>
        </row>
        <row r="122">
          <cell r="A122" t="str">
            <v>パウダーオン３号</v>
          </cell>
        </row>
        <row r="123">
          <cell r="A123" t="str">
            <v>パウダーオン３号</v>
          </cell>
        </row>
        <row r="124">
          <cell r="A124" t="str">
            <v>パウダーオン３号</v>
          </cell>
        </row>
        <row r="125">
          <cell r="A125" t="str">
            <v>パウダーオン３号</v>
          </cell>
        </row>
        <row r="126">
          <cell r="A126" t="str">
            <v>パウダーオン３号</v>
          </cell>
        </row>
        <row r="127">
          <cell r="A127" t="str">
            <v>パウダーオン３号</v>
          </cell>
        </row>
        <row r="128">
          <cell r="A128" t="str">
            <v>パウダーオン３号</v>
          </cell>
        </row>
        <row r="129">
          <cell r="A129" t="str">
            <v>パウダーオン３号</v>
          </cell>
        </row>
        <row r="130">
          <cell r="A130" t="str">
            <v>パウダーオン３号</v>
          </cell>
        </row>
        <row r="131">
          <cell r="A131" t="str">
            <v>パウダーオン３号</v>
          </cell>
        </row>
        <row r="132">
          <cell r="A132" t="str">
            <v>パウダーオン３号</v>
          </cell>
        </row>
        <row r="133">
          <cell r="A133" t="str">
            <v>パウダーオン３号</v>
          </cell>
        </row>
        <row r="134">
          <cell r="A134" t="str">
            <v>パウダーオン３号</v>
          </cell>
        </row>
        <row r="135">
          <cell r="A135" t="str">
            <v>パウダーオン３号</v>
          </cell>
        </row>
        <row r="136">
          <cell r="A136" t="str">
            <v>パウダーオン３号</v>
          </cell>
        </row>
        <row r="137">
          <cell r="A137" t="str">
            <v>パウダーオン３号</v>
          </cell>
        </row>
        <row r="138">
          <cell r="A138" t="str">
            <v>パウダーオン３号</v>
          </cell>
        </row>
        <row r="139">
          <cell r="A139" t="str">
            <v>パウダーオン３号</v>
          </cell>
        </row>
        <row r="140">
          <cell r="A140" t="str">
            <v>パウダーオン３号</v>
          </cell>
        </row>
        <row r="141">
          <cell r="A141" t="str">
            <v>パウダーオン３号</v>
          </cell>
        </row>
        <row r="142">
          <cell r="A142" t="str">
            <v>パウダーオン３号</v>
          </cell>
        </row>
        <row r="143">
          <cell r="A143" t="str">
            <v>パウダーオン３号</v>
          </cell>
        </row>
        <row r="144">
          <cell r="A144" t="str">
            <v>パウダーオン３号</v>
          </cell>
        </row>
        <row r="145">
          <cell r="A145" t="str">
            <v>パウダーオン３号</v>
          </cell>
        </row>
        <row r="146">
          <cell r="A146" t="str">
            <v>パウダーオン３号</v>
          </cell>
        </row>
        <row r="147">
          <cell r="A147" t="str">
            <v>パウダーオン３号</v>
          </cell>
        </row>
        <row r="148">
          <cell r="A148" t="str">
            <v>パウダーオン３号</v>
          </cell>
        </row>
        <row r="149">
          <cell r="A149" t="str">
            <v>パウダーオン３号</v>
          </cell>
        </row>
        <row r="150">
          <cell r="A150" t="str">
            <v>パウダーオン３号</v>
          </cell>
        </row>
        <row r="151">
          <cell r="A151" t="str">
            <v>パウダーオン３号</v>
          </cell>
        </row>
        <row r="152">
          <cell r="A152" t="str">
            <v>コットン１号</v>
          </cell>
        </row>
        <row r="153">
          <cell r="A153" t="str">
            <v>コットン１号</v>
          </cell>
        </row>
        <row r="154">
          <cell r="A154" t="str">
            <v>コットン１号</v>
          </cell>
        </row>
        <row r="155">
          <cell r="A155" t="str">
            <v>コットン１号</v>
          </cell>
        </row>
        <row r="156">
          <cell r="A156" t="str">
            <v>コットン１号</v>
          </cell>
        </row>
        <row r="157">
          <cell r="A157" t="str">
            <v>コットン１号</v>
          </cell>
        </row>
        <row r="158">
          <cell r="A158" t="str">
            <v>コットン１号</v>
          </cell>
        </row>
        <row r="159">
          <cell r="A159" t="str">
            <v>コットン１号</v>
          </cell>
        </row>
        <row r="160">
          <cell r="A160" t="str">
            <v>コットン１号</v>
          </cell>
        </row>
        <row r="161">
          <cell r="A161" t="str">
            <v>コットン１号</v>
          </cell>
        </row>
        <row r="162">
          <cell r="A162" t="str">
            <v>コットン１号</v>
          </cell>
        </row>
        <row r="163">
          <cell r="A163" t="str">
            <v>コットン１号</v>
          </cell>
        </row>
        <row r="164">
          <cell r="A164" t="str">
            <v>コットン１号</v>
          </cell>
        </row>
        <row r="165">
          <cell r="A165" t="str">
            <v>コットン１号</v>
          </cell>
        </row>
        <row r="166">
          <cell r="A166" t="str">
            <v>コットン１号</v>
          </cell>
        </row>
        <row r="167">
          <cell r="A167" t="str">
            <v>コットン１号</v>
          </cell>
        </row>
        <row r="168">
          <cell r="A168" t="str">
            <v>コットン１号</v>
          </cell>
        </row>
        <row r="169">
          <cell r="A169" t="str">
            <v>コットン１号</v>
          </cell>
        </row>
        <row r="170">
          <cell r="A170" t="str">
            <v>コットン１号</v>
          </cell>
        </row>
        <row r="171">
          <cell r="A171" t="str">
            <v>コットン１号</v>
          </cell>
        </row>
        <row r="172">
          <cell r="A172" t="str">
            <v>コットン１号</v>
          </cell>
        </row>
        <row r="173">
          <cell r="A173" t="str">
            <v>コットン１号</v>
          </cell>
        </row>
        <row r="174">
          <cell r="A174" t="str">
            <v>コットン１号</v>
          </cell>
        </row>
        <row r="175">
          <cell r="A175" t="str">
            <v>コットン１号</v>
          </cell>
        </row>
        <row r="176">
          <cell r="A176" t="str">
            <v>コットン１号</v>
          </cell>
        </row>
        <row r="177">
          <cell r="A177" t="str">
            <v>コットン１号</v>
          </cell>
        </row>
        <row r="178">
          <cell r="A178" t="str">
            <v>コットン１号</v>
          </cell>
        </row>
        <row r="179">
          <cell r="A179" t="str">
            <v>コットン１号</v>
          </cell>
        </row>
        <row r="180">
          <cell r="A180" t="str">
            <v>コットン１号</v>
          </cell>
        </row>
        <row r="181">
          <cell r="A181" t="str">
            <v>コットン１号</v>
          </cell>
        </row>
        <row r="182">
          <cell r="A182" t="str">
            <v>コットン１号</v>
          </cell>
        </row>
        <row r="183">
          <cell r="A183" t="str">
            <v>コットン2号</v>
          </cell>
        </row>
        <row r="184">
          <cell r="A184" t="str">
            <v>コットン2号</v>
          </cell>
        </row>
        <row r="185">
          <cell r="A185" t="str">
            <v>コットン2号</v>
          </cell>
        </row>
        <row r="186">
          <cell r="A186" t="str">
            <v>コットン2号</v>
          </cell>
        </row>
        <row r="187">
          <cell r="A187" t="str">
            <v>コットン2号</v>
          </cell>
        </row>
        <row r="188">
          <cell r="A188" t="str">
            <v>コットン2号</v>
          </cell>
        </row>
        <row r="189">
          <cell r="A189" t="str">
            <v>コットン2号</v>
          </cell>
        </row>
        <row r="190">
          <cell r="A190" t="str">
            <v>コットン2号</v>
          </cell>
        </row>
        <row r="191">
          <cell r="A191" t="str">
            <v>コットン2号</v>
          </cell>
        </row>
        <row r="192">
          <cell r="A192" t="str">
            <v>コットン2号</v>
          </cell>
        </row>
        <row r="193">
          <cell r="A193" t="str">
            <v>コットン2号</v>
          </cell>
        </row>
        <row r="194">
          <cell r="A194" t="str">
            <v>コットン2号</v>
          </cell>
        </row>
        <row r="195">
          <cell r="A195" t="str">
            <v>コットン2号</v>
          </cell>
        </row>
        <row r="196">
          <cell r="A196" t="str">
            <v>コットン2号</v>
          </cell>
        </row>
        <row r="197">
          <cell r="A197" t="str">
            <v>コットン2号</v>
          </cell>
        </row>
        <row r="198">
          <cell r="A198" t="str">
            <v>コットン2号</v>
          </cell>
        </row>
        <row r="199">
          <cell r="A199" t="str">
            <v>コットン2号</v>
          </cell>
        </row>
        <row r="200">
          <cell r="A200" t="str">
            <v>コットン2号</v>
          </cell>
        </row>
        <row r="201">
          <cell r="A201" t="str">
            <v>コットン2号</v>
          </cell>
        </row>
        <row r="202">
          <cell r="A202" t="str">
            <v>コットン2号</v>
          </cell>
        </row>
        <row r="203">
          <cell r="A203" t="str">
            <v>コットン2号</v>
          </cell>
        </row>
        <row r="204">
          <cell r="A204" t="str">
            <v>コットン2号</v>
          </cell>
        </row>
        <row r="205">
          <cell r="A205" t="str">
            <v>コットン2号</v>
          </cell>
        </row>
        <row r="206">
          <cell r="A206" t="str">
            <v>コットン2号</v>
          </cell>
        </row>
        <row r="207">
          <cell r="A207" t="str">
            <v>コットン2号</v>
          </cell>
        </row>
        <row r="208">
          <cell r="A208" t="str">
            <v>コットン2号</v>
          </cell>
        </row>
        <row r="209">
          <cell r="A209" t="str">
            <v>コットン2号</v>
          </cell>
        </row>
        <row r="210">
          <cell r="A210" t="str">
            <v>コットン2号</v>
          </cell>
        </row>
        <row r="211">
          <cell r="A211" t="str">
            <v>コットン2号</v>
          </cell>
        </row>
        <row r="212">
          <cell r="A212" t="str">
            <v>コットン2号</v>
          </cell>
        </row>
        <row r="213">
          <cell r="A213" t="str">
            <v>コットン2号</v>
          </cell>
        </row>
        <row r="214">
          <cell r="A214" t="str">
            <v>新コットン３号</v>
          </cell>
        </row>
        <row r="215">
          <cell r="A215" t="str">
            <v>新コットン３号</v>
          </cell>
        </row>
        <row r="216">
          <cell r="A216" t="str">
            <v>新コットン３号</v>
          </cell>
        </row>
        <row r="217">
          <cell r="A217" t="str">
            <v>新コットン３号</v>
          </cell>
        </row>
        <row r="218">
          <cell r="A218" t="str">
            <v>新コットン３号</v>
          </cell>
        </row>
        <row r="219">
          <cell r="A219" t="str">
            <v>新コットン３号</v>
          </cell>
        </row>
        <row r="220">
          <cell r="A220" t="str">
            <v>新コットン３号</v>
          </cell>
        </row>
        <row r="221">
          <cell r="A221" t="str">
            <v>新コットン３号</v>
          </cell>
        </row>
        <row r="222">
          <cell r="A222" t="str">
            <v>新コットン３号</v>
          </cell>
        </row>
        <row r="223">
          <cell r="A223" t="str">
            <v>新コットン３号</v>
          </cell>
        </row>
        <row r="224">
          <cell r="A224" t="str">
            <v>新コットン３号</v>
          </cell>
        </row>
        <row r="225">
          <cell r="A225" t="str">
            <v>新コットン３号</v>
          </cell>
        </row>
        <row r="226">
          <cell r="A226" t="str">
            <v>新コットン３号</v>
          </cell>
        </row>
        <row r="227">
          <cell r="A227" t="str">
            <v>新コットン３号</v>
          </cell>
        </row>
        <row r="228">
          <cell r="A228" t="str">
            <v>新コットン３号</v>
          </cell>
        </row>
        <row r="229">
          <cell r="A229" t="str">
            <v>新コットン３号</v>
          </cell>
        </row>
        <row r="230">
          <cell r="A230" t="str">
            <v>新コットン３号</v>
          </cell>
        </row>
        <row r="231">
          <cell r="A231" t="str">
            <v>新コットン３号</v>
          </cell>
        </row>
        <row r="232">
          <cell r="A232" t="str">
            <v>新コットン３号</v>
          </cell>
        </row>
        <row r="233">
          <cell r="A233" t="str">
            <v>新コットン３号</v>
          </cell>
        </row>
        <row r="234">
          <cell r="A234" t="str">
            <v>新コットン３号</v>
          </cell>
        </row>
        <row r="235">
          <cell r="A235" t="str">
            <v>新コットン３号</v>
          </cell>
        </row>
        <row r="236">
          <cell r="A236" t="str">
            <v>新コットン３号</v>
          </cell>
        </row>
        <row r="237">
          <cell r="A237" t="str">
            <v>新コットン３号</v>
          </cell>
        </row>
        <row r="238">
          <cell r="A238" t="str">
            <v>新コットン３号</v>
          </cell>
        </row>
        <row r="239">
          <cell r="A239" t="str">
            <v>新コットン３号</v>
          </cell>
        </row>
        <row r="240">
          <cell r="A240" t="str">
            <v>新コットン３号</v>
          </cell>
        </row>
        <row r="241">
          <cell r="A241" t="str">
            <v>新コットン３号</v>
          </cell>
        </row>
        <row r="242">
          <cell r="A242" t="str">
            <v>新コットン３号</v>
          </cell>
        </row>
        <row r="243">
          <cell r="A243" t="str">
            <v>新コットン３号</v>
          </cell>
        </row>
        <row r="244">
          <cell r="A244" t="str">
            <v>新コットン３号</v>
          </cell>
        </row>
        <row r="245">
          <cell r="A245" t="str">
            <v>パウダーオン２号</v>
          </cell>
        </row>
        <row r="246">
          <cell r="A246" t="str">
            <v>パウダーオン２号</v>
          </cell>
        </row>
        <row r="247">
          <cell r="A247" t="str">
            <v>パウダーオン２号</v>
          </cell>
        </row>
        <row r="248">
          <cell r="A248" t="str">
            <v>パウダーオン２号</v>
          </cell>
        </row>
        <row r="249">
          <cell r="A249" t="str">
            <v>パウダーオン２号</v>
          </cell>
        </row>
        <row r="250">
          <cell r="A250" t="str">
            <v>パウダーオン２号</v>
          </cell>
        </row>
        <row r="251">
          <cell r="A251" t="str">
            <v>パウダーオン２号</v>
          </cell>
        </row>
        <row r="252">
          <cell r="A252" t="str">
            <v>パウダーオン２号</v>
          </cell>
        </row>
        <row r="253">
          <cell r="A253" t="str">
            <v>パウダーオン２号</v>
          </cell>
        </row>
        <row r="254">
          <cell r="A254" t="str">
            <v>パウダーオン２号</v>
          </cell>
        </row>
        <row r="255">
          <cell r="A255" t="str">
            <v>パウダーオン２号</v>
          </cell>
        </row>
        <row r="256">
          <cell r="A256" t="str">
            <v>パウダーオン２号</v>
          </cell>
        </row>
        <row r="257">
          <cell r="A257" t="str">
            <v>パウダーオン２号</v>
          </cell>
        </row>
        <row r="258">
          <cell r="A258" t="str">
            <v>パウダーオン２号</v>
          </cell>
        </row>
        <row r="259">
          <cell r="A259" t="str">
            <v>パウダーオン２号</v>
          </cell>
        </row>
        <row r="260">
          <cell r="A260" t="str">
            <v>パウダーオン２号</v>
          </cell>
        </row>
        <row r="261">
          <cell r="A261" t="str">
            <v>パウダーオン２号</v>
          </cell>
        </row>
        <row r="262">
          <cell r="A262" t="str">
            <v>パウダーオン２号</v>
          </cell>
        </row>
        <row r="263">
          <cell r="A263" t="str">
            <v>パウダーオン２号</v>
          </cell>
        </row>
        <row r="264">
          <cell r="A264" t="str">
            <v>パウダーオン２号</v>
          </cell>
        </row>
        <row r="265">
          <cell r="A265" t="str">
            <v>パウダーオン２号</v>
          </cell>
        </row>
        <row r="266">
          <cell r="A266" t="str">
            <v>パウダーオン２号</v>
          </cell>
        </row>
        <row r="267">
          <cell r="A267" t="str">
            <v>パウダーオン２号</v>
          </cell>
        </row>
        <row r="268">
          <cell r="A268" t="str">
            <v>パウダーオン２号</v>
          </cell>
        </row>
        <row r="269">
          <cell r="A269" t="str">
            <v>パウダーオン２号</v>
          </cell>
        </row>
        <row r="270">
          <cell r="A270" t="str">
            <v>パウダーオン２号</v>
          </cell>
        </row>
        <row r="271">
          <cell r="A271" t="str">
            <v>パウダーオン２号</v>
          </cell>
        </row>
        <row r="272">
          <cell r="A272" t="str">
            <v>パウダーオン２号</v>
          </cell>
        </row>
        <row r="273">
          <cell r="A273" t="str">
            <v>パウダーオン２号</v>
          </cell>
        </row>
        <row r="274">
          <cell r="A274" t="str">
            <v>パウダーオン２号</v>
          </cell>
        </row>
        <row r="275">
          <cell r="A275" t="str">
            <v>パウダーオン２号</v>
          </cell>
        </row>
        <row r="276">
          <cell r="A276" t="str">
            <v>パウダーオン３号</v>
          </cell>
        </row>
        <row r="277">
          <cell r="A277" t="str">
            <v>パウダーオン３号</v>
          </cell>
        </row>
        <row r="278">
          <cell r="A278" t="str">
            <v>パウダーオン３号</v>
          </cell>
        </row>
        <row r="279">
          <cell r="A279" t="str">
            <v>パウダーオン３号</v>
          </cell>
        </row>
        <row r="280">
          <cell r="A280" t="str">
            <v>パウダーオン３号</v>
          </cell>
        </row>
        <row r="281">
          <cell r="A281" t="str">
            <v>パウダーオン３号</v>
          </cell>
        </row>
        <row r="282">
          <cell r="A282" t="str">
            <v>パウダーオン３号</v>
          </cell>
        </row>
        <row r="283">
          <cell r="A283" t="str">
            <v>パウダーオン３号</v>
          </cell>
        </row>
        <row r="284">
          <cell r="A284" t="str">
            <v>パウダーオン３号</v>
          </cell>
        </row>
        <row r="285">
          <cell r="A285" t="str">
            <v>パウダーオン３号</v>
          </cell>
        </row>
        <row r="286">
          <cell r="A286" t="str">
            <v>パウダーオン３号</v>
          </cell>
        </row>
        <row r="287">
          <cell r="A287" t="str">
            <v>パウダーオン３号</v>
          </cell>
        </row>
        <row r="288">
          <cell r="A288" t="str">
            <v>パウダーオン３号</v>
          </cell>
        </row>
        <row r="289">
          <cell r="A289" t="str">
            <v>パウダーオン３号</v>
          </cell>
        </row>
        <row r="290">
          <cell r="A290" t="str">
            <v>パウダーオン３号</v>
          </cell>
        </row>
        <row r="291">
          <cell r="A291" t="str">
            <v>パウダーオン３号</v>
          </cell>
        </row>
        <row r="292">
          <cell r="A292" t="str">
            <v>パウダーオン３号</v>
          </cell>
        </row>
        <row r="293">
          <cell r="A293" t="str">
            <v>パウダーオン３号</v>
          </cell>
        </row>
        <row r="294">
          <cell r="A294" t="str">
            <v>パウダーオン３号</v>
          </cell>
        </row>
        <row r="295">
          <cell r="A295" t="str">
            <v>パウダーオン３号</v>
          </cell>
        </row>
        <row r="296">
          <cell r="A296" t="str">
            <v>パウダーオン３号</v>
          </cell>
        </row>
        <row r="297">
          <cell r="A297" t="str">
            <v>パウダーオン３号</v>
          </cell>
        </row>
        <row r="298">
          <cell r="A298" t="str">
            <v>パウダーオン３号</v>
          </cell>
        </row>
        <row r="299">
          <cell r="A299" t="str">
            <v>パウダーオン３号</v>
          </cell>
        </row>
        <row r="300">
          <cell r="A300" t="str">
            <v>パウダーオン３号</v>
          </cell>
        </row>
        <row r="301">
          <cell r="A301" t="str">
            <v>パウダーオン３号</v>
          </cell>
        </row>
        <row r="302">
          <cell r="A302" t="str">
            <v>パウダーオン３号</v>
          </cell>
        </row>
        <row r="303">
          <cell r="A303" t="str">
            <v>パウダーオン３号</v>
          </cell>
        </row>
        <row r="304">
          <cell r="A304" t="str">
            <v>パウダーオン３号</v>
          </cell>
        </row>
        <row r="305">
          <cell r="A305" t="str">
            <v>パウダーオン３号</v>
          </cell>
        </row>
        <row r="306">
          <cell r="A306" t="str">
            <v>パウダーオン３号</v>
          </cell>
        </row>
        <row r="307">
          <cell r="A307" t="str">
            <v>コットン１号</v>
          </cell>
        </row>
        <row r="308">
          <cell r="A308" t="str">
            <v>コットン１号</v>
          </cell>
        </row>
        <row r="309">
          <cell r="A309" t="str">
            <v>コットン１号</v>
          </cell>
        </row>
        <row r="310">
          <cell r="A310" t="str">
            <v>コットン１号</v>
          </cell>
        </row>
        <row r="311">
          <cell r="A311" t="str">
            <v>コットン１号</v>
          </cell>
        </row>
        <row r="312">
          <cell r="A312" t="str">
            <v>コットン１号</v>
          </cell>
        </row>
        <row r="313">
          <cell r="A313" t="str">
            <v>コットン１号</v>
          </cell>
        </row>
        <row r="314">
          <cell r="A314" t="str">
            <v>コットン１号</v>
          </cell>
        </row>
        <row r="315">
          <cell r="A315" t="str">
            <v>コットン１号</v>
          </cell>
        </row>
        <row r="316">
          <cell r="A316" t="str">
            <v>コットン１号</v>
          </cell>
        </row>
        <row r="317">
          <cell r="A317" t="str">
            <v>コットン１号</v>
          </cell>
        </row>
        <row r="318">
          <cell r="A318" t="str">
            <v>コットン１号</v>
          </cell>
        </row>
        <row r="319">
          <cell r="A319" t="str">
            <v>コットン１号</v>
          </cell>
        </row>
        <row r="320">
          <cell r="A320" t="str">
            <v>コットン１号</v>
          </cell>
        </row>
        <row r="321">
          <cell r="A321" t="str">
            <v>コットン１号</v>
          </cell>
        </row>
        <row r="322">
          <cell r="A322" t="str">
            <v>コットン１号</v>
          </cell>
        </row>
        <row r="323">
          <cell r="A323" t="str">
            <v>コットン１号</v>
          </cell>
        </row>
        <row r="324">
          <cell r="A324" t="str">
            <v>コットン１号</v>
          </cell>
        </row>
        <row r="325">
          <cell r="A325" t="str">
            <v>コットン１号</v>
          </cell>
        </row>
        <row r="326">
          <cell r="A326" t="str">
            <v>コットン１号</v>
          </cell>
        </row>
        <row r="327">
          <cell r="A327" t="str">
            <v>コットン１号</v>
          </cell>
        </row>
        <row r="328">
          <cell r="A328" t="str">
            <v>コットン１号</v>
          </cell>
        </row>
        <row r="329">
          <cell r="A329" t="str">
            <v>コットン１号</v>
          </cell>
        </row>
        <row r="330">
          <cell r="A330" t="str">
            <v>コットン１号</v>
          </cell>
        </row>
        <row r="331">
          <cell r="A331" t="str">
            <v>コットン１号</v>
          </cell>
        </row>
        <row r="332">
          <cell r="A332" t="str">
            <v>コットン１号</v>
          </cell>
        </row>
        <row r="333">
          <cell r="A333" t="str">
            <v>コットン１号</v>
          </cell>
        </row>
        <row r="334">
          <cell r="A334" t="str">
            <v>コットン１号</v>
          </cell>
        </row>
        <row r="335">
          <cell r="A335" t="str">
            <v>コットン１号</v>
          </cell>
        </row>
        <row r="336">
          <cell r="A336" t="str">
            <v>コットン１号</v>
          </cell>
        </row>
        <row r="337">
          <cell r="A337" t="str">
            <v>コットン2号</v>
          </cell>
        </row>
        <row r="338">
          <cell r="A338" t="str">
            <v>コットン2号</v>
          </cell>
        </row>
        <row r="339">
          <cell r="A339" t="str">
            <v>コットン2号</v>
          </cell>
        </row>
        <row r="340">
          <cell r="A340" t="str">
            <v>コットン2号</v>
          </cell>
        </row>
        <row r="341">
          <cell r="A341" t="str">
            <v>コットン2号</v>
          </cell>
        </row>
        <row r="342">
          <cell r="A342" t="str">
            <v>コットン2号</v>
          </cell>
        </row>
        <row r="343">
          <cell r="A343" t="str">
            <v>コットン2号</v>
          </cell>
        </row>
        <row r="344">
          <cell r="A344" t="str">
            <v>コットン2号</v>
          </cell>
        </row>
        <row r="345">
          <cell r="A345" t="str">
            <v>コットン2号</v>
          </cell>
        </row>
        <row r="346">
          <cell r="A346" t="str">
            <v>コットン2号</v>
          </cell>
        </row>
        <row r="347">
          <cell r="A347" t="str">
            <v>コットン2号</v>
          </cell>
        </row>
        <row r="348">
          <cell r="A348" t="str">
            <v>コットン2号</v>
          </cell>
        </row>
        <row r="349">
          <cell r="A349" t="str">
            <v>コットン2号</v>
          </cell>
        </row>
        <row r="350">
          <cell r="A350" t="str">
            <v>コットン2号</v>
          </cell>
        </row>
        <row r="351">
          <cell r="A351" t="str">
            <v>コットン2号</v>
          </cell>
        </row>
        <row r="352">
          <cell r="A352" t="str">
            <v>コットン2号</v>
          </cell>
        </row>
        <row r="353">
          <cell r="A353" t="str">
            <v>コットン2号</v>
          </cell>
        </row>
        <row r="354">
          <cell r="A354" t="str">
            <v>コットン2号</v>
          </cell>
        </row>
        <row r="355">
          <cell r="A355" t="str">
            <v>コットン2号</v>
          </cell>
        </row>
        <row r="356">
          <cell r="A356" t="str">
            <v>コットン2号</v>
          </cell>
        </row>
        <row r="357">
          <cell r="A357" t="str">
            <v>コットン2号</v>
          </cell>
        </row>
        <row r="358">
          <cell r="A358" t="str">
            <v>コットン2号</v>
          </cell>
        </row>
        <row r="359">
          <cell r="A359" t="str">
            <v>コットン2号</v>
          </cell>
        </row>
        <row r="360">
          <cell r="A360" t="str">
            <v>コットン2号</v>
          </cell>
        </row>
        <row r="361">
          <cell r="A361" t="str">
            <v>コットン2号</v>
          </cell>
        </row>
        <row r="362">
          <cell r="A362" t="str">
            <v>コットン2号</v>
          </cell>
        </row>
        <row r="363">
          <cell r="A363" t="str">
            <v>コットン2号</v>
          </cell>
        </row>
        <row r="364">
          <cell r="A364" t="str">
            <v>コットン2号</v>
          </cell>
        </row>
        <row r="365">
          <cell r="A365" t="str">
            <v>コットン2号</v>
          </cell>
        </row>
        <row r="366">
          <cell r="A366" t="str">
            <v>コットン2号</v>
          </cell>
        </row>
        <row r="367">
          <cell r="A367" t="str">
            <v>新コットン３号</v>
          </cell>
        </row>
        <row r="368">
          <cell r="A368" t="str">
            <v>新コットン３号</v>
          </cell>
        </row>
        <row r="369">
          <cell r="A369" t="str">
            <v>新コットン３号</v>
          </cell>
        </row>
        <row r="370">
          <cell r="A370" t="str">
            <v>新コットン３号</v>
          </cell>
        </row>
        <row r="371">
          <cell r="A371" t="str">
            <v>新コットン３号</v>
          </cell>
        </row>
        <row r="372">
          <cell r="A372" t="str">
            <v>新コットン３号</v>
          </cell>
        </row>
        <row r="373">
          <cell r="A373" t="str">
            <v>新コットン３号</v>
          </cell>
        </row>
        <row r="374">
          <cell r="A374" t="str">
            <v>新コットン３号</v>
          </cell>
        </row>
        <row r="375">
          <cell r="A375" t="str">
            <v>新コットン３号</v>
          </cell>
        </row>
        <row r="376">
          <cell r="A376" t="str">
            <v>新コットン３号</v>
          </cell>
        </row>
        <row r="377">
          <cell r="A377" t="str">
            <v>新コットン３号</v>
          </cell>
        </row>
        <row r="378">
          <cell r="A378" t="str">
            <v>新コットン３号</v>
          </cell>
        </row>
        <row r="379">
          <cell r="A379" t="str">
            <v>新コットン３号</v>
          </cell>
        </row>
        <row r="380">
          <cell r="A380" t="str">
            <v>新コットン３号</v>
          </cell>
        </row>
        <row r="381">
          <cell r="A381" t="str">
            <v>新コットン３号</v>
          </cell>
        </row>
        <row r="382">
          <cell r="A382" t="str">
            <v>新コットン３号</v>
          </cell>
        </row>
        <row r="383">
          <cell r="A383" t="str">
            <v>新コットン３号</v>
          </cell>
        </row>
        <row r="384">
          <cell r="A384" t="str">
            <v>新コットン３号</v>
          </cell>
        </row>
        <row r="385">
          <cell r="A385" t="str">
            <v>新コットン３号</v>
          </cell>
        </row>
        <row r="386">
          <cell r="A386" t="str">
            <v>新コットン３号</v>
          </cell>
        </row>
        <row r="387">
          <cell r="A387" t="str">
            <v>新コットン３号</v>
          </cell>
        </row>
        <row r="388">
          <cell r="A388" t="str">
            <v>新コットン３号</v>
          </cell>
        </row>
        <row r="389">
          <cell r="A389" t="str">
            <v>新コットン３号</v>
          </cell>
        </row>
        <row r="390">
          <cell r="A390" t="str">
            <v>新コットン３号</v>
          </cell>
        </row>
        <row r="391">
          <cell r="A391" t="str">
            <v>新コットン３号</v>
          </cell>
        </row>
        <row r="392">
          <cell r="A392" t="str">
            <v>新コットン３号</v>
          </cell>
        </row>
        <row r="393">
          <cell r="A393" t="str">
            <v>新コットン３号</v>
          </cell>
        </row>
        <row r="394">
          <cell r="A394" t="str">
            <v>新コットン３号</v>
          </cell>
        </row>
        <row r="395">
          <cell r="A395" t="str">
            <v>新コットン３号</v>
          </cell>
        </row>
        <row r="396">
          <cell r="A396" t="str">
            <v>新コットン３号</v>
          </cell>
        </row>
        <row r="397">
          <cell r="A397" t="str">
            <v>パウダーオン２号</v>
          </cell>
        </row>
        <row r="398">
          <cell r="A398" t="str">
            <v>パウダーオン２号</v>
          </cell>
        </row>
        <row r="399">
          <cell r="A399" t="str">
            <v>パウダーオン２号</v>
          </cell>
        </row>
        <row r="400">
          <cell r="A400" t="str">
            <v>パウダーオン２号</v>
          </cell>
        </row>
        <row r="401">
          <cell r="A401" t="str">
            <v>パウダーオン２号</v>
          </cell>
        </row>
        <row r="402">
          <cell r="A402" t="str">
            <v>パウダーオン２号</v>
          </cell>
        </row>
        <row r="403">
          <cell r="A403" t="str">
            <v>パウダーオン２号</v>
          </cell>
        </row>
        <row r="404">
          <cell r="A404" t="str">
            <v>パウダーオン２号</v>
          </cell>
        </row>
        <row r="405">
          <cell r="A405" t="str">
            <v>パウダーオン２号</v>
          </cell>
        </row>
        <row r="406">
          <cell r="A406" t="str">
            <v>パウダーオン２号</v>
          </cell>
        </row>
        <row r="407">
          <cell r="A407" t="str">
            <v>パウダーオン２号</v>
          </cell>
        </row>
        <row r="408">
          <cell r="A408" t="str">
            <v>パウダーオン２号</v>
          </cell>
        </row>
        <row r="409">
          <cell r="A409" t="str">
            <v>パウダーオン２号</v>
          </cell>
        </row>
        <row r="410">
          <cell r="A410" t="str">
            <v>パウダーオン２号</v>
          </cell>
        </row>
        <row r="411">
          <cell r="A411" t="str">
            <v>パウダーオン２号</v>
          </cell>
        </row>
        <row r="412">
          <cell r="A412" t="str">
            <v>パウダーオン２号</v>
          </cell>
        </row>
        <row r="413">
          <cell r="A413" t="str">
            <v>パウダーオン２号</v>
          </cell>
        </row>
        <row r="414">
          <cell r="A414" t="str">
            <v>パウダーオン２号</v>
          </cell>
        </row>
        <row r="415">
          <cell r="A415" t="str">
            <v>パウダーオン２号</v>
          </cell>
        </row>
        <row r="416">
          <cell r="A416" t="str">
            <v>パウダーオン２号</v>
          </cell>
        </row>
        <row r="417">
          <cell r="A417" t="str">
            <v>パウダーオン２号</v>
          </cell>
        </row>
        <row r="418">
          <cell r="A418" t="str">
            <v>パウダーオン２号</v>
          </cell>
        </row>
        <row r="419">
          <cell r="A419" t="str">
            <v>パウダーオン２号</v>
          </cell>
        </row>
        <row r="420">
          <cell r="A420" t="str">
            <v>パウダーオン２号</v>
          </cell>
        </row>
        <row r="421">
          <cell r="A421" t="str">
            <v>パウダーオン２号</v>
          </cell>
        </row>
        <row r="422">
          <cell r="A422" t="str">
            <v>パウダーオン２号</v>
          </cell>
        </row>
        <row r="423">
          <cell r="A423" t="str">
            <v>パウダーオン２号</v>
          </cell>
        </row>
        <row r="424">
          <cell r="A424" t="str">
            <v>パウダーオン２号</v>
          </cell>
        </row>
        <row r="425">
          <cell r="A425" t="str">
            <v>パウダーオン２号</v>
          </cell>
        </row>
        <row r="426">
          <cell r="A426" t="str">
            <v>パウダーオン２号</v>
          </cell>
        </row>
        <row r="427">
          <cell r="A427" t="str">
            <v>パウダーオン３号</v>
          </cell>
        </row>
        <row r="428">
          <cell r="A428" t="str">
            <v>パウダーオン３号</v>
          </cell>
        </row>
        <row r="429">
          <cell r="A429" t="str">
            <v>パウダーオン３号</v>
          </cell>
        </row>
        <row r="430">
          <cell r="A430" t="str">
            <v>パウダーオン３号</v>
          </cell>
        </row>
        <row r="431">
          <cell r="A431" t="str">
            <v>パウダーオン３号</v>
          </cell>
        </row>
        <row r="432">
          <cell r="A432" t="str">
            <v>パウダーオン３号</v>
          </cell>
        </row>
        <row r="433">
          <cell r="A433" t="str">
            <v>パウダーオン３号</v>
          </cell>
        </row>
        <row r="434">
          <cell r="A434" t="str">
            <v>パウダーオン３号</v>
          </cell>
        </row>
        <row r="435">
          <cell r="A435" t="str">
            <v>パウダーオン３号</v>
          </cell>
        </row>
        <row r="436">
          <cell r="A436" t="str">
            <v>パウダーオン３号</v>
          </cell>
        </row>
        <row r="437">
          <cell r="A437" t="str">
            <v>パウダーオン３号</v>
          </cell>
        </row>
        <row r="438">
          <cell r="A438" t="str">
            <v>パウダーオン３号</v>
          </cell>
        </row>
        <row r="439">
          <cell r="A439" t="str">
            <v>パウダーオン３号</v>
          </cell>
        </row>
        <row r="440">
          <cell r="A440" t="str">
            <v>パウダーオン３号</v>
          </cell>
        </row>
        <row r="441">
          <cell r="A441" t="str">
            <v>パウダーオン３号</v>
          </cell>
        </row>
        <row r="442">
          <cell r="A442" t="str">
            <v>パウダーオン３号</v>
          </cell>
        </row>
        <row r="443">
          <cell r="A443" t="str">
            <v>パウダーオン３号</v>
          </cell>
        </row>
        <row r="444">
          <cell r="A444" t="str">
            <v>パウダーオン３号</v>
          </cell>
        </row>
        <row r="445">
          <cell r="A445" t="str">
            <v>パウダーオン３号</v>
          </cell>
        </row>
        <row r="446">
          <cell r="A446" t="str">
            <v>パウダーオン３号</v>
          </cell>
        </row>
        <row r="447">
          <cell r="A447" t="str">
            <v>パウダーオン３号</v>
          </cell>
        </row>
        <row r="448">
          <cell r="A448" t="str">
            <v>パウダーオン３号</v>
          </cell>
        </row>
        <row r="449">
          <cell r="A449" t="str">
            <v>パウダーオン３号</v>
          </cell>
        </row>
        <row r="450">
          <cell r="A450" t="str">
            <v>パウダーオン３号</v>
          </cell>
        </row>
        <row r="451">
          <cell r="A451" t="str">
            <v>パウダーオン３号</v>
          </cell>
        </row>
        <row r="452">
          <cell r="A452" t="str">
            <v>パウダーオン３号</v>
          </cell>
        </row>
        <row r="453">
          <cell r="A453" t="str">
            <v>パウダーオン３号</v>
          </cell>
        </row>
        <row r="454">
          <cell r="A454" t="str">
            <v>パウダーオン３号</v>
          </cell>
        </row>
        <row r="455">
          <cell r="A455" t="str">
            <v>パウダーオン３号</v>
          </cell>
        </row>
        <row r="456">
          <cell r="A456" t="str">
            <v>パウダーオン３号</v>
          </cell>
        </row>
        <row r="457">
          <cell r="A457" t="str">
            <v>コットン１号</v>
          </cell>
        </row>
        <row r="458">
          <cell r="A458" t="str">
            <v>コットン１号</v>
          </cell>
        </row>
        <row r="459">
          <cell r="A459" t="str">
            <v>コットン１号</v>
          </cell>
        </row>
        <row r="460">
          <cell r="A460" t="str">
            <v>コットン１号</v>
          </cell>
        </row>
        <row r="461">
          <cell r="A461" t="str">
            <v>コットン１号</v>
          </cell>
        </row>
        <row r="462">
          <cell r="A462" t="str">
            <v>コットン１号</v>
          </cell>
        </row>
        <row r="463">
          <cell r="A463" t="str">
            <v>コットン１号</v>
          </cell>
        </row>
        <row r="464">
          <cell r="A464" t="str">
            <v>コットン１号</v>
          </cell>
        </row>
        <row r="465">
          <cell r="A465" t="str">
            <v>コットン１号</v>
          </cell>
        </row>
        <row r="466">
          <cell r="A466" t="str">
            <v>コットン１号</v>
          </cell>
        </row>
        <row r="467">
          <cell r="A467" t="str">
            <v>コットン１号</v>
          </cell>
        </row>
        <row r="468">
          <cell r="A468" t="str">
            <v>コットン１号</v>
          </cell>
        </row>
        <row r="469">
          <cell r="A469" t="str">
            <v>コットン１号</v>
          </cell>
        </row>
        <row r="470">
          <cell r="A470" t="str">
            <v>コットン１号</v>
          </cell>
        </row>
        <row r="471">
          <cell r="A471" t="str">
            <v>コットン１号</v>
          </cell>
        </row>
        <row r="472">
          <cell r="A472" t="str">
            <v>コットン１号</v>
          </cell>
        </row>
        <row r="473">
          <cell r="A473" t="str">
            <v>コットン１号</v>
          </cell>
        </row>
        <row r="474">
          <cell r="A474" t="str">
            <v>コットン１号</v>
          </cell>
        </row>
        <row r="475">
          <cell r="A475" t="str">
            <v>コットン１号</v>
          </cell>
        </row>
        <row r="476">
          <cell r="A476" t="str">
            <v>コットン１号</v>
          </cell>
        </row>
        <row r="477">
          <cell r="A477" t="str">
            <v>コットン１号</v>
          </cell>
        </row>
        <row r="478">
          <cell r="A478" t="str">
            <v>コットン１号</v>
          </cell>
        </row>
        <row r="479">
          <cell r="A479" t="str">
            <v>コットン１号</v>
          </cell>
        </row>
        <row r="480">
          <cell r="A480" t="str">
            <v>コットン１号</v>
          </cell>
        </row>
        <row r="481">
          <cell r="A481" t="str">
            <v>コットン１号</v>
          </cell>
        </row>
        <row r="482">
          <cell r="A482" t="str">
            <v>コットン１号</v>
          </cell>
        </row>
        <row r="483">
          <cell r="A483" t="str">
            <v>コットン１号</v>
          </cell>
        </row>
        <row r="484">
          <cell r="A484" t="str">
            <v>コットン１号</v>
          </cell>
        </row>
        <row r="485">
          <cell r="A485" t="str">
            <v>コットン１号</v>
          </cell>
        </row>
        <row r="486">
          <cell r="A486" t="str">
            <v>コットン１号</v>
          </cell>
        </row>
        <row r="487">
          <cell r="A487" t="str">
            <v>コットン１号</v>
          </cell>
        </row>
        <row r="488">
          <cell r="A488" t="str">
            <v>コットン2号</v>
          </cell>
        </row>
        <row r="489">
          <cell r="A489" t="str">
            <v>コットン2号</v>
          </cell>
        </row>
        <row r="490">
          <cell r="A490" t="str">
            <v>コットン2号</v>
          </cell>
        </row>
        <row r="491">
          <cell r="A491" t="str">
            <v>コットン2号</v>
          </cell>
        </row>
        <row r="492">
          <cell r="A492" t="str">
            <v>コットン2号</v>
          </cell>
        </row>
        <row r="493">
          <cell r="A493" t="str">
            <v>コットン2号</v>
          </cell>
        </row>
        <row r="494">
          <cell r="A494" t="str">
            <v>コットン2号</v>
          </cell>
        </row>
        <row r="495">
          <cell r="A495" t="str">
            <v>コットン2号</v>
          </cell>
        </row>
        <row r="496">
          <cell r="A496" t="str">
            <v>コットン2号</v>
          </cell>
        </row>
        <row r="497">
          <cell r="A497" t="str">
            <v>コットン2号</v>
          </cell>
        </row>
        <row r="498">
          <cell r="A498" t="str">
            <v>コットン2号</v>
          </cell>
        </row>
        <row r="499">
          <cell r="A499" t="str">
            <v>コットン2号</v>
          </cell>
        </row>
        <row r="500">
          <cell r="A500" t="str">
            <v>コットン2号</v>
          </cell>
        </row>
        <row r="501">
          <cell r="A501" t="str">
            <v>コットン2号</v>
          </cell>
        </row>
        <row r="502">
          <cell r="A502" t="str">
            <v>コットン2号</v>
          </cell>
        </row>
        <row r="503">
          <cell r="A503" t="str">
            <v>コットン2号</v>
          </cell>
        </row>
        <row r="504">
          <cell r="A504" t="str">
            <v>コットン2号</v>
          </cell>
        </row>
        <row r="505">
          <cell r="A505" t="str">
            <v>コットン2号</v>
          </cell>
        </row>
        <row r="506">
          <cell r="A506" t="str">
            <v>コットン2号</v>
          </cell>
        </row>
        <row r="507">
          <cell r="A507" t="str">
            <v>コットン2号</v>
          </cell>
        </row>
        <row r="508">
          <cell r="A508" t="str">
            <v>コットン2号</v>
          </cell>
        </row>
        <row r="509">
          <cell r="A509" t="str">
            <v>コットン2号</v>
          </cell>
        </row>
        <row r="510">
          <cell r="A510" t="str">
            <v>コットン2号</v>
          </cell>
        </row>
        <row r="511">
          <cell r="A511" t="str">
            <v>コットン2号</v>
          </cell>
        </row>
        <row r="512">
          <cell r="A512" t="str">
            <v>コットン2号</v>
          </cell>
        </row>
        <row r="513">
          <cell r="A513" t="str">
            <v>コットン2号</v>
          </cell>
        </row>
        <row r="514">
          <cell r="A514" t="str">
            <v>コットン2号</v>
          </cell>
        </row>
        <row r="515">
          <cell r="A515" t="str">
            <v>コットン2号</v>
          </cell>
        </row>
        <row r="516">
          <cell r="A516" t="str">
            <v>コットン2号</v>
          </cell>
        </row>
        <row r="517">
          <cell r="A517" t="str">
            <v>コットン2号</v>
          </cell>
        </row>
        <row r="518">
          <cell r="A518" t="str">
            <v>コットン2号</v>
          </cell>
        </row>
        <row r="519">
          <cell r="A519" t="str">
            <v>新コットン３号</v>
          </cell>
        </row>
        <row r="520">
          <cell r="A520" t="str">
            <v>新コットン３号</v>
          </cell>
        </row>
        <row r="521">
          <cell r="A521" t="str">
            <v>新コットン３号</v>
          </cell>
        </row>
        <row r="522">
          <cell r="A522" t="str">
            <v>新コットン３号</v>
          </cell>
        </row>
        <row r="523">
          <cell r="A523" t="str">
            <v>新コットン３号</v>
          </cell>
        </row>
        <row r="524">
          <cell r="A524" t="str">
            <v>新コットン３号</v>
          </cell>
        </row>
        <row r="525">
          <cell r="A525" t="str">
            <v>新コットン３号</v>
          </cell>
        </row>
        <row r="526">
          <cell r="A526" t="str">
            <v>新コットン３号</v>
          </cell>
        </row>
        <row r="527">
          <cell r="A527" t="str">
            <v>新コットン３号</v>
          </cell>
        </row>
        <row r="528">
          <cell r="A528" t="str">
            <v>新コットン３号</v>
          </cell>
        </row>
        <row r="529">
          <cell r="A529" t="str">
            <v>新コットン３号</v>
          </cell>
        </row>
        <row r="530">
          <cell r="A530" t="str">
            <v>新コットン３号</v>
          </cell>
        </row>
        <row r="531">
          <cell r="A531" t="str">
            <v>新コットン３号</v>
          </cell>
        </row>
        <row r="532">
          <cell r="A532" t="str">
            <v>新コットン３号</v>
          </cell>
        </row>
        <row r="533">
          <cell r="A533" t="str">
            <v>新コットン３号</v>
          </cell>
        </row>
        <row r="534">
          <cell r="A534" t="str">
            <v>新コットン３号</v>
          </cell>
        </row>
        <row r="535">
          <cell r="A535" t="str">
            <v>新コットン３号</v>
          </cell>
        </row>
        <row r="536">
          <cell r="A536" t="str">
            <v>新コットン３号</v>
          </cell>
        </row>
        <row r="537">
          <cell r="A537" t="str">
            <v>新コットン３号</v>
          </cell>
        </row>
        <row r="538">
          <cell r="A538" t="str">
            <v>新コットン３号</v>
          </cell>
        </row>
        <row r="539">
          <cell r="A539" t="str">
            <v>新コットン３号</v>
          </cell>
        </row>
        <row r="540">
          <cell r="A540" t="str">
            <v>新コットン３号</v>
          </cell>
        </row>
        <row r="541">
          <cell r="A541" t="str">
            <v>新コットン３号</v>
          </cell>
        </row>
        <row r="542">
          <cell r="A542" t="str">
            <v>新コットン３号</v>
          </cell>
        </row>
        <row r="543">
          <cell r="A543" t="str">
            <v>新コットン３号</v>
          </cell>
        </row>
        <row r="544">
          <cell r="A544" t="str">
            <v>新コットン３号</v>
          </cell>
        </row>
        <row r="545">
          <cell r="A545" t="str">
            <v>新コットン３号</v>
          </cell>
        </row>
        <row r="546">
          <cell r="A546" t="str">
            <v>新コットン３号</v>
          </cell>
        </row>
        <row r="547">
          <cell r="A547" t="str">
            <v>新コットン３号</v>
          </cell>
        </row>
        <row r="548">
          <cell r="A548" t="str">
            <v>新コットン３号</v>
          </cell>
        </row>
        <row r="549">
          <cell r="A549" t="str">
            <v>新コットン３号</v>
          </cell>
        </row>
        <row r="550">
          <cell r="A550" t="str">
            <v>パウダーオン２号</v>
          </cell>
        </row>
        <row r="551">
          <cell r="A551" t="str">
            <v>パウダーオン２号</v>
          </cell>
        </row>
        <row r="552">
          <cell r="A552" t="str">
            <v>パウダーオン２号</v>
          </cell>
        </row>
        <row r="553">
          <cell r="A553" t="str">
            <v>パウダーオン２号</v>
          </cell>
        </row>
        <row r="554">
          <cell r="A554" t="str">
            <v>パウダーオン２号</v>
          </cell>
        </row>
        <row r="555">
          <cell r="A555" t="str">
            <v>パウダーオン２号</v>
          </cell>
        </row>
        <row r="556">
          <cell r="A556" t="str">
            <v>パウダーオン２号</v>
          </cell>
        </row>
        <row r="557">
          <cell r="A557" t="str">
            <v>パウダーオン２号</v>
          </cell>
        </row>
        <row r="558">
          <cell r="A558" t="str">
            <v>パウダーオン２号</v>
          </cell>
        </row>
        <row r="559">
          <cell r="A559" t="str">
            <v>パウダーオン２号</v>
          </cell>
        </row>
        <row r="560">
          <cell r="A560" t="str">
            <v>パウダーオン２号</v>
          </cell>
        </row>
        <row r="561">
          <cell r="A561" t="str">
            <v>パウダーオン２号</v>
          </cell>
        </row>
        <row r="562">
          <cell r="A562" t="str">
            <v>パウダーオン２号</v>
          </cell>
        </row>
        <row r="563">
          <cell r="A563" t="str">
            <v>パウダーオン２号</v>
          </cell>
        </row>
        <row r="564">
          <cell r="A564" t="str">
            <v>パウダーオン２号</v>
          </cell>
        </row>
        <row r="565">
          <cell r="A565" t="str">
            <v>パウダーオン２号</v>
          </cell>
        </row>
        <row r="566">
          <cell r="A566" t="str">
            <v>パウダーオン２号</v>
          </cell>
        </row>
        <row r="567">
          <cell r="A567" t="str">
            <v>パウダーオン２号</v>
          </cell>
        </row>
        <row r="568">
          <cell r="A568" t="str">
            <v>パウダーオン２号</v>
          </cell>
        </row>
        <row r="569">
          <cell r="A569" t="str">
            <v>パウダーオン２号</v>
          </cell>
        </row>
        <row r="570">
          <cell r="A570" t="str">
            <v>パウダーオン２号</v>
          </cell>
        </row>
        <row r="571">
          <cell r="A571" t="str">
            <v>パウダーオン２号</v>
          </cell>
        </row>
        <row r="572">
          <cell r="A572" t="str">
            <v>パウダーオン２号</v>
          </cell>
        </row>
        <row r="573">
          <cell r="A573" t="str">
            <v>パウダーオン２号</v>
          </cell>
        </row>
        <row r="574">
          <cell r="A574" t="str">
            <v>パウダーオン２号</v>
          </cell>
        </row>
        <row r="575">
          <cell r="A575" t="str">
            <v>パウダーオン２号</v>
          </cell>
        </row>
        <row r="576">
          <cell r="A576" t="str">
            <v>パウダーオン２号</v>
          </cell>
        </row>
        <row r="577">
          <cell r="A577" t="str">
            <v>パウダーオン２号</v>
          </cell>
        </row>
        <row r="578">
          <cell r="A578" t="str">
            <v>パウダーオン２号</v>
          </cell>
        </row>
        <row r="579">
          <cell r="A579" t="str">
            <v>パウダーオン２号</v>
          </cell>
        </row>
        <row r="580">
          <cell r="A580" t="str">
            <v>パウダーオン２号</v>
          </cell>
        </row>
        <row r="581">
          <cell r="A581" t="str">
            <v>パウダーオン３号</v>
          </cell>
        </row>
        <row r="582">
          <cell r="A582" t="str">
            <v>パウダーオン３号</v>
          </cell>
        </row>
        <row r="583">
          <cell r="A583" t="str">
            <v>パウダーオン３号</v>
          </cell>
        </row>
        <row r="584">
          <cell r="A584" t="str">
            <v>パウダーオン３号</v>
          </cell>
        </row>
        <row r="585">
          <cell r="A585" t="str">
            <v>パウダーオン３号</v>
          </cell>
        </row>
        <row r="586">
          <cell r="A586" t="str">
            <v>パウダーオン３号</v>
          </cell>
        </row>
        <row r="587">
          <cell r="A587" t="str">
            <v>パウダーオン３号</v>
          </cell>
        </row>
        <row r="588">
          <cell r="A588" t="str">
            <v>パウダーオン３号</v>
          </cell>
        </row>
        <row r="589">
          <cell r="A589" t="str">
            <v>パウダーオン３号</v>
          </cell>
        </row>
        <row r="590">
          <cell r="A590" t="str">
            <v>パウダーオン３号</v>
          </cell>
        </row>
        <row r="591">
          <cell r="A591" t="str">
            <v>パウダーオン３号</v>
          </cell>
        </row>
        <row r="592">
          <cell r="A592" t="str">
            <v>パウダーオン３号</v>
          </cell>
        </row>
        <row r="593">
          <cell r="A593" t="str">
            <v>パウダーオン３号</v>
          </cell>
        </row>
        <row r="594">
          <cell r="A594" t="str">
            <v>パウダーオン３号</v>
          </cell>
        </row>
        <row r="595">
          <cell r="A595" t="str">
            <v>パウダーオン３号</v>
          </cell>
        </row>
        <row r="596">
          <cell r="A596" t="str">
            <v>パウダーオン３号</v>
          </cell>
        </row>
        <row r="597">
          <cell r="A597" t="str">
            <v>パウダーオン３号</v>
          </cell>
        </row>
        <row r="598">
          <cell r="A598" t="str">
            <v>パウダーオン３号</v>
          </cell>
        </row>
        <row r="599">
          <cell r="A599" t="str">
            <v>パウダーオン３号</v>
          </cell>
        </row>
        <row r="600">
          <cell r="A600" t="str">
            <v>パウダーオン３号</v>
          </cell>
        </row>
        <row r="601">
          <cell r="A601" t="str">
            <v>パウダーオン３号</v>
          </cell>
        </row>
        <row r="602">
          <cell r="A602" t="str">
            <v>パウダーオン３号</v>
          </cell>
        </row>
        <row r="603">
          <cell r="A603" t="str">
            <v>パウダーオン３号</v>
          </cell>
        </row>
        <row r="604">
          <cell r="A604" t="str">
            <v>パウダーオン３号</v>
          </cell>
        </row>
        <row r="605">
          <cell r="A605" t="str">
            <v>パウダーオン３号</v>
          </cell>
        </row>
        <row r="606">
          <cell r="A606" t="str">
            <v>パウダーオン３号</v>
          </cell>
        </row>
        <row r="607">
          <cell r="A607" t="str">
            <v>パウダーオン３号</v>
          </cell>
        </row>
        <row r="608">
          <cell r="A608" t="str">
            <v>パウダーオン３号</v>
          </cell>
        </row>
        <row r="609">
          <cell r="A609" t="str">
            <v>パウダーオン３号</v>
          </cell>
        </row>
        <row r="610">
          <cell r="A610" t="str">
            <v>パウダーオン３号</v>
          </cell>
        </row>
        <row r="611">
          <cell r="A611" t="str">
            <v>パウダーオン３号</v>
          </cell>
        </row>
        <row r="612">
          <cell r="A612" t="str">
            <v>コットン１号</v>
          </cell>
        </row>
        <row r="613">
          <cell r="A613" t="str">
            <v>コットン１号</v>
          </cell>
        </row>
        <row r="614">
          <cell r="A614" t="str">
            <v>コットン１号</v>
          </cell>
        </row>
        <row r="615">
          <cell r="A615" t="str">
            <v>コットン１号</v>
          </cell>
        </row>
        <row r="616">
          <cell r="A616" t="str">
            <v>コットン１号</v>
          </cell>
        </row>
        <row r="617">
          <cell r="A617" t="str">
            <v>コットン１号</v>
          </cell>
        </row>
        <row r="618">
          <cell r="A618" t="str">
            <v>コットン１号</v>
          </cell>
        </row>
        <row r="619">
          <cell r="A619" t="str">
            <v>コットン１号</v>
          </cell>
        </row>
        <row r="620">
          <cell r="A620" t="str">
            <v>コットン１号</v>
          </cell>
        </row>
        <row r="621">
          <cell r="A621" t="str">
            <v>コットン１号</v>
          </cell>
        </row>
        <row r="622">
          <cell r="A622" t="str">
            <v>コットン１号</v>
          </cell>
        </row>
        <row r="623">
          <cell r="A623" t="str">
            <v>コットン１号</v>
          </cell>
        </row>
        <row r="624">
          <cell r="A624" t="str">
            <v>コットン１号</v>
          </cell>
        </row>
        <row r="625">
          <cell r="A625" t="str">
            <v>コットン１号</v>
          </cell>
        </row>
        <row r="626">
          <cell r="A626" t="str">
            <v>コットン１号</v>
          </cell>
        </row>
        <row r="627">
          <cell r="A627" t="str">
            <v>コットン１号</v>
          </cell>
        </row>
        <row r="628">
          <cell r="A628" t="str">
            <v>コットン１号</v>
          </cell>
        </row>
        <row r="629">
          <cell r="A629" t="str">
            <v>コットン１号</v>
          </cell>
        </row>
        <row r="630">
          <cell r="A630" t="str">
            <v>コットン１号</v>
          </cell>
        </row>
        <row r="631">
          <cell r="A631" t="str">
            <v>コットン１号</v>
          </cell>
        </row>
        <row r="632">
          <cell r="A632" t="str">
            <v>コットン１号</v>
          </cell>
        </row>
        <row r="633">
          <cell r="A633" t="str">
            <v>コットン１号</v>
          </cell>
        </row>
        <row r="634">
          <cell r="A634" t="str">
            <v>コットン１号</v>
          </cell>
        </row>
        <row r="635">
          <cell r="A635" t="str">
            <v>コットン１号</v>
          </cell>
        </row>
        <row r="636">
          <cell r="A636" t="str">
            <v>コットン１号</v>
          </cell>
        </row>
        <row r="637">
          <cell r="A637" t="str">
            <v>コットン１号</v>
          </cell>
        </row>
        <row r="638">
          <cell r="A638" t="str">
            <v>コットン１号</v>
          </cell>
        </row>
        <row r="639">
          <cell r="A639" t="str">
            <v>コットン１号</v>
          </cell>
        </row>
        <row r="640">
          <cell r="A640" t="str">
            <v>コットン１号</v>
          </cell>
        </row>
        <row r="641">
          <cell r="A641" t="str">
            <v>コットン１号</v>
          </cell>
        </row>
        <row r="642">
          <cell r="A642" t="str">
            <v>コットン１号</v>
          </cell>
        </row>
        <row r="643">
          <cell r="A643" t="str">
            <v>コットン2号</v>
          </cell>
        </row>
        <row r="644">
          <cell r="A644" t="str">
            <v>コットン2号</v>
          </cell>
        </row>
        <row r="645">
          <cell r="A645" t="str">
            <v>コットン2号</v>
          </cell>
        </row>
        <row r="646">
          <cell r="A646" t="str">
            <v>コットン2号</v>
          </cell>
        </row>
        <row r="647">
          <cell r="A647" t="str">
            <v>コットン2号</v>
          </cell>
        </row>
        <row r="648">
          <cell r="A648" t="str">
            <v>コットン2号</v>
          </cell>
        </row>
        <row r="649">
          <cell r="A649" t="str">
            <v>コットン2号</v>
          </cell>
        </row>
        <row r="650">
          <cell r="A650" t="str">
            <v>コットン2号</v>
          </cell>
        </row>
        <row r="651">
          <cell r="A651" t="str">
            <v>コットン2号</v>
          </cell>
        </row>
        <row r="652">
          <cell r="A652" t="str">
            <v>コットン2号</v>
          </cell>
        </row>
        <row r="653">
          <cell r="A653" t="str">
            <v>コットン2号</v>
          </cell>
        </row>
        <row r="654">
          <cell r="A654" t="str">
            <v>コットン2号</v>
          </cell>
        </row>
        <row r="655">
          <cell r="A655" t="str">
            <v>コットン2号</v>
          </cell>
        </row>
        <row r="656">
          <cell r="A656" t="str">
            <v>コットン2号</v>
          </cell>
        </row>
        <row r="657">
          <cell r="A657" t="str">
            <v>コットン2号</v>
          </cell>
        </row>
        <row r="658">
          <cell r="A658" t="str">
            <v>コットン2号</v>
          </cell>
        </row>
        <row r="659">
          <cell r="A659" t="str">
            <v>コットン2号</v>
          </cell>
        </row>
        <row r="660">
          <cell r="A660" t="str">
            <v>コットン2号</v>
          </cell>
        </row>
        <row r="661">
          <cell r="A661" t="str">
            <v>コットン2号</v>
          </cell>
        </row>
        <row r="662">
          <cell r="A662" t="str">
            <v>コットン2号</v>
          </cell>
        </row>
        <row r="663">
          <cell r="A663" t="str">
            <v>コットン2号</v>
          </cell>
        </row>
        <row r="664">
          <cell r="A664" t="str">
            <v>コットン2号</v>
          </cell>
        </row>
        <row r="665">
          <cell r="A665" t="str">
            <v>コットン2号</v>
          </cell>
        </row>
        <row r="666">
          <cell r="A666" t="str">
            <v>コットン2号</v>
          </cell>
        </row>
        <row r="667">
          <cell r="A667" t="str">
            <v>コットン2号</v>
          </cell>
        </row>
        <row r="668">
          <cell r="A668" t="str">
            <v>コットン2号</v>
          </cell>
        </row>
        <row r="669">
          <cell r="A669" t="str">
            <v>コットン2号</v>
          </cell>
        </row>
        <row r="670">
          <cell r="A670" t="str">
            <v>コットン2号</v>
          </cell>
        </row>
        <row r="671">
          <cell r="A671" t="str">
            <v>コットン2号</v>
          </cell>
        </row>
        <row r="672">
          <cell r="A672" t="str">
            <v>コットン2号</v>
          </cell>
        </row>
        <row r="673">
          <cell r="A673" t="str">
            <v>コットン2号</v>
          </cell>
        </row>
        <row r="674">
          <cell r="A674" t="str">
            <v>新コットン３号</v>
          </cell>
        </row>
        <row r="675">
          <cell r="A675" t="str">
            <v>新コットン３号</v>
          </cell>
        </row>
        <row r="676">
          <cell r="A676" t="str">
            <v>新コットン３号</v>
          </cell>
        </row>
        <row r="677">
          <cell r="A677" t="str">
            <v>新コットン３号</v>
          </cell>
        </row>
        <row r="678">
          <cell r="A678" t="str">
            <v>新コットン３号</v>
          </cell>
        </row>
        <row r="679">
          <cell r="A679" t="str">
            <v>新コットン３号</v>
          </cell>
        </row>
        <row r="680">
          <cell r="A680" t="str">
            <v>新コットン３号</v>
          </cell>
        </row>
        <row r="681">
          <cell r="A681" t="str">
            <v>新コットン３号</v>
          </cell>
        </row>
        <row r="682">
          <cell r="A682" t="str">
            <v>新コットン３号</v>
          </cell>
        </row>
        <row r="683">
          <cell r="A683" t="str">
            <v>新コットン３号</v>
          </cell>
        </row>
        <row r="684">
          <cell r="A684" t="str">
            <v>新コットン３号</v>
          </cell>
        </row>
        <row r="685">
          <cell r="A685" t="str">
            <v>新コットン３号</v>
          </cell>
        </row>
        <row r="686">
          <cell r="A686" t="str">
            <v>新コットン３号</v>
          </cell>
        </row>
        <row r="687">
          <cell r="A687" t="str">
            <v>新コットン３号</v>
          </cell>
        </row>
        <row r="688">
          <cell r="A688" t="str">
            <v>新コットン３号</v>
          </cell>
        </row>
        <row r="689">
          <cell r="A689" t="str">
            <v>新コットン３号</v>
          </cell>
        </row>
        <row r="690">
          <cell r="A690" t="str">
            <v>新コットン３号</v>
          </cell>
        </row>
        <row r="691">
          <cell r="A691" t="str">
            <v>新コットン３号</v>
          </cell>
        </row>
        <row r="692">
          <cell r="A692" t="str">
            <v>新コットン３号</v>
          </cell>
        </row>
        <row r="693">
          <cell r="A693" t="str">
            <v>新コットン３号</v>
          </cell>
        </row>
        <row r="694">
          <cell r="A694" t="str">
            <v>新コットン３号</v>
          </cell>
        </row>
        <row r="695">
          <cell r="A695" t="str">
            <v>新コットン３号</v>
          </cell>
        </row>
        <row r="696">
          <cell r="A696" t="str">
            <v>新コットン３号</v>
          </cell>
        </row>
        <row r="697">
          <cell r="A697" t="str">
            <v>新コットン３号</v>
          </cell>
        </row>
        <row r="698">
          <cell r="A698" t="str">
            <v>新コットン３号</v>
          </cell>
        </row>
        <row r="699">
          <cell r="A699" t="str">
            <v>新コットン３号</v>
          </cell>
        </row>
        <row r="700">
          <cell r="A700" t="str">
            <v>新コットン３号</v>
          </cell>
        </row>
        <row r="701">
          <cell r="A701" t="str">
            <v>新コットン３号</v>
          </cell>
        </row>
        <row r="702">
          <cell r="A702" t="str">
            <v>新コットン３号</v>
          </cell>
        </row>
        <row r="703">
          <cell r="A703" t="str">
            <v>新コットン３号</v>
          </cell>
        </row>
        <row r="704">
          <cell r="A704" t="str">
            <v>新コットン３号</v>
          </cell>
        </row>
        <row r="705">
          <cell r="A705" t="str">
            <v>パウダーオン２号</v>
          </cell>
        </row>
        <row r="706">
          <cell r="A706" t="str">
            <v>パウダーオン２号</v>
          </cell>
        </row>
        <row r="707">
          <cell r="A707" t="str">
            <v>パウダーオン２号</v>
          </cell>
        </row>
        <row r="708">
          <cell r="A708" t="str">
            <v>パウダーオン２号</v>
          </cell>
        </row>
        <row r="709">
          <cell r="A709" t="str">
            <v>パウダーオン２号</v>
          </cell>
        </row>
        <row r="710">
          <cell r="A710" t="str">
            <v>パウダーオン２号</v>
          </cell>
        </row>
        <row r="711">
          <cell r="A711" t="str">
            <v>パウダーオン２号</v>
          </cell>
        </row>
        <row r="712">
          <cell r="A712" t="str">
            <v>パウダーオン２号</v>
          </cell>
        </row>
        <row r="713">
          <cell r="A713" t="str">
            <v>パウダーオン２号</v>
          </cell>
        </row>
        <row r="714">
          <cell r="A714" t="str">
            <v>パウダーオン２号</v>
          </cell>
        </row>
        <row r="715">
          <cell r="A715" t="str">
            <v>パウダーオン２号</v>
          </cell>
        </row>
        <row r="716">
          <cell r="A716" t="str">
            <v>パウダーオン２号</v>
          </cell>
        </row>
        <row r="717">
          <cell r="A717" t="str">
            <v>パウダーオン２号</v>
          </cell>
        </row>
        <row r="718">
          <cell r="A718" t="str">
            <v>パウダーオン２号</v>
          </cell>
        </row>
        <row r="719">
          <cell r="A719" t="str">
            <v>パウダーオン２号</v>
          </cell>
        </row>
        <row r="720">
          <cell r="A720" t="str">
            <v>パウダーオン２号</v>
          </cell>
        </row>
        <row r="721">
          <cell r="A721" t="str">
            <v>パウダーオン２号</v>
          </cell>
        </row>
        <row r="722">
          <cell r="A722" t="str">
            <v>パウダーオン２号</v>
          </cell>
        </row>
        <row r="723">
          <cell r="A723" t="str">
            <v>パウダーオン２号</v>
          </cell>
        </row>
        <row r="724">
          <cell r="A724" t="str">
            <v>パウダーオン２号</v>
          </cell>
        </row>
        <row r="725">
          <cell r="A725" t="str">
            <v>パウダーオン２号</v>
          </cell>
        </row>
        <row r="726">
          <cell r="A726" t="str">
            <v>パウダーオン２号</v>
          </cell>
        </row>
        <row r="727">
          <cell r="A727" t="str">
            <v>パウダーオン２号</v>
          </cell>
        </row>
        <row r="728">
          <cell r="A728" t="str">
            <v>パウダーオン２号</v>
          </cell>
        </row>
        <row r="729">
          <cell r="A729" t="str">
            <v>パウダーオン２号</v>
          </cell>
        </row>
        <row r="730">
          <cell r="A730" t="str">
            <v>パウダーオン２号</v>
          </cell>
        </row>
        <row r="731">
          <cell r="A731" t="str">
            <v>パウダーオン２号</v>
          </cell>
        </row>
        <row r="732">
          <cell r="A732" t="str">
            <v>パウダーオン２号</v>
          </cell>
        </row>
        <row r="733">
          <cell r="A733" t="str">
            <v>パウダーオン２号</v>
          </cell>
        </row>
        <row r="734">
          <cell r="A734" t="str">
            <v>パウダーオン２号</v>
          </cell>
        </row>
        <row r="735">
          <cell r="A735" t="str">
            <v>パウダーオン２号</v>
          </cell>
        </row>
        <row r="736">
          <cell r="A736" t="str">
            <v>パウダーオン３号</v>
          </cell>
        </row>
        <row r="737">
          <cell r="A737" t="str">
            <v>パウダーオン３号</v>
          </cell>
        </row>
        <row r="738">
          <cell r="A738" t="str">
            <v>パウダーオン３号</v>
          </cell>
        </row>
        <row r="739">
          <cell r="A739" t="str">
            <v>パウダーオン３号</v>
          </cell>
        </row>
        <row r="740">
          <cell r="A740" t="str">
            <v>パウダーオン３号</v>
          </cell>
        </row>
        <row r="741">
          <cell r="A741" t="str">
            <v>パウダーオン３号</v>
          </cell>
        </row>
        <row r="742">
          <cell r="A742" t="str">
            <v>パウダーオン３号</v>
          </cell>
        </row>
        <row r="743">
          <cell r="A743" t="str">
            <v>パウダーオン３号</v>
          </cell>
        </row>
        <row r="744">
          <cell r="A744" t="str">
            <v>パウダーオン３号</v>
          </cell>
        </row>
        <row r="745">
          <cell r="A745" t="str">
            <v>パウダーオン３号</v>
          </cell>
        </row>
        <row r="746">
          <cell r="A746" t="str">
            <v>パウダーオン３号</v>
          </cell>
        </row>
        <row r="747">
          <cell r="A747" t="str">
            <v>パウダーオン３号</v>
          </cell>
        </row>
        <row r="748">
          <cell r="A748" t="str">
            <v>パウダーオン３号</v>
          </cell>
        </row>
        <row r="749">
          <cell r="A749" t="str">
            <v>パウダーオン３号</v>
          </cell>
        </row>
        <row r="750">
          <cell r="A750" t="str">
            <v>パウダーオン３号</v>
          </cell>
        </row>
        <row r="751">
          <cell r="A751" t="str">
            <v>パウダーオン３号</v>
          </cell>
        </row>
        <row r="752">
          <cell r="A752" t="str">
            <v>パウダーオン３号</v>
          </cell>
        </row>
        <row r="753">
          <cell r="A753" t="str">
            <v>パウダーオン３号</v>
          </cell>
        </row>
        <row r="754">
          <cell r="A754" t="str">
            <v>パウダーオン３号</v>
          </cell>
        </row>
        <row r="755">
          <cell r="A755" t="str">
            <v>パウダーオン３号</v>
          </cell>
        </row>
        <row r="756">
          <cell r="A756" t="str">
            <v>パウダーオン３号</v>
          </cell>
        </row>
        <row r="757">
          <cell r="A757" t="str">
            <v>パウダーオン３号</v>
          </cell>
        </row>
        <row r="758">
          <cell r="A758" t="str">
            <v>パウダーオン３号</v>
          </cell>
        </row>
        <row r="759">
          <cell r="A759" t="str">
            <v>パウダーオン３号</v>
          </cell>
        </row>
        <row r="760">
          <cell r="A760" t="str">
            <v>パウダーオン３号</v>
          </cell>
        </row>
        <row r="761">
          <cell r="A761" t="str">
            <v>パウダーオン３号</v>
          </cell>
        </row>
        <row r="762">
          <cell r="A762" t="str">
            <v>パウダーオン３号</v>
          </cell>
        </row>
        <row r="763">
          <cell r="A763" t="str">
            <v>パウダーオン３号</v>
          </cell>
        </row>
        <row r="764">
          <cell r="A764" t="str">
            <v>パウダーオン３号</v>
          </cell>
        </row>
        <row r="765">
          <cell r="A765" t="str">
            <v>パウダーオン３号</v>
          </cell>
        </row>
        <row r="766">
          <cell r="A766" t="str">
            <v>パウダーオン３号</v>
          </cell>
        </row>
        <row r="767">
          <cell r="A767" t="str">
            <v>コットン１号</v>
          </cell>
        </row>
        <row r="768">
          <cell r="A768" t="str">
            <v>コットン１号</v>
          </cell>
        </row>
        <row r="769">
          <cell r="A769" t="str">
            <v>コットン１号</v>
          </cell>
        </row>
        <row r="770">
          <cell r="A770" t="str">
            <v>コットン１号</v>
          </cell>
        </row>
        <row r="771">
          <cell r="A771" t="str">
            <v>コットン１号</v>
          </cell>
        </row>
        <row r="772">
          <cell r="A772" t="str">
            <v>コットン１号</v>
          </cell>
        </row>
        <row r="773">
          <cell r="A773" t="str">
            <v>コットン１号</v>
          </cell>
        </row>
        <row r="774">
          <cell r="A774" t="str">
            <v>コットン１号</v>
          </cell>
        </row>
        <row r="775">
          <cell r="A775" t="str">
            <v>コットン１号</v>
          </cell>
        </row>
        <row r="776">
          <cell r="A776" t="str">
            <v>コットン１号</v>
          </cell>
        </row>
        <row r="777">
          <cell r="A777" t="str">
            <v>コットン１号</v>
          </cell>
        </row>
        <row r="778">
          <cell r="A778" t="str">
            <v>コットン１号</v>
          </cell>
        </row>
        <row r="779">
          <cell r="A779" t="str">
            <v>コットン１号</v>
          </cell>
        </row>
        <row r="780">
          <cell r="A780" t="str">
            <v>コットン１号</v>
          </cell>
        </row>
        <row r="781">
          <cell r="A781" t="str">
            <v>コットン１号</v>
          </cell>
        </row>
        <row r="782">
          <cell r="A782" t="str">
            <v>コットン１号</v>
          </cell>
        </row>
        <row r="783">
          <cell r="A783" t="str">
            <v>コットン１号</v>
          </cell>
        </row>
        <row r="784">
          <cell r="A784" t="str">
            <v>コットン１号</v>
          </cell>
        </row>
        <row r="785">
          <cell r="A785" t="str">
            <v>コットン１号</v>
          </cell>
        </row>
        <row r="786">
          <cell r="A786" t="str">
            <v>コットン１号</v>
          </cell>
        </row>
        <row r="787">
          <cell r="A787" t="str">
            <v>コットン１号</v>
          </cell>
        </row>
        <row r="788">
          <cell r="A788" t="str">
            <v>コットン１号</v>
          </cell>
        </row>
        <row r="789">
          <cell r="A789" t="str">
            <v>コットン１号</v>
          </cell>
        </row>
        <row r="790">
          <cell r="A790" t="str">
            <v>コットン１号</v>
          </cell>
        </row>
        <row r="791">
          <cell r="A791" t="str">
            <v>コットン１号</v>
          </cell>
        </row>
        <row r="792">
          <cell r="A792" t="str">
            <v>コットン１号</v>
          </cell>
        </row>
        <row r="793">
          <cell r="A793" t="str">
            <v>コットン１号</v>
          </cell>
        </row>
        <row r="794">
          <cell r="A794" t="str">
            <v>コットン１号</v>
          </cell>
        </row>
        <row r="795">
          <cell r="A795" t="str">
            <v>コットン１号</v>
          </cell>
        </row>
        <row r="796">
          <cell r="A796" t="str">
            <v>コットン１号</v>
          </cell>
        </row>
        <row r="797">
          <cell r="A797" t="str">
            <v>コットン2号</v>
          </cell>
        </row>
        <row r="798">
          <cell r="A798" t="str">
            <v>コットン2号</v>
          </cell>
        </row>
        <row r="799">
          <cell r="A799" t="str">
            <v>コットン2号</v>
          </cell>
        </row>
        <row r="800">
          <cell r="A800" t="str">
            <v>コットン2号</v>
          </cell>
        </row>
        <row r="801">
          <cell r="A801" t="str">
            <v>コットン2号</v>
          </cell>
        </row>
        <row r="802">
          <cell r="A802" t="str">
            <v>コットン2号</v>
          </cell>
        </row>
        <row r="803">
          <cell r="A803" t="str">
            <v>コットン2号</v>
          </cell>
        </row>
        <row r="804">
          <cell r="A804" t="str">
            <v>コットン2号</v>
          </cell>
        </row>
        <row r="805">
          <cell r="A805" t="str">
            <v>コットン2号</v>
          </cell>
        </row>
        <row r="806">
          <cell r="A806" t="str">
            <v>コットン2号</v>
          </cell>
        </row>
        <row r="807">
          <cell r="A807" t="str">
            <v>コットン2号</v>
          </cell>
        </row>
        <row r="808">
          <cell r="A808" t="str">
            <v>コットン2号</v>
          </cell>
        </row>
        <row r="809">
          <cell r="A809" t="str">
            <v>コットン2号</v>
          </cell>
        </row>
        <row r="810">
          <cell r="A810" t="str">
            <v>コットン2号</v>
          </cell>
        </row>
        <row r="811">
          <cell r="A811" t="str">
            <v>コットン2号</v>
          </cell>
        </row>
        <row r="812">
          <cell r="A812" t="str">
            <v>コットン2号</v>
          </cell>
        </row>
        <row r="813">
          <cell r="A813" t="str">
            <v>コットン2号</v>
          </cell>
        </row>
        <row r="814">
          <cell r="A814" t="str">
            <v>コットン2号</v>
          </cell>
        </row>
        <row r="815">
          <cell r="A815" t="str">
            <v>コットン2号</v>
          </cell>
        </row>
        <row r="816">
          <cell r="A816" t="str">
            <v>コットン2号</v>
          </cell>
        </row>
        <row r="817">
          <cell r="A817" t="str">
            <v>コットン2号</v>
          </cell>
        </row>
        <row r="818">
          <cell r="A818" t="str">
            <v>コットン2号</v>
          </cell>
        </row>
        <row r="819">
          <cell r="A819" t="str">
            <v>コットン2号</v>
          </cell>
        </row>
        <row r="820">
          <cell r="A820" t="str">
            <v>コットン2号</v>
          </cell>
        </row>
        <row r="821">
          <cell r="A821" t="str">
            <v>コットン2号</v>
          </cell>
        </row>
        <row r="822">
          <cell r="A822" t="str">
            <v>コットン2号</v>
          </cell>
        </row>
        <row r="823">
          <cell r="A823" t="str">
            <v>コットン2号</v>
          </cell>
        </row>
        <row r="824">
          <cell r="A824" t="str">
            <v>コットン2号</v>
          </cell>
        </row>
        <row r="825">
          <cell r="A825" t="str">
            <v>コットン2号</v>
          </cell>
        </row>
        <row r="826">
          <cell r="A826" t="str">
            <v>コットン2号</v>
          </cell>
        </row>
        <row r="827">
          <cell r="A827" t="str">
            <v>新コットン３号</v>
          </cell>
        </row>
        <row r="828">
          <cell r="A828" t="str">
            <v>新コットン３号</v>
          </cell>
        </row>
        <row r="829">
          <cell r="A829" t="str">
            <v>新コットン３号</v>
          </cell>
        </row>
        <row r="830">
          <cell r="A830" t="str">
            <v>新コットン３号</v>
          </cell>
        </row>
        <row r="831">
          <cell r="A831" t="str">
            <v>新コットン３号</v>
          </cell>
        </row>
        <row r="832">
          <cell r="A832" t="str">
            <v>新コットン３号</v>
          </cell>
        </row>
        <row r="833">
          <cell r="A833" t="str">
            <v>新コットン３号</v>
          </cell>
        </row>
        <row r="834">
          <cell r="A834" t="str">
            <v>新コットン３号</v>
          </cell>
        </row>
        <row r="835">
          <cell r="A835" t="str">
            <v>新コットン３号</v>
          </cell>
        </row>
        <row r="836">
          <cell r="A836" t="str">
            <v>新コットン３号</v>
          </cell>
        </row>
        <row r="837">
          <cell r="A837" t="str">
            <v>新コットン３号</v>
          </cell>
        </row>
        <row r="838">
          <cell r="A838" t="str">
            <v>新コットン３号</v>
          </cell>
        </row>
        <row r="839">
          <cell r="A839" t="str">
            <v>新コットン３号</v>
          </cell>
        </row>
        <row r="840">
          <cell r="A840" t="str">
            <v>新コットン３号</v>
          </cell>
        </row>
        <row r="841">
          <cell r="A841" t="str">
            <v>新コットン３号</v>
          </cell>
        </row>
        <row r="842">
          <cell r="A842" t="str">
            <v>新コットン３号</v>
          </cell>
        </row>
        <row r="843">
          <cell r="A843" t="str">
            <v>新コットン３号</v>
          </cell>
        </row>
        <row r="844">
          <cell r="A844" t="str">
            <v>新コットン３号</v>
          </cell>
        </row>
        <row r="845">
          <cell r="A845" t="str">
            <v>新コットン３号</v>
          </cell>
        </row>
        <row r="846">
          <cell r="A846" t="str">
            <v>新コットン３号</v>
          </cell>
        </row>
        <row r="847">
          <cell r="A847" t="str">
            <v>新コットン３号</v>
          </cell>
        </row>
        <row r="848">
          <cell r="A848" t="str">
            <v>新コットン３号</v>
          </cell>
        </row>
        <row r="849">
          <cell r="A849" t="str">
            <v>新コットン３号</v>
          </cell>
        </row>
        <row r="850">
          <cell r="A850" t="str">
            <v>新コットン３号</v>
          </cell>
        </row>
        <row r="851">
          <cell r="A851" t="str">
            <v>新コットン３号</v>
          </cell>
        </row>
        <row r="852">
          <cell r="A852" t="str">
            <v>新コットン３号</v>
          </cell>
        </row>
        <row r="853">
          <cell r="A853" t="str">
            <v>新コットン３号</v>
          </cell>
        </row>
        <row r="854">
          <cell r="A854" t="str">
            <v>新コットン３号</v>
          </cell>
        </row>
        <row r="855">
          <cell r="A855" t="str">
            <v>新コットン３号</v>
          </cell>
        </row>
        <row r="856">
          <cell r="A856" t="str">
            <v>新コットン３号</v>
          </cell>
        </row>
        <row r="857">
          <cell r="A857" t="str">
            <v>パウダーオン２号</v>
          </cell>
        </row>
        <row r="858">
          <cell r="A858" t="str">
            <v>パウダーオン２号</v>
          </cell>
        </row>
        <row r="859">
          <cell r="A859" t="str">
            <v>パウダーオン２号</v>
          </cell>
        </row>
        <row r="860">
          <cell r="A860" t="str">
            <v>パウダーオン２号</v>
          </cell>
        </row>
        <row r="861">
          <cell r="A861" t="str">
            <v>パウダーオン２号</v>
          </cell>
        </row>
        <row r="862">
          <cell r="A862" t="str">
            <v>パウダーオン２号</v>
          </cell>
        </row>
        <row r="863">
          <cell r="A863" t="str">
            <v>パウダーオン２号</v>
          </cell>
        </row>
        <row r="864">
          <cell r="A864" t="str">
            <v>パウダーオン２号</v>
          </cell>
        </row>
        <row r="865">
          <cell r="A865" t="str">
            <v>パウダーオン２号</v>
          </cell>
        </row>
        <row r="866">
          <cell r="A866" t="str">
            <v>パウダーオン２号</v>
          </cell>
        </row>
        <row r="867">
          <cell r="A867" t="str">
            <v>パウダーオン２号</v>
          </cell>
        </row>
        <row r="868">
          <cell r="A868" t="str">
            <v>パウダーオン２号</v>
          </cell>
        </row>
        <row r="869">
          <cell r="A869" t="str">
            <v>パウダーオン２号</v>
          </cell>
        </row>
        <row r="870">
          <cell r="A870" t="str">
            <v>パウダーオン２号</v>
          </cell>
        </row>
        <row r="871">
          <cell r="A871" t="str">
            <v>パウダーオン２号</v>
          </cell>
        </row>
        <row r="872">
          <cell r="A872" t="str">
            <v>パウダーオン２号</v>
          </cell>
        </row>
        <row r="873">
          <cell r="A873" t="str">
            <v>パウダーオン２号</v>
          </cell>
        </row>
        <row r="874">
          <cell r="A874" t="str">
            <v>パウダーオン２号</v>
          </cell>
        </row>
        <row r="875">
          <cell r="A875" t="str">
            <v>パウダーオン２号</v>
          </cell>
        </row>
        <row r="876">
          <cell r="A876" t="str">
            <v>パウダーオン２号</v>
          </cell>
        </row>
        <row r="877">
          <cell r="A877" t="str">
            <v>パウダーオン２号</v>
          </cell>
        </row>
        <row r="878">
          <cell r="A878" t="str">
            <v>パウダーオン２号</v>
          </cell>
        </row>
        <row r="879">
          <cell r="A879" t="str">
            <v>パウダーオン２号</v>
          </cell>
        </row>
        <row r="880">
          <cell r="A880" t="str">
            <v>パウダーオン２号</v>
          </cell>
        </row>
        <row r="881">
          <cell r="A881" t="str">
            <v>パウダーオン２号</v>
          </cell>
        </row>
        <row r="882">
          <cell r="A882" t="str">
            <v>パウダーオン２号</v>
          </cell>
        </row>
        <row r="883">
          <cell r="A883" t="str">
            <v>パウダーオン２号</v>
          </cell>
        </row>
        <row r="884">
          <cell r="A884" t="str">
            <v>パウダーオン２号</v>
          </cell>
        </row>
        <row r="885">
          <cell r="A885" t="str">
            <v>パウダーオン２号</v>
          </cell>
        </row>
        <row r="886">
          <cell r="A886" t="str">
            <v>パウダーオン２号</v>
          </cell>
        </row>
        <row r="887">
          <cell r="A887" t="str">
            <v>パウダーオン３号</v>
          </cell>
        </row>
        <row r="888">
          <cell r="A888" t="str">
            <v>パウダーオン３号</v>
          </cell>
        </row>
        <row r="889">
          <cell r="A889" t="str">
            <v>パウダーオン３号</v>
          </cell>
        </row>
        <row r="890">
          <cell r="A890" t="str">
            <v>パウダーオン３号</v>
          </cell>
        </row>
        <row r="891">
          <cell r="A891" t="str">
            <v>パウダーオン３号</v>
          </cell>
        </row>
        <row r="892">
          <cell r="A892" t="str">
            <v>パウダーオン３号</v>
          </cell>
        </row>
        <row r="893">
          <cell r="A893" t="str">
            <v>パウダーオン３号</v>
          </cell>
        </row>
        <row r="894">
          <cell r="A894" t="str">
            <v>パウダーオン３号</v>
          </cell>
        </row>
        <row r="895">
          <cell r="A895" t="str">
            <v>パウダーオン３号</v>
          </cell>
        </row>
        <row r="896">
          <cell r="A896" t="str">
            <v>パウダーオン３号</v>
          </cell>
        </row>
        <row r="897">
          <cell r="A897" t="str">
            <v>パウダーオン３号</v>
          </cell>
        </row>
        <row r="898">
          <cell r="A898" t="str">
            <v>パウダーオン３号</v>
          </cell>
        </row>
        <row r="899">
          <cell r="A899" t="str">
            <v>パウダーオン３号</v>
          </cell>
        </row>
        <row r="900">
          <cell r="A900" t="str">
            <v>パウダーオン３号</v>
          </cell>
        </row>
        <row r="901">
          <cell r="A901" t="str">
            <v>パウダーオン３号</v>
          </cell>
        </row>
        <row r="902">
          <cell r="A902" t="str">
            <v>パウダーオン３号</v>
          </cell>
        </row>
        <row r="903">
          <cell r="A903" t="str">
            <v>パウダーオン３号</v>
          </cell>
        </row>
        <row r="904">
          <cell r="A904" t="str">
            <v>パウダーオン３号</v>
          </cell>
        </row>
        <row r="905">
          <cell r="A905" t="str">
            <v>パウダーオン３号</v>
          </cell>
        </row>
        <row r="906">
          <cell r="A906" t="str">
            <v>パウダーオン３号</v>
          </cell>
        </row>
        <row r="907">
          <cell r="A907" t="str">
            <v>パウダーオン３号</v>
          </cell>
        </row>
        <row r="908">
          <cell r="A908" t="str">
            <v>パウダーオン３号</v>
          </cell>
        </row>
        <row r="909">
          <cell r="A909" t="str">
            <v>パウダーオン３号</v>
          </cell>
        </row>
        <row r="910">
          <cell r="A910" t="str">
            <v>パウダーオン３号</v>
          </cell>
        </row>
        <row r="911">
          <cell r="A911" t="str">
            <v>パウダーオン３号</v>
          </cell>
        </row>
        <row r="912">
          <cell r="A912" t="str">
            <v>パウダーオン３号</v>
          </cell>
        </row>
        <row r="913">
          <cell r="A913" t="str">
            <v>パウダーオン３号</v>
          </cell>
        </row>
        <row r="914">
          <cell r="A914" t="str">
            <v>パウダーオン３号</v>
          </cell>
        </row>
        <row r="915">
          <cell r="A915" t="str">
            <v>パウダーオン３号</v>
          </cell>
        </row>
        <row r="916">
          <cell r="A916" t="str">
            <v>パウダーオン３号</v>
          </cell>
        </row>
        <row r="917">
          <cell r="A917" t="str">
            <v>コットン１号</v>
          </cell>
        </row>
        <row r="918">
          <cell r="A918" t="str">
            <v>コットン１号</v>
          </cell>
        </row>
        <row r="919">
          <cell r="A919" t="str">
            <v>コットン１号</v>
          </cell>
        </row>
        <row r="920">
          <cell r="A920" t="str">
            <v>コットン１号</v>
          </cell>
        </row>
        <row r="921">
          <cell r="A921" t="str">
            <v>コットン１号</v>
          </cell>
        </row>
        <row r="922">
          <cell r="A922" t="str">
            <v>コットン１号</v>
          </cell>
        </row>
        <row r="923">
          <cell r="A923" t="str">
            <v>コットン１号</v>
          </cell>
        </row>
        <row r="924">
          <cell r="A924" t="str">
            <v>コットン１号</v>
          </cell>
        </row>
        <row r="925">
          <cell r="A925" t="str">
            <v>コットン１号</v>
          </cell>
        </row>
        <row r="926">
          <cell r="A926" t="str">
            <v>コットン１号</v>
          </cell>
        </row>
        <row r="927">
          <cell r="A927" t="str">
            <v>コットン１号</v>
          </cell>
        </row>
        <row r="928">
          <cell r="A928" t="str">
            <v>コットン１号</v>
          </cell>
        </row>
        <row r="929">
          <cell r="A929" t="str">
            <v>コットン１号</v>
          </cell>
        </row>
        <row r="930">
          <cell r="A930" t="str">
            <v>コットン１号</v>
          </cell>
        </row>
        <row r="931">
          <cell r="A931" t="str">
            <v>コットン１号</v>
          </cell>
        </row>
        <row r="932">
          <cell r="A932" t="str">
            <v>コットン１号</v>
          </cell>
        </row>
        <row r="933">
          <cell r="A933" t="str">
            <v>コットン１号</v>
          </cell>
        </row>
        <row r="934">
          <cell r="A934" t="str">
            <v>コットン１号</v>
          </cell>
        </row>
        <row r="935">
          <cell r="A935" t="str">
            <v>コットン１号</v>
          </cell>
        </row>
        <row r="936">
          <cell r="A936" t="str">
            <v>コットン１号</v>
          </cell>
        </row>
        <row r="937">
          <cell r="A937" t="str">
            <v>コットン１号</v>
          </cell>
        </row>
        <row r="938">
          <cell r="A938" t="str">
            <v>コットン１号</v>
          </cell>
        </row>
        <row r="939">
          <cell r="A939" t="str">
            <v>コットン１号</v>
          </cell>
        </row>
        <row r="940">
          <cell r="A940" t="str">
            <v>コットン１号</v>
          </cell>
        </row>
        <row r="941">
          <cell r="A941" t="str">
            <v>コットン１号</v>
          </cell>
        </row>
        <row r="942">
          <cell r="A942" t="str">
            <v>コットン１号</v>
          </cell>
        </row>
        <row r="943">
          <cell r="A943" t="str">
            <v>コットン１号</v>
          </cell>
        </row>
        <row r="944">
          <cell r="A944" t="str">
            <v>コットン１号</v>
          </cell>
        </row>
        <row r="945">
          <cell r="A945" t="str">
            <v>コットン１号</v>
          </cell>
        </row>
        <row r="946">
          <cell r="A946" t="str">
            <v>コットン１号</v>
          </cell>
        </row>
        <row r="947">
          <cell r="A947" t="str">
            <v>コットン１号</v>
          </cell>
        </row>
        <row r="948">
          <cell r="A948" t="str">
            <v>コットン2号</v>
          </cell>
        </row>
        <row r="949">
          <cell r="A949" t="str">
            <v>コットン2号</v>
          </cell>
        </row>
        <row r="950">
          <cell r="A950" t="str">
            <v>コットン2号</v>
          </cell>
        </row>
        <row r="951">
          <cell r="A951" t="str">
            <v>コットン2号</v>
          </cell>
        </row>
        <row r="952">
          <cell r="A952" t="str">
            <v>コットン2号</v>
          </cell>
        </row>
        <row r="953">
          <cell r="A953" t="str">
            <v>コットン2号</v>
          </cell>
        </row>
        <row r="954">
          <cell r="A954" t="str">
            <v>コットン2号</v>
          </cell>
        </row>
        <row r="955">
          <cell r="A955" t="str">
            <v>コットン2号</v>
          </cell>
        </row>
        <row r="956">
          <cell r="A956" t="str">
            <v>コットン2号</v>
          </cell>
        </row>
        <row r="957">
          <cell r="A957" t="str">
            <v>コットン2号</v>
          </cell>
        </row>
        <row r="958">
          <cell r="A958" t="str">
            <v>コットン2号</v>
          </cell>
        </row>
        <row r="959">
          <cell r="A959" t="str">
            <v>コットン2号</v>
          </cell>
        </row>
        <row r="960">
          <cell r="A960" t="str">
            <v>コットン2号</v>
          </cell>
        </row>
        <row r="961">
          <cell r="A961" t="str">
            <v>コットン2号</v>
          </cell>
        </row>
        <row r="962">
          <cell r="A962" t="str">
            <v>コットン2号</v>
          </cell>
        </row>
        <row r="963">
          <cell r="A963" t="str">
            <v>コットン2号</v>
          </cell>
        </row>
        <row r="964">
          <cell r="A964" t="str">
            <v>コットン2号</v>
          </cell>
        </row>
        <row r="965">
          <cell r="A965" t="str">
            <v>コットン2号</v>
          </cell>
        </row>
        <row r="966">
          <cell r="A966" t="str">
            <v>コットン2号</v>
          </cell>
        </row>
        <row r="967">
          <cell r="A967" t="str">
            <v>コットン2号</v>
          </cell>
        </row>
        <row r="968">
          <cell r="A968" t="str">
            <v>コットン2号</v>
          </cell>
        </row>
        <row r="969">
          <cell r="A969" t="str">
            <v>コットン2号</v>
          </cell>
        </row>
        <row r="970">
          <cell r="A970" t="str">
            <v>コットン2号</v>
          </cell>
        </row>
        <row r="971">
          <cell r="A971" t="str">
            <v>コットン2号</v>
          </cell>
        </row>
        <row r="972">
          <cell r="A972" t="str">
            <v>コットン2号</v>
          </cell>
        </row>
        <row r="973">
          <cell r="A973" t="str">
            <v>コットン2号</v>
          </cell>
        </row>
        <row r="974">
          <cell r="A974" t="str">
            <v>コットン2号</v>
          </cell>
        </row>
        <row r="975">
          <cell r="A975" t="str">
            <v>コットン2号</v>
          </cell>
        </row>
        <row r="976">
          <cell r="A976" t="str">
            <v>コットン2号</v>
          </cell>
        </row>
        <row r="977">
          <cell r="A977" t="str">
            <v>コットン2号</v>
          </cell>
        </row>
        <row r="978">
          <cell r="A978" t="str">
            <v>コットン2号</v>
          </cell>
        </row>
        <row r="979">
          <cell r="A979" t="str">
            <v>新コットン３号</v>
          </cell>
        </row>
        <row r="980">
          <cell r="A980" t="str">
            <v>新コットン３号</v>
          </cell>
        </row>
        <row r="981">
          <cell r="A981" t="str">
            <v>新コットン３号</v>
          </cell>
        </row>
        <row r="982">
          <cell r="A982" t="str">
            <v>新コットン３号</v>
          </cell>
        </row>
        <row r="983">
          <cell r="A983" t="str">
            <v>新コットン３号</v>
          </cell>
        </row>
        <row r="984">
          <cell r="A984" t="str">
            <v>新コットン３号</v>
          </cell>
        </row>
        <row r="985">
          <cell r="A985" t="str">
            <v>新コットン３号</v>
          </cell>
        </row>
        <row r="986">
          <cell r="A986" t="str">
            <v>新コットン３号</v>
          </cell>
        </row>
        <row r="987">
          <cell r="A987" t="str">
            <v>新コットン３号</v>
          </cell>
        </row>
        <row r="988">
          <cell r="A988" t="str">
            <v>新コットン３号</v>
          </cell>
        </row>
        <row r="989">
          <cell r="A989" t="str">
            <v>新コットン３号</v>
          </cell>
        </row>
        <row r="990">
          <cell r="A990" t="str">
            <v>新コットン３号</v>
          </cell>
        </row>
        <row r="991">
          <cell r="A991" t="str">
            <v>新コットン３号</v>
          </cell>
        </row>
        <row r="992">
          <cell r="A992" t="str">
            <v>新コットン３号</v>
          </cell>
        </row>
        <row r="993">
          <cell r="A993" t="str">
            <v>新コットン３号</v>
          </cell>
        </row>
        <row r="994">
          <cell r="A994" t="str">
            <v>新コットン３号</v>
          </cell>
        </row>
        <row r="995">
          <cell r="A995" t="str">
            <v>新コットン３号</v>
          </cell>
        </row>
        <row r="996">
          <cell r="A996" t="str">
            <v>新コットン３号</v>
          </cell>
        </row>
        <row r="997">
          <cell r="A997" t="str">
            <v>新コットン３号</v>
          </cell>
        </row>
        <row r="998">
          <cell r="A998" t="str">
            <v>新コットン３号</v>
          </cell>
        </row>
        <row r="999">
          <cell r="A999" t="str">
            <v>新コットン３号</v>
          </cell>
        </row>
        <row r="1000">
          <cell r="A1000" t="str">
            <v>新コットン３号</v>
          </cell>
        </row>
        <row r="1001">
          <cell r="A1001" t="str">
            <v>新コットン３号</v>
          </cell>
        </row>
        <row r="1002">
          <cell r="A1002" t="str">
            <v>新コットン３号</v>
          </cell>
        </row>
        <row r="1003">
          <cell r="A1003" t="str">
            <v>新コットン３号</v>
          </cell>
        </row>
        <row r="1004">
          <cell r="A1004" t="str">
            <v>新コットン３号</v>
          </cell>
        </row>
        <row r="1005">
          <cell r="A1005" t="str">
            <v>新コットン３号</v>
          </cell>
        </row>
        <row r="1006">
          <cell r="A1006" t="str">
            <v>新コットン３号</v>
          </cell>
        </row>
        <row r="1007">
          <cell r="A1007" t="str">
            <v>新コットン３号</v>
          </cell>
        </row>
        <row r="1008">
          <cell r="A1008" t="str">
            <v>新コットン３号</v>
          </cell>
        </row>
        <row r="1009">
          <cell r="A1009" t="str">
            <v>新コットン３号</v>
          </cell>
        </row>
        <row r="1010">
          <cell r="A1010" t="str">
            <v>パウダーオン２号</v>
          </cell>
        </row>
        <row r="1011">
          <cell r="A1011" t="str">
            <v>パウダーオン２号</v>
          </cell>
        </row>
        <row r="1012">
          <cell r="A1012" t="str">
            <v>パウダーオン２号</v>
          </cell>
        </row>
        <row r="1013">
          <cell r="A1013" t="str">
            <v>パウダーオン２号</v>
          </cell>
        </row>
        <row r="1014">
          <cell r="A1014" t="str">
            <v>パウダーオン２号</v>
          </cell>
        </row>
        <row r="1015">
          <cell r="A1015" t="str">
            <v>パウダーオン２号</v>
          </cell>
        </row>
        <row r="1016">
          <cell r="A1016" t="str">
            <v>パウダーオン２号</v>
          </cell>
        </row>
        <row r="1017">
          <cell r="A1017" t="str">
            <v>パウダーオン２号</v>
          </cell>
        </row>
        <row r="1018">
          <cell r="A1018" t="str">
            <v>パウダーオン２号</v>
          </cell>
        </row>
        <row r="1019">
          <cell r="A1019" t="str">
            <v>パウダーオン２号</v>
          </cell>
        </row>
        <row r="1020">
          <cell r="A1020" t="str">
            <v>パウダーオン２号</v>
          </cell>
        </row>
        <row r="1021">
          <cell r="A1021" t="str">
            <v>パウダーオン２号</v>
          </cell>
        </row>
        <row r="1022">
          <cell r="A1022" t="str">
            <v>パウダーオン２号</v>
          </cell>
        </row>
        <row r="1023">
          <cell r="A1023" t="str">
            <v>パウダーオン２号</v>
          </cell>
        </row>
        <row r="1024">
          <cell r="A1024" t="str">
            <v>パウダーオン２号</v>
          </cell>
        </row>
        <row r="1025">
          <cell r="A1025" t="str">
            <v>パウダーオン２号</v>
          </cell>
        </row>
        <row r="1026">
          <cell r="A1026" t="str">
            <v>パウダーオン２号</v>
          </cell>
        </row>
        <row r="1027">
          <cell r="A1027" t="str">
            <v>パウダーオン２号</v>
          </cell>
        </row>
        <row r="1028">
          <cell r="A1028" t="str">
            <v>パウダーオン２号</v>
          </cell>
        </row>
        <row r="1029">
          <cell r="A1029" t="str">
            <v>パウダーオン２号</v>
          </cell>
        </row>
        <row r="1030">
          <cell r="A1030" t="str">
            <v>パウダーオン２号</v>
          </cell>
        </row>
        <row r="1031">
          <cell r="A1031" t="str">
            <v>パウダーオン２号</v>
          </cell>
        </row>
        <row r="1032">
          <cell r="A1032" t="str">
            <v>パウダーオン２号</v>
          </cell>
        </row>
        <row r="1033">
          <cell r="A1033" t="str">
            <v>パウダーオン２号</v>
          </cell>
        </row>
        <row r="1034">
          <cell r="A1034" t="str">
            <v>パウダーオン２号</v>
          </cell>
        </row>
        <row r="1035">
          <cell r="A1035" t="str">
            <v>パウダーオン２号</v>
          </cell>
        </row>
        <row r="1036">
          <cell r="A1036" t="str">
            <v>パウダーオン２号</v>
          </cell>
        </row>
        <row r="1037">
          <cell r="A1037" t="str">
            <v>パウダーオン２号</v>
          </cell>
        </row>
        <row r="1038">
          <cell r="A1038" t="str">
            <v>パウダーオン２号</v>
          </cell>
        </row>
        <row r="1039">
          <cell r="A1039" t="str">
            <v>パウダーオン２号</v>
          </cell>
        </row>
        <row r="1040">
          <cell r="A1040" t="str">
            <v>パウダーオン２号</v>
          </cell>
        </row>
        <row r="1041">
          <cell r="A1041" t="str">
            <v>パウダーオン３号</v>
          </cell>
        </row>
        <row r="1042">
          <cell r="A1042" t="str">
            <v>パウダーオン３号</v>
          </cell>
        </row>
        <row r="1043">
          <cell r="A1043" t="str">
            <v>パウダーオン３号</v>
          </cell>
        </row>
        <row r="1044">
          <cell r="A1044" t="str">
            <v>パウダーオン３号</v>
          </cell>
        </row>
        <row r="1045">
          <cell r="A1045" t="str">
            <v>パウダーオン３号</v>
          </cell>
        </row>
        <row r="1046">
          <cell r="A1046" t="str">
            <v>パウダーオン３号</v>
          </cell>
        </row>
        <row r="1047">
          <cell r="A1047" t="str">
            <v>パウダーオン３号</v>
          </cell>
        </row>
        <row r="1048">
          <cell r="A1048" t="str">
            <v>パウダーオン３号</v>
          </cell>
        </row>
        <row r="1049">
          <cell r="A1049" t="str">
            <v>パウダーオン３号</v>
          </cell>
        </row>
        <row r="1050">
          <cell r="A1050" t="str">
            <v>パウダーオン３号</v>
          </cell>
        </row>
        <row r="1051">
          <cell r="A1051" t="str">
            <v>パウダーオン３号</v>
          </cell>
        </row>
        <row r="1052">
          <cell r="A1052" t="str">
            <v>パウダーオン３号</v>
          </cell>
        </row>
        <row r="1053">
          <cell r="A1053" t="str">
            <v>パウダーオン３号</v>
          </cell>
        </row>
        <row r="1054">
          <cell r="A1054" t="str">
            <v>パウダーオン３号</v>
          </cell>
        </row>
        <row r="1055">
          <cell r="A1055" t="str">
            <v>パウダーオン３号</v>
          </cell>
        </row>
        <row r="1056">
          <cell r="A1056" t="str">
            <v>パウダーオン３号</v>
          </cell>
        </row>
        <row r="1057">
          <cell r="A1057" t="str">
            <v>パウダーオン３号</v>
          </cell>
        </row>
        <row r="1058">
          <cell r="A1058" t="str">
            <v>パウダーオン３号</v>
          </cell>
        </row>
        <row r="1059">
          <cell r="A1059" t="str">
            <v>パウダーオン３号</v>
          </cell>
        </row>
        <row r="1060">
          <cell r="A1060" t="str">
            <v>パウダーオン３号</v>
          </cell>
        </row>
        <row r="1061">
          <cell r="A1061" t="str">
            <v>パウダーオン３号</v>
          </cell>
        </row>
        <row r="1062">
          <cell r="A1062" t="str">
            <v>パウダーオン３号</v>
          </cell>
        </row>
        <row r="1063">
          <cell r="A1063" t="str">
            <v>パウダーオン３号</v>
          </cell>
        </row>
        <row r="1064">
          <cell r="A1064" t="str">
            <v>パウダーオン３号</v>
          </cell>
        </row>
        <row r="1065">
          <cell r="A1065" t="str">
            <v>パウダーオン３号</v>
          </cell>
        </row>
        <row r="1066">
          <cell r="A1066" t="str">
            <v>パウダーオン３号</v>
          </cell>
        </row>
        <row r="1067">
          <cell r="A1067" t="str">
            <v>パウダーオン３号</v>
          </cell>
        </row>
        <row r="1068">
          <cell r="A1068" t="str">
            <v>パウダーオン３号</v>
          </cell>
        </row>
        <row r="1069">
          <cell r="A1069" t="str">
            <v>パウダーオン３号</v>
          </cell>
        </row>
        <row r="1070">
          <cell r="A1070" t="str">
            <v>パウダーオン３号</v>
          </cell>
        </row>
        <row r="1071">
          <cell r="A1071" t="str">
            <v>パウダーオン３号</v>
          </cell>
        </row>
        <row r="1072">
          <cell r="A1072" t="str">
            <v>コットン１号</v>
          </cell>
        </row>
        <row r="1073">
          <cell r="A1073" t="str">
            <v>コットン１号</v>
          </cell>
        </row>
        <row r="1074">
          <cell r="A1074" t="str">
            <v>コットン１号</v>
          </cell>
        </row>
        <row r="1075">
          <cell r="A1075" t="str">
            <v>コットン１号</v>
          </cell>
        </row>
        <row r="1076">
          <cell r="A1076" t="str">
            <v>コットン１号</v>
          </cell>
        </row>
        <row r="1077">
          <cell r="A1077" t="str">
            <v>コットン１号</v>
          </cell>
        </row>
        <row r="1078">
          <cell r="A1078" t="str">
            <v>コットン１号</v>
          </cell>
        </row>
        <row r="1079">
          <cell r="A1079" t="str">
            <v>コットン１号</v>
          </cell>
        </row>
        <row r="1080">
          <cell r="A1080" t="str">
            <v>コットン１号</v>
          </cell>
        </row>
        <row r="1081">
          <cell r="A1081" t="str">
            <v>コットン１号</v>
          </cell>
        </row>
        <row r="1082">
          <cell r="A1082" t="str">
            <v>コットン１号</v>
          </cell>
        </row>
        <row r="1083">
          <cell r="A1083" t="str">
            <v>コットン１号</v>
          </cell>
        </row>
        <row r="1084">
          <cell r="A1084" t="str">
            <v>コットン１号</v>
          </cell>
        </row>
        <row r="1085">
          <cell r="A1085" t="str">
            <v>コットン１号</v>
          </cell>
        </row>
        <row r="1086">
          <cell r="A1086" t="str">
            <v>コットン１号</v>
          </cell>
        </row>
        <row r="1087">
          <cell r="A1087" t="str">
            <v>コットン１号</v>
          </cell>
        </row>
        <row r="1088">
          <cell r="A1088" t="str">
            <v>コットン１号</v>
          </cell>
        </row>
        <row r="1089">
          <cell r="A1089" t="str">
            <v>コットン１号</v>
          </cell>
        </row>
        <row r="1090">
          <cell r="A1090" t="str">
            <v>コットン１号</v>
          </cell>
        </row>
        <row r="1091">
          <cell r="A1091" t="str">
            <v>コットン１号</v>
          </cell>
        </row>
        <row r="1092">
          <cell r="A1092" t="str">
            <v>コットン１号</v>
          </cell>
        </row>
        <row r="1093">
          <cell r="A1093" t="str">
            <v>コットン１号</v>
          </cell>
        </row>
        <row r="1094">
          <cell r="A1094" t="str">
            <v>コットン１号</v>
          </cell>
        </row>
        <row r="1095">
          <cell r="A1095" t="str">
            <v>コットン１号</v>
          </cell>
        </row>
        <row r="1096">
          <cell r="A1096" t="str">
            <v>コットン１号</v>
          </cell>
        </row>
        <row r="1097">
          <cell r="A1097" t="str">
            <v>コットン１号</v>
          </cell>
        </row>
        <row r="1098">
          <cell r="A1098" t="str">
            <v>コットン１号</v>
          </cell>
        </row>
        <row r="1099">
          <cell r="A1099" t="str">
            <v>コットン１号</v>
          </cell>
        </row>
        <row r="1100">
          <cell r="A1100" t="str">
            <v>コットン１号</v>
          </cell>
        </row>
        <row r="1101">
          <cell r="A1101" t="str">
            <v>コットン１号</v>
          </cell>
        </row>
        <row r="1102">
          <cell r="A1102" t="str">
            <v>コットン2号</v>
          </cell>
        </row>
        <row r="1103">
          <cell r="A1103" t="str">
            <v>コットン2号</v>
          </cell>
        </row>
        <row r="1104">
          <cell r="A1104" t="str">
            <v>コットン2号</v>
          </cell>
        </row>
        <row r="1105">
          <cell r="A1105" t="str">
            <v>コットン2号</v>
          </cell>
        </row>
        <row r="1106">
          <cell r="A1106" t="str">
            <v>コットン2号</v>
          </cell>
        </row>
        <row r="1107">
          <cell r="A1107" t="str">
            <v>コットン2号</v>
          </cell>
        </row>
        <row r="1108">
          <cell r="A1108" t="str">
            <v>コットン2号</v>
          </cell>
        </row>
        <row r="1109">
          <cell r="A1109" t="str">
            <v>コットン2号</v>
          </cell>
        </row>
        <row r="1110">
          <cell r="A1110" t="str">
            <v>コットン2号</v>
          </cell>
        </row>
        <row r="1111">
          <cell r="A1111" t="str">
            <v>コットン2号</v>
          </cell>
        </row>
        <row r="1112">
          <cell r="A1112" t="str">
            <v>コットン2号</v>
          </cell>
        </row>
        <row r="1113">
          <cell r="A1113" t="str">
            <v>コットン2号</v>
          </cell>
        </row>
        <row r="1114">
          <cell r="A1114" t="str">
            <v>コットン2号</v>
          </cell>
        </row>
        <row r="1115">
          <cell r="A1115" t="str">
            <v>コットン2号</v>
          </cell>
        </row>
        <row r="1116">
          <cell r="A1116" t="str">
            <v>コットン2号</v>
          </cell>
        </row>
        <row r="1117">
          <cell r="A1117" t="str">
            <v>コットン2号</v>
          </cell>
        </row>
        <row r="1118">
          <cell r="A1118" t="str">
            <v>コットン2号</v>
          </cell>
        </row>
        <row r="1119">
          <cell r="A1119" t="str">
            <v>コットン2号</v>
          </cell>
        </row>
        <row r="1120">
          <cell r="A1120" t="str">
            <v>コットン2号</v>
          </cell>
        </row>
        <row r="1121">
          <cell r="A1121" t="str">
            <v>コットン2号</v>
          </cell>
        </row>
        <row r="1122">
          <cell r="A1122" t="str">
            <v>コットン2号</v>
          </cell>
        </row>
        <row r="1123">
          <cell r="A1123" t="str">
            <v>コットン2号</v>
          </cell>
        </row>
        <row r="1124">
          <cell r="A1124" t="str">
            <v>コットン2号</v>
          </cell>
        </row>
        <row r="1125">
          <cell r="A1125" t="str">
            <v>コットン2号</v>
          </cell>
        </row>
        <row r="1126">
          <cell r="A1126" t="str">
            <v>コットン2号</v>
          </cell>
        </row>
        <row r="1127">
          <cell r="A1127" t="str">
            <v>コットン2号</v>
          </cell>
        </row>
        <row r="1128">
          <cell r="A1128" t="str">
            <v>コットン2号</v>
          </cell>
        </row>
        <row r="1129">
          <cell r="A1129" t="str">
            <v>コットン2号</v>
          </cell>
        </row>
        <row r="1130">
          <cell r="A1130" t="str">
            <v>コットン2号</v>
          </cell>
        </row>
        <row r="1131">
          <cell r="A1131" t="str">
            <v>コットン2号</v>
          </cell>
        </row>
        <row r="1132">
          <cell r="A1132" t="str">
            <v>新コットン３号</v>
          </cell>
        </row>
        <row r="1133">
          <cell r="A1133" t="str">
            <v>新コットン３号</v>
          </cell>
        </row>
        <row r="1134">
          <cell r="A1134" t="str">
            <v>新コットン３号</v>
          </cell>
        </row>
        <row r="1135">
          <cell r="A1135" t="str">
            <v>新コットン３号</v>
          </cell>
        </row>
        <row r="1136">
          <cell r="A1136" t="str">
            <v>新コットン３号</v>
          </cell>
        </row>
        <row r="1137">
          <cell r="A1137" t="str">
            <v>新コットン３号</v>
          </cell>
        </row>
        <row r="1138">
          <cell r="A1138" t="str">
            <v>新コットン３号</v>
          </cell>
        </row>
        <row r="1139">
          <cell r="A1139" t="str">
            <v>新コットン３号</v>
          </cell>
        </row>
        <row r="1140">
          <cell r="A1140" t="str">
            <v>新コットン３号</v>
          </cell>
        </row>
        <row r="1141">
          <cell r="A1141" t="str">
            <v>新コットン３号</v>
          </cell>
        </row>
        <row r="1142">
          <cell r="A1142" t="str">
            <v>新コットン３号</v>
          </cell>
        </row>
        <row r="1143">
          <cell r="A1143" t="str">
            <v>新コットン３号</v>
          </cell>
        </row>
        <row r="1144">
          <cell r="A1144" t="str">
            <v>新コットン３号</v>
          </cell>
        </row>
        <row r="1145">
          <cell r="A1145" t="str">
            <v>新コットン３号</v>
          </cell>
        </row>
        <row r="1146">
          <cell r="A1146" t="str">
            <v>新コットン３号</v>
          </cell>
        </row>
        <row r="1147">
          <cell r="A1147" t="str">
            <v>新コットン３号</v>
          </cell>
        </row>
        <row r="1148">
          <cell r="A1148" t="str">
            <v>新コットン３号</v>
          </cell>
        </row>
        <row r="1149">
          <cell r="A1149" t="str">
            <v>新コットン３号</v>
          </cell>
        </row>
        <row r="1150">
          <cell r="A1150" t="str">
            <v>新コットン３号</v>
          </cell>
        </row>
        <row r="1151">
          <cell r="A1151" t="str">
            <v>新コットン３号</v>
          </cell>
        </row>
        <row r="1152">
          <cell r="A1152" t="str">
            <v>新コットン３号</v>
          </cell>
        </row>
        <row r="1153">
          <cell r="A1153" t="str">
            <v>新コットン３号</v>
          </cell>
        </row>
        <row r="1154">
          <cell r="A1154" t="str">
            <v>新コットン３号</v>
          </cell>
        </row>
        <row r="1155">
          <cell r="A1155" t="str">
            <v>新コットン３号</v>
          </cell>
        </row>
        <row r="1156">
          <cell r="A1156" t="str">
            <v>新コットン３号</v>
          </cell>
        </row>
        <row r="1157">
          <cell r="A1157" t="str">
            <v>新コットン３号</v>
          </cell>
        </row>
        <row r="1158">
          <cell r="A1158" t="str">
            <v>新コットン３号</v>
          </cell>
        </row>
        <row r="1159">
          <cell r="A1159" t="str">
            <v>新コットン３号</v>
          </cell>
        </row>
        <row r="1160">
          <cell r="A1160" t="str">
            <v>新コットン３号</v>
          </cell>
        </row>
        <row r="1161">
          <cell r="A1161" t="str">
            <v>新コットン３号</v>
          </cell>
        </row>
        <row r="1162">
          <cell r="A1162" t="str">
            <v>パウダーオン２号</v>
          </cell>
        </row>
        <row r="1163">
          <cell r="A1163" t="str">
            <v>パウダーオン２号</v>
          </cell>
        </row>
        <row r="1164">
          <cell r="A1164" t="str">
            <v>パウダーオン２号</v>
          </cell>
        </row>
        <row r="1165">
          <cell r="A1165" t="str">
            <v>パウダーオン２号</v>
          </cell>
        </row>
        <row r="1166">
          <cell r="A1166" t="str">
            <v>パウダーオン２号</v>
          </cell>
        </row>
        <row r="1167">
          <cell r="A1167" t="str">
            <v>パウダーオン２号</v>
          </cell>
        </row>
        <row r="1168">
          <cell r="A1168" t="str">
            <v>パウダーオン２号</v>
          </cell>
        </row>
        <row r="1169">
          <cell r="A1169" t="str">
            <v>パウダーオン２号</v>
          </cell>
        </row>
        <row r="1170">
          <cell r="A1170" t="str">
            <v>パウダーオン２号</v>
          </cell>
        </row>
        <row r="1171">
          <cell r="A1171" t="str">
            <v>パウダーオン２号</v>
          </cell>
        </row>
        <row r="1172">
          <cell r="A1172" t="str">
            <v>パウダーオン２号</v>
          </cell>
        </row>
        <row r="1173">
          <cell r="A1173" t="str">
            <v>パウダーオン２号</v>
          </cell>
        </row>
        <row r="1174">
          <cell r="A1174" t="str">
            <v>パウダーオン２号</v>
          </cell>
        </row>
        <row r="1175">
          <cell r="A1175" t="str">
            <v>パウダーオン２号</v>
          </cell>
        </row>
        <row r="1176">
          <cell r="A1176" t="str">
            <v>パウダーオン２号</v>
          </cell>
        </row>
        <row r="1177">
          <cell r="A1177" t="str">
            <v>パウダーオン２号</v>
          </cell>
        </row>
        <row r="1178">
          <cell r="A1178" t="str">
            <v>パウダーオン２号</v>
          </cell>
        </row>
        <row r="1179">
          <cell r="A1179" t="str">
            <v>パウダーオン２号</v>
          </cell>
        </row>
        <row r="1180">
          <cell r="A1180" t="str">
            <v>パウダーオン２号</v>
          </cell>
        </row>
        <row r="1181">
          <cell r="A1181" t="str">
            <v>パウダーオン２号</v>
          </cell>
        </row>
        <row r="1182">
          <cell r="A1182" t="str">
            <v>パウダーオン２号</v>
          </cell>
        </row>
        <row r="1183">
          <cell r="A1183" t="str">
            <v>パウダーオン２号</v>
          </cell>
        </row>
        <row r="1184">
          <cell r="A1184" t="str">
            <v>パウダーオン２号</v>
          </cell>
        </row>
        <row r="1185">
          <cell r="A1185" t="str">
            <v>パウダーオン２号</v>
          </cell>
        </row>
        <row r="1186">
          <cell r="A1186" t="str">
            <v>パウダーオン２号</v>
          </cell>
        </row>
        <row r="1187">
          <cell r="A1187" t="str">
            <v>パウダーオン２号</v>
          </cell>
        </row>
        <row r="1188">
          <cell r="A1188" t="str">
            <v>パウダーオン２号</v>
          </cell>
        </row>
        <row r="1189">
          <cell r="A1189" t="str">
            <v>パウダーオン２号</v>
          </cell>
        </row>
        <row r="1190">
          <cell r="A1190" t="str">
            <v>パウダーオン２号</v>
          </cell>
        </row>
        <row r="1191">
          <cell r="A1191" t="str">
            <v>パウダーオン２号</v>
          </cell>
        </row>
        <row r="1192">
          <cell r="A1192" t="str">
            <v>パウダーオン３号</v>
          </cell>
        </row>
        <row r="1193">
          <cell r="A1193" t="str">
            <v>パウダーオン３号</v>
          </cell>
        </row>
        <row r="1194">
          <cell r="A1194" t="str">
            <v>パウダーオン３号</v>
          </cell>
        </row>
        <row r="1195">
          <cell r="A1195" t="str">
            <v>パウダーオン３号</v>
          </cell>
        </row>
        <row r="1196">
          <cell r="A1196" t="str">
            <v>パウダーオン３号</v>
          </cell>
        </row>
        <row r="1197">
          <cell r="A1197" t="str">
            <v>パウダーオン３号</v>
          </cell>
        </row>
        <row r="1198">
          <cell r="A1198" t="str">
            <v>パウダーオン３号</v>
          </cell>
        </row>
        <row r="1199">
          <cell r="A1199" t="str">
            <v>パウダーオン３号</v>
          </cell>
        </row>
        <row r="1200">
          <cell r="A1200" t="str">
            <v>パウダーオン３号</v>
          </cell>
        </row>
        <row r="1201">
          <cell r="A1201" t="str">
            <v>パウダーオン３号</v>
          </cell>
        </row>
        <row r="1202">
          <cell r="A1202" t="str">
            <v>パウダーオン３号</v>
          </cell>
        </row>
        <row r="1203">
          <cell r="A1203" t="str">
            <v>パウダーオン３号</v>
          </cell>
        </row>
        <row r="1204">
          <cell r="A1204" t="str">
            <v>パウダーオン３号</v>
          </cell>
        </row>
        <row r="1205">
          <cell r="A1205" t="str">
            <v>パウダーオン３号</v>
          </cell>
        </row>
        <row r="1206">
          <cell r="A1206" t="str">
            <v>パウダーオン３号</v>
          </cell>
        </row>
        <row r="1207">
          <cell r="A1207" t="str">
            <v>パウダーオン３号</v>
          </cell>
        </row>
        <row r="1208">
          <cell r="A1208" t="str">
            <v>パウダーオン３号</v>
          </cell>
        </row>
        <row r="1209">
          <cell r="A1209" t="str">
            <v>パウダーオン３号</v>
          </cell>
        </row>
        <row r="1210">
          <cell r="A1210" t="str">
            <v>パウダーオン３号</v>
          </cell>
        </row>
        <row r="1211">
          <cell r="A1211" t="str">
            <v>パウダーオン３号</v>
          </cell>
        </row>
        <row r="1212">
          <cell r="A1212" t="str">
            <v>パウダーオン３号</v>
          </cell>
        </row>
        <row r="1213">
          <cell r="A1213" t="str">
            <v>パウダーオン３号</v>
          </cell>
        </row>
        <row r="1214">
          <cell r="A1214" t="str">
            <v>パウダーオン３号</v>
          </cell>
        </row>
        <row r="1215">
          <cell r="A1215" t="str">
            <v>パウダーオン３号</v>
          </cell>
        </row>
        <row r="1216">
          <cell r="A1216" t="str">
            <v>パウダーオン３号</v>
          </cell>
        </row>
        <row r="1217">
          <cell r="A1217" t="str">
            <v>パウダーオン３号</v>
          </cell>
        </row>
        <row r="1218">
          <cell r="A1218" t="str">
            <v>パウダーオン３号</v>
          </cell>
        </row>
        <row r="1219">
          <cell r="A1219" t="str">
            <v>パウダーオン３号</v>
          </cell>
        </row>
        <row r="1220">
          <cell r="A1220" t="str">
            <v>パウダーオン３号</v>
          </cell>
        </row>
        <row r="1221">
          <cell r="A1221" t="str">
            <v>パウダーオン３号</v>
          </cell>
        </row>
        <row r="1222">
          <cell r="A1222" t="str">
            <v>コットン１号</v>
          </cell>
        </row>
        <row r="1223">
          <cell r="A1223" t="str">
            <v>コットン１号</v>
          </cell>
        </row>
        <row r="1224">
          <cell r="A1224" t="str">
            <v>コットン１号</v>
          </cell>
        </row>
        <row r="1225">
          <cell r="A1225" t="str">
            <v>コットン１号</v>
          </cell>
        </row>
        <row r="1226">
          <cell r="A1226" t="str">
            <v>コットン１号</v>
          </cell>
        </row>
        <row r="1227">
          <cell r="A1227" t="str">
            <v>コットン１号</v>
          </cell>
        </row>
        <row r="1228">
          <cell r="A1228" t="str">
            <v>コットン１号</v>
          </cell>
        </row>
        <row r="1229">
          <cell r="A1229" t="str">
            <v>コットン１号</v>
          </cell>
        </row>
        <row r="1230">
          <cell r="A1230" t="str">
            <v>コットン１号</v>
          </cell>
        </row>
        <row r="1231">
          <cell r="A1231" t="str">
            <v>コットン１号</v>
          </cell>
        </row>
        <row r="1232">
          <cell r="A1232" t="str">
            <v>コットン１号</v>
          </cell>
        </row>
        <row r="1233">
          <cell r="A1233" t="str">
            <v>コットン１号</v>
          </cell>
        </row>
        <row r="1234">
          <cell r="A1234" t="str">
            <v>コットン１号</v>
          </cell>
        </row>
        <row r="1235">
          <cell r="A1235" t="str">
            <v>コットン１号</v>
          </cell>
        </row>
        <row r="1236">
          <cell r="A1236" t="str">
            <v>コットン１号</v>
          </cell>
        </row>
        <row r="1237">
          <cell r="A1237" t="str">
            <v>コットン１号</v>
          </cell>
        </row>
        <row r="1238">
          <cell r="A1238" t="str">
            <v>コットン１号</v>
          </cell>
        </row>
        <row r="1239">
          <cell r="A1239" t="str">
            <v>コットン１号</v>
          </cell>
        </row>
        <row r="1240">
          <cell r="A1240" t="str">
            <v>コットン１号</v>
          </cell>
        </row>
        <row r="1241">
          <cell r="A1241" t="str">
            <v>コットン１号</v>
          </cell>
        </row>
        <row r="1242">
          <cell r="A1242" t="str">
            <v>コットン１号</v>
          </cell>
        </row>
        <row r="1243">
          <cell r="A1243" t="str">
            <v>コットン１号</v>
          </cell>
        </row>
        <row r="1244">
          <cell r="A1244" t="str">
            <v>コットン１号</v>
          </cell>
        </row>
        <row r="1245">
          <cell r="A1245" t="str">
            <v>コットン１号</v>
          </cell>
        </row>
        <row r="1246">
          <cell r="A1246" t="str">
            <v>コットン１号</v>
          </cell>
        </row>
        <row r="1247">
          <cell r="A1247" t="str">
            <v>コットン１号</v>
          </cell>
        </row>
        <row r="1248">
          <cell r="A1248" t="str">
            <v>コットン１号</v>
          </cell>
        </row>
        <row r="1249">
          <cell r="A1249" t="str">
            <v>コットン１号</v>
          </cell>
        </row>
        <row r="1250">
          <cell r="A1250" t="str">
            <v>コットン１号</v>
          </cell>
        </row>
        <row r="1251">
          <cell r="A1251" t="str">
            <v>コットン１号</v>
          </cell>
        </row>
        <row r="1252">
          <cell r="A1252" t="str">
            <v>コットン１号</v>
          </cell>
        </row>
        <row r="1253">
          <cell r="A1253" t="str">
            <v>コットン2号</v>
          </cell>
        </row>
        <row r="1254">
          <cell r="A1254" t="str">
            <v>コットン2号</v>
          </cell>
        </row>
        <row r="1255">
          <cell r="A1255" t="str">
            <v>コットン2号</v>
          </cell>
        </row>
        <row r="1256">
          <cell r="A1256" t="str">
            <v>コットン2号</v>
          </cell>
        </row>
        <row r="1257">
          <cell r="A1257" t="str">
            <v>コットン2号</v>
          </cell>
        </row>
        <row r="1258">
          <cell r="A1258" t="str">
            <v>コットン2号</v>
          </cell>
        </row>
        <row r="1259">
          <cell r="A1259" t="str">
            <v>コットン2号</v>
          </cell>
        </row>
        <row r="1260">
          <cell r="A1260" t="str">
            <v>コットン2号</v>
          </cell>
        </row>
        <row r="1261">
          <cell r="A1261" t="str">
            <v>コットン2号</v>
          </cell>
        </row>
        <row r="1262">
          <cell r="A1262" t="str">
            <v>コットン2号</v>
          </cell>
        </row>
        <row r="1263">
          <cell r="A1263" t="str">
            <v>コットン2号</v>
          </cell>
        </row>
        <row r="1264">
          <cell r="A1264" t="str">
            <v>コットン2号</v>
          </cell>
        </row>
        <row r="1265">
          <cell r="A1265" t="str">
            <v>コットン2号</v>
          </cell>
        </row>
        <row r="1266">
          <cell r="A1266" t="str">
            <v>コットン2号</v>
          </cell>
        </row>
        <row r="1267">
          <cell r="A1267" t="str">
            <v>コットン2号</v>
          </cell>
        </row>
        <row r="1268">
          <cell r="A1268" t="str">
            <v>コットン2号</v>
          </cell>
        </row>
        <row r="1269">
          <cell r="A1269" t="str">
            <v>コットン2号</v>
          </cell>
        </row>
        <row r="1270">
          <cell r="A1270" t="str">
            <v>コットン2号</v>
          </cell>
        </row>
        <row r="1271">
          <cell r="A1271" t="str">
            <v>コットン2号</v>
          </cell>
        </row>
        <row r="1272">
          <cell r="A1272" t="str">
            <v>コットン2号</v>
          </cell>
        </row>
        <row r="1273">
          <cell r="A1273" t="str">
            <v>コットン2号</v>
          </cell>
        </row>
        <row r="1274">
          <cell r="A1274" t="str">
            <v>コットン2号</v>
          </cell>
        </row>
        <row r="1275">
          <cell r="A1275" t="str">
            <v>コットン2号</v>
          </cell>
        </row>
        <row r="1276">
          <cell r="A1276" t="str">
            <v>コットン2号</v>
          </cell>
        </row>
        <row r="1277">
          <cell r="A1277" t="str">
            <v>コットン2号</v>
          </cell>
        </row>
        <row r="1278">
          <cell r="A1278" t="str">
            <v>コットン2号</v>
          </cell>
        </row>
        <row r="1279">
          <cell r="A1279" t="str">
            <v>コットン2号</v>
          </cell>
        </row>
        <row r="1280">
          <cell r="A1280" t="str">
            <v>コットン2号</v>
          </cell>
        </row>
        <row r="1281">
          <cell r="A1281" t="str">
            <v>コットン2号</v>
          </cell>
        </row>
        <row r="1282">
          <cell r="A1282" t="str">
            <v>コットン2号</v>
          </cell>
        </row>
        <row r="1283">
          <cell r="A1283" t="str">
            <v>コットン2号</v>
          </cell>
        </row>
        <row r="1284">
          <cell r="A1284" t="str">
            <v>新コットン３号</v>
          </cell>
        </row>
        <row r="1285">
          <cell r="A1285" t="str">
            <v>新コットン３号</v>
          </cell>
        </row>
        <row r="1286">
          <cell r="A1286" t="str">
            <v>新コットン３号</v>
          </cell>
        </row>
        <row r="1287">
          <cell r="A1287" t="str">
            <v>新コットン３号</v>
          </cell>
        </row>
        <row r="1288">
          <cell r="A1288" t="str">
            <v>新コットン３号</v>
          </cell>
        </row>
        <row r="1289">
          <cell r="A1289" t="str">
            <v>新コットン３号</v>
          </cell>
        </row>
        <row r="1290">
          <cell r="A1290" t="str">
            <v>新コットン３号</v>
          </cell>
        </row>
        <row r="1291">
          <cell r="A1291" t="str">
            <v>新コットン３号</v>
          </cell>
        </row>
        <row r="1292">
          <cell r="A1292" t="str">
            <v>新コットン３号</v>
          </cell>
        </row>
        <row r="1293">
          <cell r="A1293" t="str">
            <v>新コットン３号</v>
          </cell>
        </row>
        <row r="1294">
          <cell r="A1294" t="str">
            <v>新コットン３号</v>
          </cell>
        </row>
        <row r="1295">
          <cell r="A1295" t="str">
            <v>新コットン３号</v>
          </cell>
        </row>
        <row r="1296">
          <cell r="A1296" t="str">
            <v>新コットン３号</v>
          </cell>
        </row>
        <row r="1297">
          <cell r="A1297" t="str">
            <v>新コットン３号</v>
          </cell>
        </row>
        <row r="1298">
          <cell r="A1298" t="str">
            <v>新コットン３号</v>
          </cell>
        </row>
        <row r="1299">
          <cell r="A1299" t="str">
            <v>新コットン３号</v>
          </cell>
        </row>
        <row r="1300">
          <cell r="A1300" t="str">
            <v>新コットン３号</v>
          </cell>
        </row>
        <row r="1301">
          <cell r="A1301" t="str">
            <v>新コットン３号</v>
          </cell>
        </row>
        <row r="1302">
          <cell r="A1302" t="str">
            <v>新コットン３号</v>
          </cell>
        </row>
        <row r="1303">
          <cell r="A1303" t="str">
            <v>新コットン３号</v>
          </cell>
        </row>
        <row r="1304">
          <cell r="A1304" t="str">
            <v>新コットン３号</v>
          </cell>
        </row>
        <row r="1305">
          <cell r="A1305" t="str">
            <v>新コットン３号</v>
          </cell>
        </row>
        <row r="1306">
          <cell r="A1306" t="str">
            <v>新コットン３号</v>
          </cell>
        </row>
        <row r="1307">
          <cell r="A1307" t="str">
            <v>新コットン３号</v>
          </cell>
        </row>
        <row r="1308">
          <cell r="A1308" t="str">
            <v>新コットン３号</v>
          </cell>
        </row>
        <row r="1309">
          <cell r="A1309" t="str">
            <v>新コットン３号</v>
          </cell>
        </row>
        <row r="1310">
          <cell r="A1310" t="str">
            <v>新コットン３号</v>
          </cell>
        </row>
        <row r="1311">
          <cell r="A1311" t="str">
            <v>新コットン３号</v>
          </cell>
        </row>
        <row r="1312">
          <cell r="A1312" t="str">
            <v>新コットン３号</v>
          </cell>
        </row>
        <row r="1313">
          <cell r="A1313" t="str">
            <v>新コットン３号</v>
          </cell>
        </row>
        <row r="1314">
          <cell r="A1314" t="str">
            <v>新コットン３号</v>
          </cell>
        </row>
        <row r="1315">
          <cell r="A1315" t="str">
            <v>パウダーオン２号</v>
          </cell>
        </row>
        <row r="1316">
          <cell r="A1316" t="str">
            <v>パウダーオン２号</v>
          </cell>
        </row>
        <row r="1317">
          <cell r="A1317" t="str">
            <v>パウダーオン２号</v>
          </cell>
        </row>
        <row r="1318">
          <cell r="A1318" t="str">
            <v>パウダーオン２号</v>
          </cell>
        </row>
        <row r="1319">
          <cell r="A1319" t="str">
            <v>パウダーオン２号</v>
          </cell>
        </row>
        <row r="1320">
          <cell r="A1320" t="str">
            <v>パウダーオン２号</v>
          </cell>
        </row>
        <row r="1321">
          <cell r="A1321" t="str">
            <v>パウダーオン２号</v>
          </cell>
        </row>
        <row r="1322">
          <cell r="A1322" t="str">
            <v>パウダーオン２号</v>
          </cell>
        </row>
        <row r="1323">
          <cell r="A1323" t="str">
            <v>パウダーオン２号</v>
          </cell>
        </row>
        <row r="1324">
          <cell r="A1324" t="str">
            <v>パウダーオン２号</v>
          </cell>
        </row>
        <row r="1325">
          <cell r="A1325" t="str">
            <v>パウダーオン２号</v>
          </cell>
        </row>
        <row r="1326">
          <cell r="A1326" t="str">
            <v>パウダーオン２号</v>
          </cell>
        </row>
        <row r="1327">
          <cell r="A1327" t="str">
            <v>パウダーオン２号</v>
          </cell>
        </row>
        <row r="1328">
          <cell r="A1328" t="str">
            <v>パウダーオン２号</v>
          </cell>
        </row>
        <row r="1329">
          <cell r="A1329" t="str">
            <v>パウダーオン２号</v>
          </cell>
        </row>
        <row r="1330">
          <cell r="A1330" t="str">
            <v>パウダーオン２号</v>
          </cell>
        </row>
        <row r="1331">
          <cell r="A1331" t="str">
            <v>パウダーオン２号</v>
          </cell>
        </row>
        <row r="1332">
          <cell r="A1332" t="str">
            <v>パウダーオン２号</v>
          </cell>
        </row>
        <row r="1333">
          <cell r="A1333" t="str">
            <v>パウダーオン２号</v>
          </cell>
        </row>
        <row r="1334">
          <cell r="A1334" t="str">
            <v>パウダーオン２号</v>
          </cell>
        </row>
        <row r="1335">
          <cell r="A1335" t="str">
            <v>パウダーオン２号</v>
          </cell>
        </row>
        <row r="1336">
          <cell r="A1336" t="str">
            <v>パウダーオン２号</v>
          </cell>
        </row>
        <row r="1337">
          <cell r="A1337" t="str">
            <v>パウダーオン２号</v>
          </cell>
        </row>
        <row r="1338">
          <cell r="A1338" t="str">
            <v>パウダーオン２号</v>
          </cell>
        </row>
        <row r="1339">
          <cell r="A1339" t="str">
            <v>パウダーオン２号</v>
          </cell>
        </row>
        <row r="1340">
          <cell r="A1340" t="str">
            <v>パウダーオン２号</v>
          </cell>
        </row>
        <row r="1341">
          <cell r="A1341" t="str">
            <v>パウダーオン２号</v>
          </cell>
        </row>
        <row r="1342">
          <cell r="A1342" t="str">
            <v>パウダーオン２号</v>
          </cell>
        </row>
        <row r="1343">
          <cell r="A1343" t="str">
            <v>パウダーオン２号</v>
          </cell>
        </row>
        <row r="1344">
          <cell r="A1344" t="str">
            <v>パウダーオン２号</v>
          </cell>
        </row>
        <row r="1345">
          <cell r="A1345" t="str">
            <v>パウダーオン２号</v>
          </cell>
        </row>
        <row r="1346">
          <cell r="A1346" t="str">
            <v>パウダーオン３号</v>
          </cell>
        </row>
        <row r="1347">
          <cell r="A1347" t="str">
            <v>パウダーオン３号</v>
          </cell>
        </row>
        <row r="1348">
          <cell r="A1348" t="str">
            <v>パウダーオン３号</v>
          </cell>
        </row>
        <row r="1349">
          <cell r="A1349" t="str">
            <v>パウダーオン３号</v>
          </cell>
        </row>
        <row r="1350">
          <cell r="A1350" t="str">
            <v>パウダーオン３号</v>
          </cell>
        </row>
        <row r="1351">
          <cell r="A1351" t="str">
            <v>パウダーオン３号</v>
          </cell>
        </row>
        <row r="1352">
          <cell r="A1352" t="str">
            <v>パウダーオン３号</v>
          </cell>
        </row>
        <row r="1353">
          <cell r="A1353" t="str">
            <v>パウダーオン３号</v>
          </cell>
        </row>
        <row r="1354">
          <cell r="A1354" t="str">
            <v>パウダーオン３号</v>
          </cell>
        </row>
        <row r="1355">
          <cell r="A1355" t="str">
            <v>パウダーオン３号</v>
          </cell>
        </row>
        <row r="1356">
          <cell r="A1356" t="str">
            <v>パウダーオン３号</v>
          </cell>
        </row>
        <row r="1357">
          <cell r="A1357" t="str">
            <v>パウダーオン３号</v>
          </cell>
        </row>
        <row r="1358">
          <cell r="A1358" t="str">
            <v>パウダーオン３号</v>
          </cell>
        </row>
        <row r="1359">
          <cell r="A1359" t="str">
            <v>パウダーオン３号</v>
          </cell>
        </row>
        <row r="1360">
          <cell r="A1360" t="str">
            <v>パウダーオン３号</v>
          </cell>
        </row>
        <row r="1361">
          <cell r="A1361" t="str">
            <v>パウダーオン３号</v>
          </cell>
        </row>
        <row r="1362">
          <cell r="A1362" t="str">
            <v>パウダーオン３号</v>
          </cell>
        </row>
        <row r="1363">
          <cell r="A1363" t="str">
            <v>パウダーオン３号</v>
          </cell>
        </row>
        <row r="1364">
          <cell r="A1364" t="str">
            <v>パウダーオン３号</v>
          </cell>
        </row>
        <row r="1365">
          <cell r="A1365" t="str">
            <v>パウダーオン３号</v>
          </cell>
        </row>
        <row r="1366">
          <cell r="A1366" t="str">
            <v>パウダーオン３号</v>
          </cell>
        </row>
        <row r="1367">
          <cell r="A1367" t="str">
            <v>パウダーオン３号</v>
          </cell>
        </row>
        <row r="1368">
          <cell r="A1368" t="str">
            <v>パウダーオン３号</v>
          </cell>
        </row>
        <row r="1369">
          <cell r="A1369" t="str">
            <v>パウダーオン３号</v>
          </cell>
        </row>
        <row r="1370">
          <cell r="A1370" t="str">
            <v>パウダーオン３号</v>
          </cell>
        </row>
        <row r="1371">
          <cell r="A1371" t="str">
            <v>パウダーオン３号</v>
          </cell>
        </row>
        <row r="1372">
          <cell r="A1372" t="str">
            <v>パウダーオン３号</v>
          </cell>
        </row>
        <row r="1373">
          <cell r="A1373" t="str">
            <v>パウダーオン３号</v>
          </cell>
        </row>
        <row r="1374">
          <cell r="A1374" t="str">
            <v>パウダーオン３号</v>
          </cell>
        </row>
        <row r="1375">
          <cell r="A1375" t="str">
            <v>パウダーオン３号</v>
          </cell>
        </row>
        <row r="1376">
          <cell r="A1376" t="str">
            <v>パウダーオン３号</v>
          </cell>
        </row>
        <row r="1377">
          <cell r="A1377" t="str">
            <v>コットン１号</v>
          </cell>
        </row>
        <row r="1378">
          <cell r="A1378" t="str">
            <v>コットン１号</v>
          </cell>
        </row>
        <row r="1379">
          <cell r="A1379" t="str">
            <v>コットン１号</v>
          </cell>
        </row>
        <row r="1380">
          <cell r="A1380" t="str">
            <v>コットン１号</v>
          </cell>
        </row>
        <row r="1381">
          <cell r="A1381" t="str">
            <v>コットン１号</v>
          </cell>
        </row>
        <row r="1382">
          <cell r="A1382" t="str">
            <v>コットン１号</v>
          </cell>
        </row>
        <row r="1383">
          <cell r="A1383" t="str">
            <v>コットン１号</v>
          </cell>
        </row>
        <row r="1384">
          <cell r="A1384" t="str">
            <v>コットン１号</v>
          </cell>
        </row>
        <row r="1385">
          <cell r="A1385" t="str">
            <v>コットン１号</v>
          </cell>
        </row>
        <row r="1386">
          <cell r="A1386" t="str">
            <v>コットン１号</v>
          </cell>
        </row>
        <row r="1387">
          <cell r="A1387" t="str">
            <v>コットン１号</v>
          </cell>
        </row>
        <row r="1388">
          <cell r="A1388" t="str">
            <v>コットン１号</v>
          </cell>
        </row>
        <row r="1389">
          <cell r="A1389" t="str">
            <v>コットン１号</v>
          </cell>
        </row>
        <row r="1390">
          <cell r="A1390" t="str">
            <v>コットン１号</v>
          </cell>
        </row>
        <row r="1391">
          <cell r="A1391" t="str">
            <v>コットン１号</v>
          </cell>
        </row>
        <row r="1392">
          <cell r="A1392" t="str">
            <v>コットン１号</v>
          </cell>
        </row>
        <row r="1393">
          <cell r="A1393" t="str">
            <v>コットン１号</v>
          </cell>
        </row>
        <row r="1394">
          <cell r="A1394" t="str">
            <v>コットン１号</v>
          </cell>
        </row>
        <row r="1395">
          <cell r="A1395" t="str">
            <v>コットン１号</v>
          </cell>
        </row>
        <row r="1396">
          <cell r="A1396" t="str">
            <v>コットン１号</v>
          </cell>
        </row>
        <row r="1397">
          <cell r="A1397" t="str">
            <v>コットン１号</v>
          </cell>
        </row>
        <row r="1398">
          <cell r="A1398" t="str">
            <v>コットン１号</v>
          </cell>
        </row>
        <row r="1399">
          <cell r="A1399" t="str">
            <v>コットン１号</v>
          </cell>
        </row>
        <row r="1400">
          <cell r="A1400" t="str">
            <v>コットン１号</v>
          </cell>
        </row>
        <row r="1401">
          <cell r="A1401" t="str">
            <v>コットン１号</v>
          </cell>
        </row>
        <row r="1402">
          <cell r="A1402" t="str">
            <v>コットン１号</v>
          </cell>
        </row>
        <row r="1403">
          <cell r="A1403" t="str">
            <v>コットン１号</v>
          </cell>
        </row>
        <row r="1404">
          <cell r="A1404" t="str">
            <v>コットン１号</v>
          </cell>
        </row>
        <row r="1405">
          <cell r="A1405" t="str">
            <v>コットン１号</v>
          </cell>
        </row>
        <row r="1406">
          <cell r="A1406" t="str">
            <v>コットン１号</v>
          </cell>
        </row>
        <row r="1407">
          <cell r="A1407" t="str">
            <v>コットン１号</v>
          </cell>
        </row>
        <row r="1408">
          <cell r="A1408" t="str">
            <v>コットン2号</v>
          </cell>
        </row>
        <row r="1409">
          <cell r="A1409" t="str">
            <v>コットン2号</v>
          </cell>
        </row>
        <row r="1410">
          <cell r="A1410" t="str">
            <v>コットン2号</v>
          </cell>
        </row>
        <row r="1411">
          <cell r="A1411" t="str">
            <v>コットン2号</v>
          </cell>
        </row>
        <row r="1412">
          <cell r="A1412" t="str">
            <v>コットン2号</v>
          </cell>
        </row>
        <row r="1413">
          <cell r="A1413" t="str">
            <v>コットン2号</v>
          </cell>
        </row>
        <row r="1414">
          <cell r="A1414" t="str">
            <v>コットン2号</v>
          </cell>
        </row>
        <row r="1415">
          <cell r="A1415" t="str">
            <v>コットン2号</v>
          </cell>
        </row>
        <row r="1416">
          <cell r="A1416" t="str">
            <v>コットン2号</v>
          </cell>
        </row>
        <row r="1417">
          <cell r="A1417" t="str">
            <v>コットン2号</v>
          </cell>
        </row>
        <row r="1418">
          <cell r="A1418" t="str">
            <v>コットン2号</v>
          </cell>
        </row>
        <row r="1419">
          <cell r="A1419" t="str">
            <v>コットン2号</v>
          </cell>
        </row>
        <row r="1420">
          <cell r="A1420" t="str">
            <v>コットン2号</v>
          </cell>
        </row>
        <row r="1421">
          <cell r="A1421" t="str">
            <v>コットン2号</v>
          </cell>
        </row>
        <row r="1422">
          <cell r="A1422" t="str">
            <v>コットン2号</v>
          </cell>
        </row>
        <row r="1423">
          <cell r="A1423" t="str">
            <v>コットン2号</v>
          </cell>
        </row>
        <row r="1424">
          <cell r="A1424" t="str">
            <v>コットン2号</v>
          </cell>
        </row>
        <row r="1425">
          <cell r="A1425" t="str">
            <v>コットン2号</v>
          </cell>
        </row>
        <row r="1426">
          <cell r="A1426" t="str">
            <v>コットン2号</v>
          </cell>
        </row>
        <row r="1427">
          <cell r="A1427" t="str">
            <v>コットン2号</v>
          </cell>
        </row>
        <row r="1428">
          <cell r="A1428" t="str">
            <v>コットン2号</v>
          </cell>
        </row>
        <row r="1429">
          <cell r="A1429" t="str">
            <v>コットン2号</v>
          </cell>
        </row>
        <row r="1430">
          <cell r="A1430" t="str">
            <v>コットン2号</v>
          </cell>
        </row>
        <row r="1431">
          <cell r="A1431" t="str">
            <v>コットン2号</v>
          </cell>
        </row>
        <row r="1432">
          <cell r="A1432" t="str">
            <v>コットン2号</v>
          </cell>
        </row>
        <row r="1433">
          <cell r="A1433" t="str">
            <v>コットン2号</v>
          </cell>
        </row>
        <row r="1434">
          <cell r="A1434" t="str">
            <v>コットン2号</v>
          </cell>
        </row>
        <row r="1435">
          <cell r="A1435" t="str">
            <v>コットン2号</v>
          </cell>
        </row>
        <row r="1436">
          <cell r="A1436" t="str">
            <v>コットン2号</v>
          </cell>
        </row>
        <row r="1437">
          <cell r="A1437" t="str">
            <v>コットン2号</v>
          </cell>
        </row>
        <row r="1438">
          <cell r="A1438" t="str">
            <v>コットン2号</v>
          </cell>
        </row>
        <row r="1439">
          <cell r="A1439" t="str">
            <v>新コットン３号</v>
          </cell>
        </row>
        <row r="1440">
          <cell r="A1440" t="str">
            <v>新コットン３号</v>
          </cell>
        </row>
        <row r="1441">
          <cell r="A1441" t="str">
            <v>新コットン３号</v>
          </cell>
        </row>
        <row r="1442">
          <cell r="A1442" t="str">
            <v>新コットン３号</v>
          </cell>
        </row>
        <row r="1443">
          <cell r="A1443" t="str">
            <v>新コットン３号</v>
          </cell>
        </row>
        <row r="1444">
          <cell r="A1444" t="str">
            <v>新コットン３号</v>
          </cell>
        </row>
        <row r="1445">
          <cell r="A1445" t="str">
            <v>新コットン３号</v>
          </cell>
        </row>
        <row r="1446">
          <cell r="A1446" t="str">
            <v>新コットン３号</v>
          </cell>
        </row>
        <row r="1447">
          <cell r="A1447" t="str">
            <v>新コットン３号</v>
          </cell>
        </row>
        <row r="1448">
          <cell r="A1448" t="str">
            <v>新コットン３号</v>
          </cell>
        </row>
        <row r="1449">
          <cell r="A1449" t="str">
            <v>新コットン３号</v>
          </cell>
        </row>
        <row r="1450">
          <cell r="A1450" t="str">
            <v>新コットン３号</v>
          </cell>
        </row>
        <row r="1451">
          <cell r="A1451" t="str">
            <v>新コットン３号</v>
          </cell>
        </row>
        <row r="1452">
          <cell r="A1452" t="str">
            <v>新コットン３号</v>
          </cell>
        </row>
        <row r="1453">
          <cell r="A1453" t="str">
            <v>新コットン３号</v>
          </cell>
        </row>
        <row r="1454">
          <cell r="A1454" t="str">
            <v>新コットン３号</v>
          </cell>
        </row>
        <row r="1455">
          <cell r="A1455" t="str">
            <v>新コットン３号</v>
          </cell>
        </row>
        <row r="1456">
          <cell r="A1456" t="str">
            <v>新コットン３号</v>
          </cell>
        </row>
        <row r="1457">
          <cell r="A1457" t="str">
            <v>新コットン３号</v>
          </cell>
        </row>
        <row r="1458">
          <cell r="A1458" t="str">
            <v>新コットン３号</v>
          </cell>
        </row>
        <row r="1459">
          <cell r="A1459" t="str">
            <v>新コットン３号</v>
          </cell>
        </row>
        <row r="1460">
          <cell r="A1460" t="str">
            <v>新コットン３号</v>
          </cell>
        </row>
        <row r="1461">
          <cell r="A1461" t="str">
            <v>新コットン３号</v>
          </cell>
        </row>
        <row r="1462">
          <cell r="A1462" t="str">
            <v>新コットン３号</v>
          </cell>
        </row>
        <row r="1463">
          <cell r="A1463" t="str">
            <v>新コットン３号</v>
          </cell>
        </row>
        <row r="1464">
          <cell r="A1464" t="str">
            <v>新コットン３号</v>
          </cell>
        </row>
        <row r="1465">
          <cell r="A1465" t="str">
            <v>新コットン３号</v>
          </cell>
        </row>
        <row r="1466">
          <cell r="A1466" t="str">
            <v>新コットン３号</v>
          </cell>
        </row>
        <row r="1467">
          <cell r="A1467" t="str">
            <v>新コットン３号</v>
          </cell>
        </row>
        <row r="1468">
          <cell r="A1468" t="str">
            <v>新コットン３号</v>
          </cell>
        </row>
        <row r="1469">
          <cell r="A1469" t="str">
            <v>新コットン３号</v>
          </cell>
        </row>
        <row r="1470">
          <cell r="A1470" t="str">
            <v>パウダーオン２号</v>
          </cell>
        </row>
        <row r="1471">
          <cell r="A1471" t="str">
            <v>パウダーオン２号</v>
          </cell>
        </row>
        <row r="1472">
          <cell r="A1472" t="str">
            <v>パウダーオン２号</v>
          </cell>
        </row>
        <row r="1473">
          <cell r="A1473" t="str">
            <v>パウダーオン２号</v>
          </cell>
        </row>
        <row r="1474">
          <cell r="A1474" t="str">
            <v>パウダーオン２号</v>
          </cell>
        </row>
        <row r="1475">
          <cell r="A1475" t="str">
            <v>パウダーオン２号</v>
          </cell>
        </row>
        <row r="1476">
          <cell r="A1476" t="str">
            <v>パウダーオン２号</v>
          </cell>
        </row>
        <row r="1477">
          <cell r="A1477" t="str">
            <v>パウダーオン２号</v>
          </cell>
        </row>
        <row r="1478">
          <cell r="A1478" t="str">
            <v>パウダーオン２号</v>
          </cell>
        </row>
        <row r="1479">
          <cell r="A1479" t="str">
            <v>パウダーオン２号</v>
          </cell>
        </row>
        <row r="1480">
          <cell r="A1480" t="str">
            <v>パウダーオン２号</v>
          </cell>
        </row>
        <row r="1481">
          <cell r="A1481" t="str">
            <v>パウダーオン２号</v>
          </cell>
        </row>
        <row r="1482">
          <cell r="A1482" t="str">
            <v>パウダーオン２号</v>
          </cell>
        </row>
        <row r="1483">
          <cell r="A1483" t="str">
            <v>パウダーオン２号</v>
          </cell>
        </row>
        <row r="1484">
          <cell r="A1484" t="str">
            <v>パウダーオン２号</v>
          </cell>
        </row>
        <row r="1485">
          <cell r="A1485" t="str">
            <v>パウダーオン２号</v>
          </cell>
        </row>
        <row r="1486">
          <cell r="A1486" t="str">
            <v>パウダーオン２号</v>
          </cell>
        </row>
        <row r="1487">
          <cell r="A1487" t="str">
            <v>パウダーオン２号</v>
          </cell>
        </row>
        <row r="1488">
          <cell r="A1488" t="str">
            <v>パウダーオン２号</v>
          </cell>
        </row>
        <row r="1489">
          <cell r="A1489" t="str">
            <v>パウダーオン２号</v>
          </cell>
        </row>
        <row r="1490">
          <cell r="A1490" t="str">
            <v>パウダーオン２号</v>
          </cell>
        </row>
        <row r="1491">
          <cell r="A1491" t="str">
            <v>パウダーオン２号</v>
          </cell>
        </row>
        <row r="1492">
          <cell r="A1492" t="str">
            <v>パウダーオン２号</v>
          </cell>
        </row>
        <row r="1493">
          <cell r="A1493" t="str">
            <v>パウダーオン２号</v>
          </cell>
        </row>
        <row r="1494">
          <cell r="A1494" t="str">
            <v>パウダーオン２号</v>
          </cell>
        </row>
        <row r="1495">
          <cell r="A1495" t="str">
            <v>パウダーオン２号</v>
          </cell>
        </row>
        <row r="1496">
          <cell r="A1496" t="str">
            <v>パウダーオン２号</v>
          </cell>
        </row>
        <row r="1497">
          <cell r="A1497" t="str">
            <v>パウダーオン２号</v>
          </cell>
        </row>
        <row r="1498">
          <cell r="A1498" t="str">
            <v>パウダーオン２号</v>
          </cell>
        </row>
        <row r="1499">
          <cell r="A1499" t="str">
            <v>パウダーオン２号</v>
          </cell>
        </row>
        <row r="1500">
          <cell r="A1500" t="str">
            <v>パウダーオン２号</v>
          </cell>
        </row>
        <row r="1501">
          <cell r="A1501" t="str">
            <v>パウダーオン３号</v>
          </cell>
        </row>
        <row r="1502">
          <cell r="A1502" t="str">
            <v>パウダーオン３号</v>
          </cell>
        </row>
        <row r="1503">
          <cell r="A1503" t="str">
            <v>パウダーオン３号</v>
          </cell>
        </row>
        <row r="1504">
          <cell r="A1504" t="str">
            <v>パウダーオン３号</v>
          </cell>
        </row>
        <row r="1505">
          <cell r="A1505" t="str">
            <v>パウダーオン３号</v>
          </cell>
        </row>
        <row r="1506">
          <cell r="A1506" t="str">
            <v>パウダーオン３号</v>
          </cell>
        </row>
        <row r="1507">
          <cell r="A1507" t="str">
            <v>パウダーオン３号</v>
          </cell>
        </row>
        <row r="1508">
          <cell r="A1508" t="str">
            <v>パウダーオン３号</v>
          </cell>
        </row>
        <row r="1509">
          <cell r="A1509" t="str">
            <v>パウダーオン３号</v>
          </cell>
        </row>
        <row r="1510">
          <cell r="A1510" t="str">
            <v>パウダーオン３号</v>
          </cell>
        </row>
        <row r="1511">
          <cell r="A1511" t="str">
            <v>パウダーオン３号</v>
          </cell>
        </row>
        <row r="1512">
          <cell r="A1512" t="str">
            <v>パウダーオン３号</v>
          </cell>
        </row>
        <row r="1513">
          <cell r="A1513" t="str">
            <v>パウダーオン３号</v>
          </cell>
        </row>
        <row r="1514">
          <cell r="A1514" t="str">
            <v>パウダーオン３号</v>
          </cell>
        </row>
        <row r="1515">
          <cell r="A1515" t="str">
            <v>パウダーオン３号</v>
          </cell>
        </row>
        <row r="1516">
          <cell r="A1516" t="str">
            <v>パウダーオン３号</v>
          </cell>
        </row>
        <row r="1517">
          <cell r="A1517" t="str">
            <v>パウダーオン３号</v>
          </cell>
        </row>
        <row r="1518">
          <cell r="A1518" t="str">
            <v>パウダーオン３号</v>
          </cell>
        </row>
        <row r="1519">
          <cell r="A1519" t="str">
            <v>パウダーオン３号</v>
          </cell>
        </row>
        <row r="1520">
          <cell r="A1520" t="str">
            <v>パウダーオン３号</v>
          </cell>
        </row>
        <row r="1521">
          <cell r="A1521" t="str">
            <v>パウダーオン３号</v>
          </cell>
        </row>
        <row r="1522">
          <cell r="A1522" t="str">
            <v>パウダーオン３号</v>
          </cell>
        </row>
        <row r="1523">
          <cell r="A1523" t="str">
            <v>パウダーオン３号</v>
          </cell>
        </row>
        <row r="1524">
          <cell r="A1524" t="str">
            <v>パウダーオン３号</v>
          </cell>
        </row>
        <row r="1525">
          <cell r="A1525" t="str">
            <v>パウダーオン３号</v>
          </cell>
        </row>
        <row r="1526">
          <cell r="A1526" t="str">
            <v>パウダーオン３号</v>
          </cell>
        </row>
        <row r="1527">
          <cell r="A1527" t="str">
            <v>パウダーオン３号</v>
          </cell>
        </row>
        <row r="1528">
          <cell r="A1528" t="str">
            <v>パウダーオン３号</v>
          </cell>
        </row>
        <row r="1529">
          <cell r="A1529" t="str">
            <v>パウダーオン３号</v>
          </cell>
        </row>
        <row r="1530">
          <cell r="A1530" t="str">
            <v>パウダーオン３号</v>
          </cell>
        </row>
        <row r="1531">
          <cell r="A1531" t="str">
            <v>パウダーオン３号</v>
          </cell>
        </row>
        <row r="1532">
          <cell r="A1532" t="str">
            <v>コットン１号</v>
          </cell>
        </row>
        <row r="1533">
          <cell r="A1533" t="str">
            <v>コットン１号</v>
          </cell>
        </row>
        <row r="1534">
          <cell r="A1534" t="str">
            <v>コットン１号</v>
          </cell>
        </row>
        <row r="1535">
          <cell r="A1535" t="str">
            <v>コットン１号</v>
          </cell>
        </row>
        <row r="1536">
          <cell r="A1536" t="str">
            <v>コットン１号</v>
          </cell>
        </row>
        <row r="1537">
          <cell r="A1537" t="str">
            <v>コットン１号</v>
          </cell>
        </row>
        <row r="1538">
          <cell r="A1538" t="str">
            <v>コットン１号</v>
          </cell>
        </row>
        <row r="1539">
          <cell r="A1539" t="str">
            <v>コットン１号</v>
          </cell>
        </row>
        <row r="1540">
          <cell r="A1540" t="str">
            <v>コットン１号</v>
          </cell>
        </row>
        <row r="1541">
          <cell r="A1541" t="str">
            <v>コットン１号</v>
          </cell>
        </row>
        <row r="1542">
          <cell r="A1542" t="str">
            <v>コットン１号</v>
          </cell>
        </row>
        <row r="1543">
          <cell r="A1543" t="str">
            <v>コットン１号</v>
          </cell>
        </row>
        <row r="1544">
          <cell r="A1544" t="str">
            <v>コットン１号</v>
          </cell>
        </row>
        <row r="1545">
          <cell r="A1545" t="str">
            <v>コットン１号</v>
          </cell>
        </row>
        <row r="1546">
          <cell r="A1546" t="str">
            <v>コットン１号</v>
          </cell>
        </row>
        <row r="1547">
          <cell r="A1547" t="str">
            <v>コットン１号</v>
          </cell>
        </row>
        <row r="1548">
          <cell r="A1548" t="str">
            <v>コットン１号</v>
          </cell>
        </row>
        <row r="1549">
          <cell r="A1549" t="str">
            <v>コットン１号</v>
          </cell>
        </row>
        <row r="1550">
          <cell r="A1550" t="str">
            <v>コットン１号</v>
          </cell>
        </row>
        <row r="1551">
          <cell r="A1551" t="str">
            <v>コットン１号</v>
          </cell>
        </row>
        <row r="1552">
          <cell r="A1552" t="str">
            <v>コットン１号</v>
          </cell>
        </row>
        <row r="1553">
          <cell r="A1553" t="str">
            <v>コットン１号</v>
          </cell>
        </row>
        <row r="1554">
          <cell r="A1554" t="str">
            <v>コットン１号</v>
          </cell>
        </row>
        <row r="1555">
          <cell r="A1555" t="str">
            <v>コットン１号</v>
          </cell>
        </row>
        <row r="1556">
          <cell r="A1556" t="str">
            <v>コットン１号</v>
          </cell>
        </row>
        <row r="1557">
          <cell r="A1557" t="str">
            <v>コットン１号</v>
          </cell>
        </row>
        <row r="1558">
          <cell r="A1558" t="str">
            <v>コットン１号</v>
          </cell>
        </row>
        <row r="1559">
          <cell r="A1559" t="str">
            <v>コットン１号</v>
          </cell>
        </row>
        <row r="1560">
          <cell r="A1560" t="str">
            <v>コットン2号</v>
          </cell>
        </row>
        <row r="1561">
          <cell r="A1561" t="str">
            <v>コットン2号</v>
          </cell>
        </row>
        <row r="1562">
          <cell r="A1562" t="str">
            <v>コットン2号</v>
          </cell>
        </row>
        <row r="1563">
          <cell r="A1563" t="str">
            <v>コットン2号</v>
          </cell>
        </row>
        <row r="1564">
          <cell r="A1564" t="str">
            <v>コットン2号</v>
          </cell>
        </row>
        <row r="1565">
          <cell r="A1565" t="str">
            <v>コットン2号</v>
          </cell>
        </row>
        <row r="1566">
          <cell r="A1566" t="str">
            <v>コットン2号</v>
          </cell>
        </row>
        <row r="1567">
          <cell r="A1567" t="str">
            <v>コットン2号</v>
          </cell>
        </row>
        <row r="1568">
          <cell r="A1568" t="str">
            <v>コットン2号</v>
          </cell>
        </row>
        <row r="1569">
          <cell r="A1569" t="str">
            <v>コットン2号</v>
          </cell>
        </row>
        <row r="1570">
          <cell r="A1570" t="str">
            <v>コットン2号</v>
          </cell>
        </row>
        <row r="1571">
          <cell r="A1571" t="str">
            <v>コットン2号</v>
          </cell>
        </row>
        <row r="1572">
          <cell r="A1572" t="str">
            <v>コットン2号</v>
          </cell>
        </row>
        <row r="1573">
          <cell r="A1573" t="str">
            <v>コットン2号</v>
          </cell>
        </row>
        <row r="1574">
          <cell r="A1574" t="str">
            <v>コットン2号</v>
          </cell>
        </row>
        <row r="1575">
          <cell r="A1575" t="str">
            <v>コットン2号</v>
          </cell>
        </row>
        <row r="1576">
          <cell r="A1576" t="str">
            <v>コットン2号</v>
          </cell>
        </row>
        <row r="1577">
          <cell r="A1577" t="str">
            <v>コットン2号</v>
          </cell>
        </row>
        <row r="1578">
          <cell r="A1578" t="str">
            <v>コットン2号</v>
          </cell>
        </row>
        <row r="1579">
          <cell r="A1579" t="str">
            <v>コットン2号</v>
          </cell>
        </row>
        <row r="1580">
          <cell r="A1580" t="str">
            <v>コットン2号</v>
          </cell>
        </row>
        <row r="1581">
          <cell r="A1581" t="str">
            <v>コットン2号</v>
          </cell>
        </row>
        <row r="1582">
          <cell r="A1582" t="str">
            <v>コットン2号</v>
          </cell>
        </row>
        <row r="1583">
          <cell r="A1583" t="str">
            <v>コットン2号</v>
          </cell>
        </row>
        <row r="1584">
          <cell r="A1584" t="str">
            <v>コットン2号</v>
          </cell>
        </row>
        <row r="1585">
          <cell r="A1585" t="str">
            <v>コットン2号</v>
          </cell>
        </row>
        <row r="1586">
          <cell r="A1586" t="str">
            <v>コットン2号</v>
          </cell>
        </row>
        <row r="1587">
          <cell r="A1587" t="str">
            <v>コットン2号</v>
          </cell>
        </row>
        <row r="1588">
          <cell r="A1588" t="str">
            <v>新コットン３号</v>
          </cell>
        </row>
        <row r="1589">
          <cell r="A1589" t="str">
            <v>新コットン３号</v>
          </cell>
        </row>
        <row r="1590">
          <cell r="A1590" t="str">
            <v>新コットン３号</v>
          </cell>
        </row>
        <row r="1591">
          <cell r="A1591" t="str">
            <v>新コットン３号</v>
          </cell>
        </row>
        <row r="1592">
          <cell r="A1592" t="str">
            <v>新コットン３号</v>
          </cell>
        </row>
        <row r="1593">
          <cell r="A1593" t="str">
            <v>新コットン３号</v>
          </cell>
        </row>
        <row r="1594">
          <cell r="A1594" t="str">
            <v>新コットン３号</v>
          </cell>
        </row>
        <row r="1595">
          <cell r="A1595" t="str">
            <v>新コットン３号</v>
          </cell>
        </row>
        <row r="1596">
          <cell r="A1596" t="str">
            <v>新コットン３号</v>
          </cell>
        </row>
        <row r="1597">
          <cell r="A1597" t="str">
            <v>新コットン３号</v>
          </cell>
        </row>
        <row r="1598">
          <cell r="A1598" t="str">
            <v>新コットン３号</v>
          </cell>
        </row>
        <row r="1599">
          <cell r="A1599" t="str">
            <v>新コットン３号</v>
          </cell>
        </row>
        <row r="1600">
          <cell r="A1600" t="str">
            <v>新コットン３号</v>
          </cell>
        </row>
        <row r="1601">
          <cell r="A1601" t="str">
            <v>新コットン３号</v>
          </cell>
        </row>
        <row r="1602">
          <cell r="A1602" t="str">
            <v>新コットン３号</v>
          </cell>
        </row>
        <row r="1603">
          <cell r="A1603" t="str">
            <v>新コットン３号</v>
          </cell>
        </row>
        <row r="1604">
          <cell r="A1604" t="str">
            <v>新コットン３号</v>
          </cell>
        </row>
        <row r="1605">
          <cell r="A1605" t="str">
            <v>新コットン３号</v>
          </cell>
        </row>
        <row r="1606">
          <cell r="A1606" t="str">
            <v>新コットン３号</v>
          </cell>
        </row>
        <row r="1607">
          <cell r="A1607" t="str">
            <v>新コットン３号</v>
          </cell>
        </row>
        <row r="1608">
          <cell r="A1608" t="str">
            <v>新コットン３号</v>
          </cell>
        </row>
        <row r="1609">
          <cell r="A1609" t="str">
            <v>新コットン３号</v>
          </cell>
        </row>
        <row r="1610">
          <cell r="A1610" t="str">
            <v>新コットン３号</v>
          </cell>
        </row>
        <row r="1611">
          <cell r="A1611" t="str">
            <v>新コットン３号</v>
          </cell>
        </row>
        <row r="1612">
          <cell r="A1612" t="str">
            <v>新コットン３号</v>
          </cell>
        </row>
        <row r="1613">
          <cell r="A1613" t="str">
            <v>新コットン３号</v>
          </cell>
        </row>
        <row r="1614">
          <cell r="A1614" t="str">
            <v>新コットン３号</v>
          </cell>
        </row>
        <row r="1615">
          <cell r="A1615" t="str">
            <v>新コットン３号</v>
          </cell>
        </row>
        <row r="1616">
          <cell r="A1616" t="str">
            <v>パウダーオン２号</v>
          </cell>
        </row>
        <row r="1617">
          <cell r="A1617" t="str">
            <v>パウダーオン２号</v>
          </cell>
        </row>
        <row r="1618">
          <cell r="A1618" t="str">
            <v>パウダーオン２号</v>
          </cell>
        </row>
        <row r="1619">
          <cell r="A1619" t="str">
            <v>パウダーオン２号</v>
          </cell>
        </row>
        <row r="1620">
          <cell r="A1620" t="str">
            <v>パウダーオン２号</v>
          </cell>
        </row>
        <row r="1621">
          <cell r="A1621" t="str">
            <v>パウダーオン２号</v>
          </cell>
        </row>
        <row r="1622">
          <cell r="A1622" t="str">
            <v>パウダーオン２号</v>
          </cell>
        </row>
        <row r="1623">
          <cell r="A1623" t="str">
            <v>パウダーオン２号</v>
          </cell>
        </row>
        <row r="1624">
          <cell r="A1624" t="str">
            <v>パウダーオン２号</v>
          </cell>
        </row>
        <row r="1625">
          <cell r="A1625" t="str">
            <v>パウダーオン２号</v>
          </cell>
        </row>
        <row r="1626">
          <cell r="A1626" t="str">
            <v>パウダーオン２号</v>
          </cell>
        </row>
        <row r="1627">
          <cell r="A1627" t="str">
            <v>パウダーオン２号</v>
          </cell>
        </row>
        <row r="1628">
          <cell r="A1628" t="str">
            <v>パウダーオン２号</v>
          </cell>
        </row>
        <row r="1629">
          <cell r="A1629" t="str">
            <v>パウダーオン２号</v>
          </cell>
        </row>
        <row r="1630">
          <cell r="A1630" t="str">
            <v>パウダーオン２号</v>
          </cell>
        </row>
        <row r="1631">
          <cell r="A1631" t="str">
            <v>パウダーオン２号</v>
          </cell>
        </row>
        <row r="1632">
          <cell r="A1632" t="str">
            <v>パウダーオン２号</v>
          </cell>
        </row>
        <row r="1633">
          <cell r="A1633" t="str">
            <v>パウダーオン２号</v>
          </cell>
        </row>
        <row r="1634">
          <cell r="A1634" t="str">
            <v>パウダーオン２号</v>
          </cell>
        </row>
        <row r="1635">
          <cell r="A1635" t="str">
            <v>パウダーオン２号</v>
          </cell>
        </row>
        <row r="1636">
          <cell r="A1636" t="str">
            <v>パウダーオン２号</v>
          </cell>
        </row>
        <row r="1637">
          <cell r="A1637" t="str">
            <v>パウダーオン２号</v>
          </cell>
        </row>
        <row r="1638">
          <cell r="A1638" t="str">
            <v>パウダーオン２号</v>
          </cell>
        </row>
        <row r="1639">
          <cell r="A1639" t="str">
            <v>パウダーオン２号</v>
          </cell>
        </row>
        <row r="1640">
          <cell r="A1640" t="str">
            <v>パウダーオン２号</v>
          </cell>
        </row>
        <row r="1641">
          <cell r="A1641" t="str">
            <v>パウダーオン２号</v>
          </cell>
        </row>
        <row r="1642">
          <cell r="A1642" t="str">
            <v>パウダーオン２号</v>
          </cell>
        </row>
        <row r="1643">
          <cell r="A1643" t="str">
            <v>パウダーオン２号</v>
          </cell>
        </row>
        <row r="1644">
          <cell r="A1644" t="str">
            <v>パウダーオン３号</v>
          </cell>
        </row>
        <row r="1645">
          <cell r="A1645" t="str">
            <v>パウダーオン３号</v>
          </cell>
        </row>
        <row r="1646">
          <cell r="A1646" t="str">
            <v>パウダーオン３号</v>
          </cell>
        </row>
        <row r="1647">
          <cell r="A1647" t="str">
            <v>パウダーオン３号</v>
          </cell>
        </row>
        <row r="1648">
          <cell r="A1648" t="str">
            <v>パウダーオン３号</v>
          </cell>
        </row>
        <row r="1649">
          <cell r="A1649" t="str">
            <v>パウダーオン３号</v>
          </cell>
        </row>
        <row r="1650">
          <cell r="A1650" t="str">
            <v>パウダーオン３号</v>
          </cell>
        </row>
        <row r="1651">
          <cell r="A1651" t="str">
            <v>パウダーオン３号</v>
          </cell>
        </row>
        <row r="1652">
          <cell r="A1652" t="str">
            <v>パウダーオン３号</v>
          </cell>
        </row>
        <row r="1653">
          <cell r="A1653" t="str">
            <v>パウダーオン３号</v>
          </cell>
        </row>
        <row r="1654">
          <cell r="A1654" t="str">
            <v>パウダーオン３号</v>
          </cell>
        </row>
        <row r="1655">
          <cell r="A1655" t="str">
            <v>パウダーオン３号</v>
          </cell>
        </row>
        <row r="1656">
          <cell r="A1656" t="str">
            <v>パウダーオン３号</v>
          </cell>
        </row>
        <row r="1657">
          <cell r="A1657" t="str">
            <v>パウダーオン３号</v>
          </cell>
        </row>
        <row r="1658">
          <cell r="A1658" t="str">
            <v>パウダーオン３号</v>
          </cell>
        </row>
        <row r="1659">
          <cell r="A1659" t="str">
            <v>パウダーオン３号</v>
          </cell>
        </row>
        <row r="1660">
          <cell r="A1660" t="str">
            <v>パウダーオン３号</v>
          </cell>
        </row>
        <row r="1661">
          <cell r="A1661" t="str">
            <v>パウダーオン３号</v>
          </cell>
        </row>
        <row r="1662">
          <cell r="A1662" t="str">
            <v>パウダーオン３号</v>
          </cell>
        </row>
        <row r="1663">
          <cell r="A1663" t="str">
            <v>パウダーオン３号</v>
          </cell>
        </row>
        <row r="1664">
          <cell r="A1664" t="str">
            <v>パウダーオン３号</v>
          </cell>
        </row>
        <row r="1665">
          <cell r="A1665" t="str">
            <v>パウダーオン３号</v>
          </cell>
        </row>
        <row r="1666">
          <cell r="A1666" t="str">
            <v>パウダーオン３号</v>
          </cell>
        </row>
        <row r="1667">
          <cell r="A1667" t="str">
            <v>パウダーオン３号</v>
          </cell>
        </row>
        <row r="1668">
          <cell r="A1668" t="str">
            <v>パウダーオン３号</v>
          </cell>
        </row>
        <row r="1669">
          <cell r="A1669" t="str">
            <v>パウダーオン３号</v>
          </cell>
        </row>
        <row r="1670">
          <cell r="A1670" t="str">
            <v>パウダーオン３号</v>
          </cell>
        </row>
        <row r="1671">
          <cell r="A1671" t="str">
            <v>パウダーオン３号</v>
          </cell>
        </row>
        <row r="1672">
          <cell r="A1672" t="str">
            <v>コットン１号</v>
          </cell>
        </row>
        <row r="1673">
          <cell r="A1673" t="str">
            <v>コットン１号</v>
          </cell>
        </row>
        <row r="1674">
          <cell r="A1674" t="str">
            <v>コットン１号</v>
          </cell>
        </row>
        <row r="1675">
          <cell r="A1675" t="str">
            <v>コットン１号</v>
          </cell>
        </row>
        <row r="1676">
          <cell r="A1676" t="str">
            <v>コットン１号</v>
          </cell>
        </row>
        <row r="1677">
          <cell r="A1677" t="str">
            <v>コットン１号</v>
          </cell>
        </row>
        <row r="1678">
          <cell r="A1678" t="str">
            <v>コットン１号</v>
          </cell>
        </row>
        <row r="1679">
          <cell r="A1679" t="str">
            <v>コットン１号</v>
          </cell>
        </row>
        <row r="1680">
          <cell r="A1680" t="str">
            <v>コットン１号</v>
          </cell>
        </row>
        <row r="1681">
          <cell r="A1681" t="str">
            <v>コットン１号</v>
          </cell>
        </row>
        <row r="1682">
          <cell r="A1682" t="str">
            <v>コットン１号</v>
          </cell>
        </row>
        <row r="1683">
          <cell r="A1683" t="str">
            <v>コットン１号</v>
          </cell>
        </row>
        <row r="1684">
          <cell r="A1684" t="str">
            <v>コットン１号</v>
          </cell>
        </row>
        <row r="1685">
          <cell r="A1685" t="str">
            <v>コットン１号</v>
          </cell>
        </row>
        <row r="1686">
          <cell r="A1686" t="str">
            <v>コットン１号</v>
          </cell>
        </row>
        <row r="1687">
          <cell r="A1687" t="str">
            <v>コットン１号</v>
          </cell>
        </row>
        <row r="1688">
          <cell r="A1688" t="str">
            <v>コットン１号</v>
          </cell>
        </row>
        <row r="1689">
          <cell r="A1689" t="str">
            <v>コットン１号</v>
          </cell>
        </row>
        <row r="1690">
          <cell r="A1690" t="str">
            <v>コットン１号</v>
          </cell>
        </row>
        <row r="1691">
          <cell r="A1691" t="str">
            <v>コットン１号</v>
          </cell>
        </row>
        <row r="1692">
          <cell r="A1692" t="str">
            <v>コットン１号</v>
          </cell>
        </row>
        <row r="1693">
          <cell r="A1693" t="str">
            <v>コットン１号</v>
          </cell>
        </row>
        <row r="1694">
          <cell r="A1694" t="str">
            <v>コットン１号</v>
          </cell>
        </row>
        <row r="1695">
          <cell r="A1695" t="str">
            <v>コットン１号</v>
          </cell>
        </row>
        <row r="1696">
          <cell r="A1696" t="str">
            <v>コットン１号</v>
          </cell>
        </row>
        <row r="1697">
          <cell r="A1697" t="str">
            <v>コットン１号</v>
          </cell>
        </row>
        <row r="1698">
          <cell r="A1698" t="str">
            <v>コットン１号</v>
          </cell>
        </row>
        <row r="1699">
          <cell r="A1699" t="str">
            <v>コットン１号</v>
          </cell>
        </row>
        <row r="1700">
          <cell r="A1700" t="str">
            <v>コットン１号</v>
          </cell>
        </row>
        <row r="1701">
          <cell r="A1701" t="str">
            <v>コットン１号</v>
          </cell>
        </row>
        <row r="1702">
          <cell r="A1702" t="str">
            <v>コットン１号</v>
          </cell>
        </row>
        <row r="1703">
          <cell r="A1703" t="str">
            <v>コットン2号</v>
          </cell>
        </row>
        <row r="1704">
          <cell r="A1704" t="str">
            <v>コットン2号</v>
          </cell>
        </row>
        <row r="1705">
          <cell r="A1705" t="str">
            <v>コットン2号</v>
          </cell>
        </row>
        <row r="1706">
          <cell r="A1706" t="str">
            <v>コットン2号</v>
          </cell>
        </row>
        <row r="1707">
          <cell r="A1707" t="str">
            <v>コットン2号</v>
          </cell>
        </row>
        <row r="1708">
          <cell r="A1708" t="str">
            <v>コットン2号</v>
          </cell>
        </row>
        <row r="1709">
          <cell r="A1709" t="str">
            <v>コットン2号</v>
          </cell>
        </row>
        <row r="1710">
          <cell r="A1710" t="str">
            <v>コットン2号</v>
          </cell>
        </row>
        <row r="1711">
          <cell r="A1711" t="str">
            <v>コットン2号</v>
          </cell>
        </row>
        <row r="1712">
          <cell r="A1712" t="str">
            <v>コットン2号</v>
          </cell>
        </row>
        <row r="1713">
          <cell r="A1713" t="str">
            <v>コットン2号</v>
          </cell>
        </row>
        <row r="1714">
          <cell r="A1714" t="str">
            <v>コットン2号</v>
          </cell>
        </row>
        <row r="1715">
          <cell r="A1715" t="str">
            <v>コットン2号</v>
          </cell>
        </row>
        <row r="1716">
          <cell r="A1716" t="str">
            <v>コットン2号</v>
          </cell>
        </row>
        <row r="1717">
          <cell r="A1717" t="str">
            <v>コットン2号</v>
          </cell>
        </row>
        <row r="1718">
          <cell r="A1718" t="str">
            <v>コットン2号</v>
          </cell>
        </row>
        <row r="1719">
          <cell r="A1719" t="str">
            <v>コットン2号</v>
          </cell>
        </row>
        <row r="1720">
          <cell r="A1720" t="str">
            <v>コットン2号</v>
          </cell>
        </row>
        <row r="1721">
          <cell r="A1721" t="str">
            <v>コットン2号</v>
          </cell>
        </row>
        <row r="1722">
          <cell r="A1722" t="str">
            <v>コットン2号</v>
          </cell>
        </row>
        <row r="1723">
          <cell r="A1723" t="str">
            <v>コットン2号</v>
          </cell>
        </row>
        <row r="1724">
          <cell r="A1724" t="str">
            <v>コットン2号</v>
          </cell>
        </row>
        <row r="1725">
          <cell r="A1725" t="str">
            <v>コットン2号</v>
          </cell>
        </row>
        <row r="1726">
          <cell r="A1726" t="str">
            <v>コットン2号</v>
          </cell>
        </row>
        <row r="1727">
          <cell r="A1727" t="str">
            <v>コットン2号</v>
          </cell>
        </row>
        <row r="1728">
          <cell r="A1728" t="str">
            <v>コットン2号</v>
          </cell>
        </row>
        <row r="1729">
          <cell r="A1729" t="str">
            <v>コットン2号</v>
          </cell>
        </row>
        <row r="1730">
          <cell r="A1730" t="str">
            <v>コットン2号</v>
          </cell>
        </row>
        <row r="1731">
          <cell r="A1731" t="str">
            <v>コットン2号</v>
          </cell>
        </row>
        <row r="1732">
          <cell r="A1732" t="str">
            <v>コットン2号</v>
          </cell>
        </row>
        <row r="1733">
          <cell r="A1733" t="str">
            <v>コットン2号</v>
          </cell>
        </row>
        <row r="1734">
          <cell r="A1734" t="str">
            <v>新コットン３号</v>
          </cell>
        </row>
        <row r="1735">
          <cell r="A1735" t="str">
            <v>新コットン３号</v>
          </cell>
        </row>
        <row r="1736">
          <cell r="A1736" t="str">
            <v>新コットン３号</v>
          </cell>
        </row>
        <row r="1737">
          <cell r="A1737" t="str">
            <v>新コットン３号</v>
          </cell>
        </row>
        <row r="1738">
          <cell r="A1738" t="str">
            <v>新コットン３号</v>
          </cell>
        </row>
        <row r="1739">
          <cell r="A1739" t="str">
            <v>新コットン３号</v>
          </cell>
        </row>
        <row r="1740">
          <cell r="A1740" t="str">
            <v>新コットン３号</v>
          </cell>
        </row>
        <row r="1741">
          <cell r="A1741" t="str">
            <v>新コットン３号</v>
          </cell>
        </row>
        <row r="1742">
          <cell r="A1742" t="str">
            <v>新コットン３号</v>
          </cell>
        </row>
        <row r="1743">
          <cell r="A1743" t="str">
            <v>新コットン３号</v>
          </cell>
        </row>
        <row r="1744">
          <cell r="A1744" t="str">
            <v>新コットン３号</v>
          </cell>
        </row>
        <row r="1745">
          <cell r="A1745" t="str">
            <v>新コットン３号</v>
          </cell>
        </row>
        <row r="1746">
          <cell r="A1746" t="str">
            <v>新コットン３号</v>
          </cell>
        </row>
        <row r="1747">
          <cell r="A1747" t="str">
            <v>新コットン３号</v>
          </cell>
        </row>
        <row r="1748">
          <cell r="A1748" t="str">
            <v>新コットン３号</v>
          </cell>
        </row>
        <row r="1749">
          <cell r="A1749" t="str">
            <v>新コットン３号</v>
          </cell>
        </row>
        <row r="1750">
          <cell r="A1750" t="str">
            <v>新コットン３号</v>
          </cell>
        </row>
        <row r="1751">
          <cell r="A1751" t="str">
            <v>新コットン３号</v>
          </cell>
        </row>
        <row r="1752">
          <cell r="A1752" t="str">
            <v>新コットン３号</v>
          </cell>
        </row>
        <row r="1753">
          <cell r="A1753" t="str">
            <v>新コットン３号</v>
          </cell>
        </row>
        <row r="1754">
          <cell r="A1754" t="str">
            <v>新コットン３号</v>
          </cell>
        </row>
        <row r="1755">
          <cell r="A1755" t="str">
            <v>新コットン３号</v>
          </cell>
        </row>
        <row r="1756">
          <cell r="A1756" t="str">
            <v>新コットン３号</v>
          </cell>
        </row>
        <row r="1757">
          <cell r="A1757" t="str">
            <v>新コットン３号</v>
          </cell>
        </row>
        <row r="1758">
          <cell r="A1758" t="str">
            <v>新コットン３号</v>
          </cell>
        </row>
        <row r="1759">
          <cell r="A1759" t="str">
            <v>新コットン３号</v>
          </cell>
        </row>
        <row r="1760">
          <cell r="A1760" t="str">
            <v>新コットン３号</v>
          </cell>
        </row>
        <row r="1761">
          <cell r="A1761" t="str">
            <v>新コットン３号</v>
          </cell>
        </row>
        <row r="1762">
          <cell r="A1762" t="str">
            <v>新コットン３号</v>
          </cell>
        </row>
        <row r="1763">
          <cell r="A1763" t="str">
            <v>新コットン３号</v>
          </cell>
        </row>
        <row r="1764">
          <cell r="A1764" t="str">
            <v>新コットン３号</v>
          </cell>
        </row>
        <row r="1765">
          <cell r="A1765" t="str">
            <v>コットンTバック</v>
          </cell>
        </row>
        <row r="1766">
          <cell r="A1766" t="str">
            <v>コットンTバック</v>
          </cell>
        </row>
        <row r="1767">
          <cell r="A1767" t="str">
            <v>コットンTバック</v>
          </cell>
        </row>
        <row r="1768">
          <cell r="A1768" t="str">
            <v>コットンTバック</v>
          </cell>
        </row>
        <row r="1769">
          <cell r="A1769" t="str">
            <v>コットンTバック</v>
          </cell>
        </row>
        <row r="1770">
          <cell r="A1770" t="str">
            <v>コットンTバック</v>
          </cell>
        </row>
        <row r="1771">
          <cell r="A1771" t="str">
            <v>コットンTバック</v>
          </cell>
        </row>
        <row r="1772">
          <cell r="A1772" t="str">
            <v>コットンTバック</v>
          </cell>
        </row>
        <row r="1773">
          <cell r="A1773" t="str">
            <v>コットンTバック</v>
          </cell>
        </row>
        <row r="1774">
          <cell r="A1774" t="str">
            <v>コットンTバック</v>
          </cell>
        </row>
        <row r="1775">
          <cell r="A1775" t="str">
            <v>コットンTバック</v>
          </cell>
        </row>
        <row r="1776">
          <cell r="A1776" t="str">
            <v>コットンTバック</v>
          </cell>
        </row>
        <row r="1777">
          <cell r="A1777" t="str">
            <v>コットンTバック</v>
          </cell>
        </row>
        <row r="1778">
          <cell r="A1778" t="str">
            <v>コットンTバック</v>
          </cell>
        </row>
        <row r="1779">
          <cell r="A1779" t="str">
            <v>コットンTバック</v>
          </cell>
        </row>
        <row r="1780">
          <cell r="A1780" t="str">
            <v>コットンTバック</v>
          </cell>
        </row>
        <row r="1781">
          <cell r="A1781" t="str">
            <v>コットンTバック</v>
          </cell>
        </row>
        <row r="1782">
          <cell r="A1782" t="str">
            <v>コットンTバック</v>
          </cell>
        </row>
        <row r="1783">
          <cell r="A1783" t="str">
            <v>コットンTバック</v>
          </cell>
        </row>
        <row r="1784">
          <cell r="A1784" t="str">
            <v>コットンTバック</v>
          </cell>
        </row>
        <row r="1785">
          <cell r="A1785" t="str">
            <v>コットンTバック</v>
          </cell>
        </row>
        <row r="1786">
          <cell r="A1786" t="str">
            <v>コットンTバック</v>
          </cell>
        </row>
        <row r="1787">
          <cell r="A1787" t="str">
            <v>コットンTバック</v>
          </cell>
        </row>
        <row r="1788">
          <cell r="A1788" t="str">
            <v>コットンTバック</v>
          </cell>
        </row>
        <row r="1789">
          <cell r="A1789" t="str">
            <v>コットンTバック</v>
          </cell>
        </row>
        <row r="1790">
          <cell r="A1790" t="str">
            <v>コットンTバック</v>
          </cell>
        </row>
        <row r="1791">
          <cell r="A1791" t="str">
            <v>コットンTバック</v>
          </cell>
        </row>
        <row r="1792">
          <cell r="A1792" t="str">
            <v>コットンTバック</v>
          </cell>
        </row>
        <row r="1793">
          <cell r="A1793" t="str">
            <v>コットンTバック</v>
          </cell>
        </row>
        <row r="1794">
          <cell r="A1794" t="str">
            <v>コットンTバック</v>
          </cell>
        </row>
        <row r="1795">
          <cell r="A1795" t="str">
            <v>コットンTバック</v>
          </cell>
        </row>
        <row r="1796">
          <cell r="A1796" t="str">
            <v>パウダーオン２号</v>
          </cell>
        </row>
        <row r="1797">
          <cell r="A1797" t="str">
            <v>パウダーオン２号</v>
          </cell>
        </row>
        <row r="1798">
          <cell r="A1798" t="str">
            <v>パウダーオン２号</v>
          </cell>
        </row>
        <row r="1799">
          <cell r="A1799" t="str">
            <v>パウダーオン２号</v>
          </cell>
        </row>
        <row r="1800">
          <cell r="A1800" t="str">
            <v>パウダーオン２号</v>
          </cell>
        </row>
        <row r="1801">
          <cell r="A1801" t="str">
            <v>パウダーオン２号</v>
          </cell>
        </row>
        <row r="1802">
          <cell r="A1802" t="str">
            <v>パウダーオン２号</v>
          </cell>
        </row>
        <row r="1803">
          <cell r="A1803" t="str">
            <v>パウダーオン２号</v>
          </cell>
        </row>
        <row r="1804">
          <cell r="A1804" t="str">
            <v>パウダーオン２号</v>
          </cell>
        </row>
        <row r="1805">
          <cell r="A1805" t="str">
            <v>パウダーオン２号</v>
          </cell>
        </row>
        <row r="1806">
          <cell r="A1806" t="str">
            <v>パウダーオン２号</v>
          </cell>
        </row>
        <row r="1807">
          <cell r="A1807" t="str">
            <v>パウダーオン２号</v>
          </cell>
        </row>
        <row r="1808">
          <cell r="A1808" t="str">
            <v>パウダーオン２号</v>
          </cell>
        </row>
        <row r="1809">
          <cell r="A1809" t="str">
            <v>パウダーオン２号</v>
          </cell>
        </row>
        <row r="1810">
          <cell r="A1810" t="str">
            <v>パウダーオン２号</v>
          </cell>
        </row>
        <row r="1811">
          <cell r="A1811" t="str">
            <v>パウダーオン２号</v>
          </cell>
        </row>
        <row r="1812">
          <cell r="A1812" t="str">
            <v>パウダーオン２号</v>
          </cell>
        </row>
        <row r="1813">
          <cell r="A1813" t="str">
            <v>パウダーオン２号</v>
          </cell>
        </row>
        <row r="1814">
          <cell r="A1814" t="str">
            <v>パウダーオン２号</v>
          </cell>
        </row>
        <row r="1815">
          <cell r="A1815" t="str">
            <v>パウダーオン２号</v>
          </cell>
        </row>
        <row r="1816">
          <cell r="A1816" t="str">
            <v>パウダーオン２号</v>
          </cell>
        </row>
        <row r="1817">
          <cell r="A1817" t="str">
            <v>パウダーオン２号</v>
          </cell>
        </row>
        <row r="1818">
          <cell r="A1818" t="str">
            <v>パウダーオン２号</v>
          </cell>
        </row>
        <row r="1819">
          <cell r="A1819" t="str">
            <v>パウダーオン２号</v>
          </cell>
        </row>
        <row r="1820">
          <cell r="A1820" t="str">
            <v>パウダーオン２号</v>
          </cell>
        </row>
        <row r="1821">
          <cell r="A1821" t="str">
            <v>パウダーオン２号</v>
          </cell>
        </row>
        <row r="1822">
          <cell r="A1822" t="str">
            <v>パウダーオン２号</v>
          </cell>
        </row>
        <row r="1823">
          <cell r="A1823" t="str">
            <v>パウダーオン２号</v>
          </cell>
        </row>
        <row r="1824">
          <cell r="A1824" t="str">
            <v>パウダーオン２号</v>
          </cell>
        </row>
        <row r="1825">
          <cell r="A1825" t="str">
            <v>パウダーオン２号</v>
          </cell>
        </row>
        <row r="1826">
          <cell r="A1826" t="str">
            <v>パウダーオン２号</v>
          </cell>
        </row>
        <row r="1827">
          <cell r="A1827" t="str">
            <v>パウダーオン３号</v>
          </cell>
        </row>
        <row r="1828">
          <cell r="A1828" t="str">
            <v>パウダーオン３号</v>
          </cell>
        </row>
        <row r="1829">
          <cell r="A1829" t="str">
            <v>パウダーオン３号</v>
          </cell>
        </row>
        <row r="1830">
          <cell r="A1830" t="str">
            <v>パウダーオン３号</v>
          </cell>
        </row>
        <row r="1831">
          <cell r="A1831" t="str">
            <v>パウダーオン３号</v>
          </cell>
        </row>
        <row r="1832">
          <cell r="A1832" t="str">
            <v>パウダーオン３号</v>
          </cell>
        </row>
        <row r="1833">
          <cell r="A1833" t="str">
            <v>パウダーオン３号</v>
          </cell>
        </row>
        <row r="1834">
          <cell r="A1834" t="str">
            <v>パウダーオン３号</v>
          </cell>
        </row>
        <row r="1835">
          <cell r="A1835" t="str">
            <v>パウダーオン３号</v>
          </cell>
        </row>
        <row r="1836">
          <cell r="A1836" t="str">
            <v>パウダーオン３号</v>
          </cell>
        </row>
        <row r="1837">
          <cell r="A1837" t="str">
            <v>パウダーオン３号</v>
          </cell>
        </row>
        <row r="1838">
          <cell r="A1838" t="str">
            <v>パウダーオン３号</v>
          </cell>
        </row>
        <row r="1839">
          <cell r="A1839" t="str">
            <v>パウダーオン３号</v>
          </cell>
        </row>
        <row r="1840">
          <cell r="A1840" t="str">
            <v>パウダーオン３号</v>
          </cell>
        </row>
        <row r="1841">
          <cell r="A1841" t="str">
            <v>パウダーオン３号</v>
          </cell>
        </row>
        <row r="1842">
          <cell r="A1842" t="str">
            <v>パウダーオン３号</v>
          </cell>
        </row>
        <row r="1843">
          <cell r="A1843" t="str">
            <v>パウダーオン３号</v>
          </cell>
        </row>
        <row r="1844">
          <cell r="A1844" t="str">
            <v>パウダーオン３号</v>
          </cell>
        </row>
        <row r="1845">
          <cell r="A1845" t="str">
            <v>パウダーオン３号</v>
          </cell>
        </row>
        <row r="1846">
          <cell r="A1846" t="str">
            <v>パウダーオン３号</v>
          </cell>
        </row>
        <row r="1847">
          <cell r="A1847" t="str">
            <v>パウダーオン３号</v>
          </cell>
        </row>
        <row r="1848">
          <cell r="A1848" t="str">
            <v>パウダーオン３号</v>
          </cell>
        </row>
        <row r="1849">
          <cell r="A1849" t="str">
            <v>パウダーオン３号</v>
          </cell>
        </row>
        <row r="1850">
          <cell r="A1850" t="str">
            <v>パウダーオン３号</v>
          </cell>
        </row>
        <row r="1851">
          <cell r="A1851" t="str">
            <v>パウダーオン３号</v>
          </cell>
        </row>
        <row r="1852">
          <cell r="A1852" t="str">
            <v>パウダーオン３号</v>
          </cell>
        </row>
        <row r="1853">
          <cell r="A1853" t="str">
            <v>パウダーオン３号</v>
          </cell>
        </row>
        <row r="1854">
          <cell r="A1854" t="str">
            <v>パウダーオン３号</v>
          </cell>
        </row>
        <row r="1855">
          <cell r="A1855" t="str">
            <v>パウダーオン３号</v>
          </cell>
        </row>
        <row r="1856">
          <cell r="A1856" t="str">
            <v>パウダーオン３号</v>
          </cell>
        </row>
        <row r="1857">
          <cell r="A1857" t="str">
            <v>パウダーオン３号</v>
          </cell>
        </row>
        <row r="1858">
          <cell r="A1858" t="str">
            <v>コットン１号</v>
          </cell>
        </row>
        <row r="1859">
          <cell r="A1859" t="str">
            <v>コットン１号</v>
          </cell>
        </row>
        <row r="1860">
          <cell r="A1860" t="str">
            <v>コットン１号</v>
          </cell>
        </row>
        <row r="1861">
          <cell r="A1861" t="str">
            <v>コットン１号</v>
          </cell>
        </row>
        <row r="1862">
          <cell r="A1862" t="str">
            <v>コットン１号</v>
          </cell>
        </row>
        <row r="1863">
          <cell r="A1863" t="str">
            <v>コットン１号</v>
          </cell>
        </row>
        <row r="1864">
          <cell r="A1864" t="str">
            <v>コットン１号</v>
          </cell>
        </row>
        <row r="1865">
          <cell r="A1865" t="str">
            <v>コットン１号</v>
          </cell>
        </row>
        <row r="1866">
          <cell r="A1866" t="str">
            <v>コットン１号</v>
          </cell>
        </row>
        <row r="1867">
          <cell r="A1867" t="str">
            <v>コットン１号</v>
          </cell>
        </row>
        <row r="1868">
          <cell r="A1868" t="str">
            <v>コットン１号</v>
          </cell>
        </row>
        <row r="1869">
          <cell r="A1869" t="str">
            <v>コットン１号</v>
          </cell>
        </row>
        <row r="1870">
          <cell r="A1870" t="str">
            <v>コットン１号</v>
          </cell>
        </row>
        <row r="1871">
          <cell r="A1871" t="str">
            <v>コットン１号</v>
          </cell>
        </row>
        <row r="1872">
          <cell r="A1872" t="str">
            <v>コットン１号</v>
          </cell>
        </row>
        <row r="1873">
          <cell r="A1873" t="str">
            <v>コットン１号</v>
          </cell>
        </row>
        <row r="1874">
          <cell r="A1874" t="str">
            <v>コットン１号</v>
          </cell>
        </row>
        <row r="1875">
          <cell r="A1875" t="str">
            <v>コットン１号</v>
          </cell>
        </row>
        <row r="1876">
          <cell r="A1876" t="str">
            <v>コットン１号</v>
          </cell>
        </row>
        <row r="1877">
          <cell r="A1877" t="str">
            <v>コットン１号</v>
          </cell>
        </row>
        <row r="1878">
          <cell r="A1878" t="str">
            <v>コットン１号</v>
          </cell>
        </row>
        <row r="1879">
          <cell r="A1879" t="str">
            <v>コットン１号</v>
          </cell>
        </row>
        <row r="1880">
          <cell r="A1880" t="str">
            <v>コットン１号</v>
          </cell>
        </row>
        <row r="1881">
          <cell r="A1881" t="str">
            <v>コットン１号</v>
          </cell>
        </row>
        <row r="1882">
          <cell r="A1882" t="str">
            <v>コットン１号</v>
          </cell>
        </row>
        <row r="1883">
          <cell r="A1883" t="str">
            <v>コットン１号</v>
          </cell>
        </row>
        <row r="1884">
          <cell r="A1884" t="str">
            <v>コットン１号</v>
          </cell>
        </row>
        <row r="1885">
          <cell r="A1885" t="str">
            <v>コットン１号</v>
          </cell>
        </row>
        <row r="1886">
          <cell r="A1886" t="str">
            <v>コットン１号</v>
          </cell>
        </row>
        <row r="1887">
          <cell r="A1887" t="str">
            <v>コットン１号</v>
          </cell>
        </row>
        <row r="1888">
          <cell r="A1888" t="str">
            <v>コットン2号</v>
          </cell>
        </row>
        <row r="1889">
          <cell r="A1889" t="str">
            <v>コットン2号</v>
          </cell>
        </row>
        <row r="1890">
          <cell r="A1890" t="str">
            <v>コットン2号</v>
          </cell>
        </row>
        <row r="1891">
          <cell r="A1891" t="str">
            <v>コットン2号</v>
          </cell>
        </row>
        <row r="1892">
          <cell r="A1892" t="str">
            <v>コットン2号</v>
          </cell>
        </row>
        <row r="1893">
          <cell r="A1893" t="str">
            <v>コットン2号</v>
          </cell>
        </row>
        <row r="1894">
          <cell r="A1894" t="str">
            <v>コットン2号</v>
          </cell>
        </row>
        <row r="1895">
          <cell r="A1895" t="str">
            <v>コットン2号</v>
          </cell>
        </row>
        <row r="1896">
          <cell r="A1896" t="str">
            <v>コットン2号</v>
          </cell>
        </row>
        <row r="1897">
          <cell r="A1897" t="str">
            <v>コットン2号</v>
          </cell>
        </row>
        <row r="1898">
          <cell r="A1898" t="str">
            <v>コットン2号</v>
          </cell>
        </row>
        <row r="1899">
          <cell r="A1899" t="str">
            <v>コットン2号</v>
          </cell>
        </row>
        <row r="1900">
          <cell r="A1900" t="str">
            <v>コットン2号</v>
          </cell>
        </row>
        <row r="1901">
          <cell r="A1901" t="str">
            <v>コットン2号</v>
          </cell>
        </row>
        <row r="1902">
          <cell r="A1902" t="str">
            <v>コットン2号</v>
          </cell>
        </row>
        <row r="1903">
          <cell r="A1903" t="str">
            <v>コットン2号</v>
          </cell>
        </row>
        <row r="1904">
          <cell r="A1904" t="str">
            <v>コットン2号</v>
          </cell>
        </row>
        <row r="1905">
          <cell r="A1905" t="str">
            <v>コットン2号</v>
          </cell>
        </row>
        <row r="1906">
          <cell r="A1906" t="str">
            <v>コットン2号</v>
          </cell>
        </row>
        <row r="1907">
          <cell r="A1907" t="str">
            <v>コットン2号</v>
          </cell>
        </row>
        <row r="1908">
          <cell r="A1908" t="str">
            <v>コットン2号</v>
          </cell>
        </row>
        <row r="1909">
          <cell r="A1909" t="str">
            <v>コットン2号</v>
          </cell>
        </row>
        <row r="1910">
          <cell r="A1910" t="str">
            <v>コットン2号</v>
          </cell>
        </row>
        <row r="1911">
          <cell r="A1911" t="str">
            <v>コットン2号</v>
          </cell>
        </row>
        <row r="1912">
          <cell r="A1912" t="str">
            <v>コットン2号</v>
          </cell>
        </row>
        <row r="1913">
          <cell r="A1913" t="str">
            <v>コットン2号</v>
          </cell>
        </row>
        <row r="1914">
          <cell r="A1914" t="str">
            <v>コットン2号</v>
          </cell>
        </row>
        <row r="1915">
          <cell r="A1915" t="str">
            <v>コットン2号</v>
          </cell>
        </row>
        <row r="1916">
          <cell r="A1916" t="str">
            <v>コットン2号</v>
          </cell>
        </row>
        <row r="1917">
          <cell r="A1917" t="str">
            <v>コットン2号</v>
          </cell>
        </row>
        <row r="1918">
          <cell r="A1918" t="str">
            <v>新コットン３号</v>
          </cell>
        </row>
        <row r="1919">
          <cell r="A1919" t="str">
            <v>新コットン３号</v>
          </cell>
        </row>
        <row r="1920">
          <cell r="A1920" t="str">
            <v>新コットン３号</v>
          </cell>
        </row>
        <row r="1921">
          <cell r="A1921" t="str">
            <v>新コットン３号</v>
          </cell>
        </row>
        <row r="1922">
          <cell r="A1922" t="str">
            <v>新コットン３号</v>
          </cell>
        </row>
        <row r="1923">
          <cell r="A1923" t="str">
            <v>新コットン３号</v>
          </cell>
        </row>
        <row r="1924">
          <cell r="A1924" t="str">
            <v>新コットン３号</v>
          </cell>
        </row>
        <row r="1925">
          <cell r="A1925" t="str">
            <v>新コットン３号</v>
          </cell>
        </row>
        <row r="1926">
          <cell r="A1926" t="str">
            <v>新コットン３号</v>
          </cell>
        </row>
        <row r="1927">
          <cell r="A1927" t="str">
            <v>新コットン３号</v>
          </cell>
        </row>
        <row r="1928">
          <cell r="A1928" t="str">
            <v>新コットン３号</v>
          </cell>
        </row>
        <row r="1929">
          <cell r="A1929" t="str">
            <v>新コットン３号</v>
          </cell>
        </row>
        <row r="1930">
          <cell r="A1930" t="str">
            <v>新コットン３号</v>
          </cell>
        </row>
        <row r="1931">
          <cell r="A1931" t="str">
            <v>新コットン３号</v>
          </cell>
        </row>
        <row r="1932">
          <cell r="A1932" t="str">
            <v>新コットン３号</v>
          </cell>
        </row>
        <row r="1933">
          <cell r="A1933" t="str">
            <v>新コットン３号</v>
          </cell>
        </row>
        <row r="1934">
          <cell r="A1934" t="str">
            <v>新コットン３号</v>
          </cell>
        </row>
        <row r="1935">
          <cell r="A1935" t="str">
            <v>新コットン３号</v>
          </cell>
        </row>
        <row r="1936">
          <cell r="A1936" t="str">
            <v>新コットン３号</v>
          </cell>
        </row>
        <row r="1937">
          <cell r="A1937" t="str">
            <v>新コットン３号</v>
          </cell>
        </row>
        <row r="1938">
          <cell r="A1938" t="str">
            <v>新コットン３号</v>
          </cell>
        </row>
        <row r="1939">
          <cell r="A1939" t="str">
            <v>新コットン３号</v>
          </cell>
        </row>
        <row r="1940">
          <cell r="A1940" t="str">
            <v>新コットン３号</v>
          </cell>
        </row>
        <row r="1941">
          <cell r="A1941" t="str">
            <v>新コットン３号</v>
          </cell>
        </row>
        <row r="1942">
          <cell r="A1942" t="str">
            <v>新コットン３号</v>
          </cell>
        </row>
        <row r="1943">
          <cell r="A1943" t="str">
            <v>新コットン３号</v>
          </cell>
        </row>
        <row r="1944">
          <cell r="A1944" t="str">
            <v>新コットン３号</v>
          </cell>
        </row>
        <row r="1945">
          <cell r="A1945" t="str">
            <v>新コットン３号</v>
          </cell>
        </row>
        <row r="1946">
          <cell r="A1946" t="str">
            <v>新コットン３号</v>
          </cell>
        </row>
        <row r="1947">
          <cell r="A1947" t="str">
            <v>新コットン３号</v>
          </cell>
        </row>
        <row r="1948">
          <cell r="A1948" t="str">
            <v>コットンTバック</v>
          </cell>
        </row>
        <row r="1949">
          <cell r="A1949" t="str">
            <v>コットンTバック</v>
          </cell>
        </row>
        <row r="1950">
          <cell r="A1950" t="str">
            <v>コットンTバック</v>
          </cell>
        </row>
        <row r="1951">
          <cell r="A1951" t="str">
            <v>コットンTバック</v>
          </cell>
        </row>
        <row r="1952">
          <cell r="A1952" t="str">
            <v>コットンTバック</v>
          </cell>
        </row>
        <row r="1953">
          <cell r="A1953" t="str">
            <v>コットンTバック</v>
          </cell>
        </row>
        <row r="1954">
          <cell r="A1954" t="str">
            <v>コットンTバック</v>
          </cell>
        </row>
        <row r="1955">
          <cell r="A1955" t="str">
            <v>コットンTバック</v>
          </cell>
        </row>
        <row r="1956">
          <cell r="A1956" t="str">
            <v>コットンTバック</v>
          </cell>
        </row>
        <row r="1957">
          <cell r="A1957" t="str">
            <v>コットンTバック</v>
          </cell>
        </row>
        <row r="1958">
          <cell r="A1958" t="str">
            <v>コットンTバック</v>
          </cell>
        </row>
        <row r="1959">
          <cell r="A1959" t="str">
            <v>コットンTバック</v>
          </cell>
        </row>
        <row r="1960">
          <cell r="A1960" t="str">
            <v>コットンTバック</v>
          </cell>
        </row>
        <row r="1961">
          <cell r="A1961" t="str">
            <v>コットンTバック</v>
          </cell>
        </row>
        <row r="1962">
          <cell r="A1962" t="str">
            <v>コットンTバック</v>
          </cell>
        </row>
        <row r="1963">
          <cell r="A1963" t="str">
            <v>コットンTバック</v>
          </cell>
        </row>
        <row r="1964">
          <cell r="A1964" t="str">
            <v>コットンTバック</v>
          </cell>
        </row>
        <row r="1965">
          <cell r="A1965" t="str">
            <v>コットンTバック</v>
          </cell>
        </row>
        <row r="1966">
          <cell r="A1966" t="str">
            <v>コットンTバック</v>
          </cell>
        </row>
        <row r="1967">
          <cell r="A1967" t="str">
            <v>コットンTバック</v>
          </cell>
        </row>
        <row r="1968">
          <cell r="A1968" t="str">
            <v>コットンTバック</v>
          </cell>
        </row>
        <row r="1969">
          <cell r="A1969" t="str">
            <v>コットンTバック</v>
          </cell>
        </row>
        <row r="1970">
          <cell r="A1970" t="str">
            <v>コットンTバック</v>
          </cell>
        </row>
        <row r="1971">
          <cell r="A1971" t="str">
            <v>コットンTバック</v>
          </cell>
        </row>
        <row r="1972">
          <cell r="A1972" t="str">
            <v>コットンTバック</v>
          </cell>
        </row>
        <row r="1973">
          <cell r="A1973" t="str">
            <v>コットンTバック</v>
          </cell>
        </row>
        <row r="1974">
          <cell r="A1974" t="str">
            <v>コットンTバック</v>
          </cell>
        </row>
        <row r="1975">
          <cell r="A1975" t="str">
            <v>コットンTバック</v>
          </cell>
        </row>
        <row r="1976">
          <cell r="A1976" t="str">
            <v>コットンTバック</v>
          </cell>
        </row>
        <row r="1977">
          <cell r="A1977" t="str">
            <v>コットンTバック</v>
          </cell>
        </row>
        <row r="1978">
          <cell r="A1978" t="str">
            <v>パウダーオン２号</v>
          </cell>
        </row>
        <row r="1979">
          <cell r="A1979" t="str">
            <v>パウダーオン２号</v>
          </cell>
        </row>
        <row r="1980">
          <cell r="A1980" t="str">
            <v>パウダーオン２号</v>
          </cell>
        </row>
        <row r="1981">
          <cell r="A1981" t="str">
            <v>パウダーオン２号</v>
          </cell>
        </row>
        <row r="1982">
          <cell r="A1982" t="str">
            <v>パウダーオン２号</v>
          </cell>
        </row>
        <row r="1983">
          <cell r="A1983" t="str">
            <v>パウダーオン２号</v>
          </cell>
        </row>
        <row r="1984">
          <cell r="A1984" t="str">
            <v>パウダーオン２号</v>
          </cell>
        </row>
        <row r="1985">
          <cell r="A1985" t="str">
            <v>パウダーオン２号</v>
          </cell>
        </row>
        <row r="1986">
          <cell r="A1986" t="str">
            <v>パウダーオン２号</v>
          </cell>
        </row>
        <row r="1987">
          <cell r="A1987" t="str">
            <v>パウダーオン２号</v>
          </cell>
        </row>
        <row r="1988">
          <cell r="A1988" t="str">
            <v>パウダーオン２号</v>
          </cell>
        </row>
        <row r="1989">
          <cell r="A1989" t="str">
            <v>パウダーオン２号</v>
          </cell>
        </row>
        <row r="1990">
          <cell r="A1990" t="str">
            <v>パウダーオン２号</v>
          </cell>
        </row>
        <row r="1991">
          <cell r="A1991" t="str">
            <v>パウダーオン２号</v>
          </cell>
        </row>
        <row r="1992">
          <cell r="A1992" t="str">
            <v>パウダーオン２号</v>
          </cell>
        </row>
        <row r="1993">
          <cell r="A1993" t="str">
            <v>パウダーオン２号</v>
          </cell>
        </row>
        <row r="1994">
          <cell r="A1994" t="str">
            <v>パウダーオン２号</v>
          </cell>
        </row>
        <row r="1995">
          <cell r="A1995" t="str">
            <v>パウダーオン２号</v>
          </cell>
        </row>
        <row r="1996">
          <cell r="A1996" t="str">
            <v>パウダーオン２号</v>
          </cell>
        </row>
        <row r="1997">
          <cell r="A1997" t="str">
            <v>パウダーオン２号</v>
          </cell>
        </row>
        <row r="1998">
          <cell r="A1998" t="str">
            <v>パウダーオン２号</v>
          </cell>
        </row>
        <row r="1999">
          <cell r="A1999" t="str">
            <v>パウダーオン２号</v>
          </cell>
        </row>
        <row r="2000">
          <cell r="A2000" t="str">
            <v>パウダーオン２号</v>
          </cell>
        </row>
        <row r="2001">
          <cell r="A2001" t="str">
            <v>パウダーオン２号</v>
          </cell>
        </row>
        <row r="2002">
          <cell r="A2002" t="str">
            <v>パウダーオン２号</v>
          </cell>
        </row>
        <row r="2003">
          <cell r="A2003" t="str">
            <v>パウダーオン２号</v>
          </cell>
        </row>
        <row r="2004">
          <cell r="A2004" t="str">
            <v>パウダーオン２号</v>
          </cell>
        </row>
        <row r="2005">
          <cell r="A2005" t="str">
            <v>パウダーオン２号</v>
          </cell>
        </row>
        <row r="2006">
          <cell r="A2006" t="str">
            <v>パウダーオン２号</v>
          </cell>
        </row>
        <row r="2007">
          <cell r="A2007" t="str">
            <v>パウダーオン２号</v>
          </cell>
        </row>
        <row r="2008">
          <cell r="A2008" t="str">
            <v>パウダーオン３号</v>
          </cell>
        </row>
        <row r="2009">
          <cell r="A2009" t="str">
            <v>パウダーオン３号</v>
          </cell>
        </row>
        <row r="2010">
          <cell r="A2010" t="str">
            <v>パウダーオン３号</v>
          </cell>
        </row>
        <row r="2011">
          <cell r="A2011" t="str">
            <v>パウダーオン３号</v>
          </cell>
        </row>
        <row r="2012">
          <cell r="A2012" t="str">
            <v>パウダーオン３号</v>
          </cell>
        </row>
        <row r="2013">
          <cell r="A2013" t="str">
            <v>パウダーオン３号</v>
          </cell>
        </row>
        <row r="2014">
          <cell r="A2014" t="str">
            <v>パウダーオン３号</v>
          </cell>
        </row>
        <row r="2015">
          <cell r="A2015" t="str">
            <v>パウダーオン３号</v>
          </cell>
        </row>
        <row r="2016">
          <cell r="A2016" t="str">
            <v>パウダーオン３号</v>
          </cell>
        </row>
        <row r="2017">
          <cell r="A2017" t="str">
            <v>パウダーオン３号</v>
          </cell>
        </row>
        <row r="2018">
          <cell r="A2018" t="str">
            <v>パウダーオン３号</v>
          </cell>
        </row>
        <row r="2019">
          <cell r="A2019" t="str">
            <v>パウダーオン３号</v>
          </cell>
        </row>
        <row r="2020">
          <cell r="A2020" t="str">
            <v>パウダーオン３号</v>
          </cell>
        </row>
        <row r="2021">
          <cell r="A2021" t="str">
            <v>パウダーオン３号</v>
          </cell>
        </row>
        <row r="2022">
          <cell r="A2022" t="str">
            <v>パウダーオン３号</v>
          </cell>
        </row>
        <row r="2023">
          <cell r="A2023" t="str">
            <v>パウダーオン３号</v>
          </cell>
        </row>
        <row r="2024">
          <cell r="A2024" t="str">
            <v>パウダーオン３号</v>
          </cell>
        </row>
        <row r="2025">
          <cell r="A2025" t="str">
            <v>パウダーオン３号</v>
          </cell>
        </row>
        <row r="2026">
          <cell r="A2026" t="str">
            <v>パウダーオン３号</v>
          </cell>
        </row>
        <row r="2027">
          <cell r="A2027" t="str">
            <v>パウダーオン３号</v>
          </cell>
        </row>
        <row r="2028">
          <cell r="A2028" t="str">
            <v>パウダーオン３号</v>
          </cell>
        </row>
        <row r="2029">
          <cell r="A2029" t="str">
            <v>パウダーオン３号</v>
          </cell>
        </row>
        <row r="2030">
          <cell r="A2030" t="str">
            <v>パウダーオン３号</v>
          </cell>
        </row>
        <row r="2031">
          <cell r="A2031" t="str">
            <v>パウダーオン３号</v>
          </cell>
        </row>
        <row r="2032">
          <cell r="A2032" t="str">
            <v>パウダーオン３号</v>
          </cell>
        </row>
        <row r="2033">
          <cell r="A2033" t="str">
            <v>パウダーオン３号</v>
          </cell>
        </row>
        <row r="2034">
          <cell r="A2034" t="str">
            <v>パウダーオン３号</v>
          </cell>
        </row>
        <row r="2035">
          <cell r="A2035" t="str">
            <v>パウダーオン３号</v>
          </cell>
        </row>
        <row r="2036">
          <cell r="A2036" t="str">
            <v>パウダーオン３号</v>
          </cell>
        </row>
        <row r="2037">
          <cell r="A2037" t="str">
            <v>パウダーオン３号</v>
          </cell>
        </row>
        <row r="2038">
          <cell r="A2038" t="str">
            <v>アセワキ新居浜</v>
          </cell>
        </row>
        <row r="2039">
          <cell r="A2039" t="str">
            <v>アセワキ新居浜</v>
          </cell>
        </row>
        <row r="2040">
          <cell r="A2040" t="str">
            <v>アセワキ新居浜</v>
          </cell>
        </row>
        <row r="2041">
          <cell r="A2041" t="str">
            <v>アセワキ新居浜</v>
          </cell>
        </row>
        <row r="2042">
          <cell r="A2042" t="str">
            <v>アセワキ新居浜</v>
          </cell>
        </row>
        <row r="2043">
          <cell r="A2043" t="str">
            <v>アセワキ新居浜</v>
          </cell>
        </row>
        <row r="2044">
          <cell r="A2044" t="str">
            <v>アセワキ新居浜</v>
          </cell>
        </row>
        <row r="2045">
          <cell r="A2045" t="str">
            <v>アセワキ新居浜</v>
          </cell>
        </row>
        <row r="2046">
          <cell r="A2046" t="str">
            <v>アセワキ新居浜</v>
          </cell>
        </row>
        <row r="2047">
          <cell r="A2047" t="str">
            <v>アセワキ新居浜</v>
          </cell>
        </row>
        <row r="2048">
          <cell r="A2048" t="str">
            <v>アセワキ新居浜</v>
          </cell>
        </row>
        <row r="2049">
          <cell r="A2049" t="str">
            <v>アセワキ新居浜</v>
          </cell>
        </row>
        <row r="2050">
          <cell r="A2050" t="str">
            <v>アセワキ新居浜</v>
          </cell>
        </row>
        <row r="2051">
          <cell r="A2051" t="str">
            <v>アセワキ新居浜</v>
          </cell>
        </row>
        <row r="2052">
          <cell r="A2052" t="str">
            <v>アセワキ新居浜</v>
          </cell>
        </row>
        <row r="2053">
          <cell r="A2053" t="str">
            <v>アセワキ新居浜</v>
          </cell>
        </row>
        <row r="2054">
          <cell r="A2054" t="str">
            <v>アセワキ新居浜</v>
          </cell>
        </row>
        <row r="2055">
          <cell r="A2055" t="str">
            <v>アセワキ新居浜</v>
          </cell>
        </row>
        <row r="2056">
          <cell r="A2056" t="str">
            <v>アセワキ新居浜</v>
          </cell>
        </row>
        <row r="2057">
          <cell r="A2057" t="str">
            <v>アセワキ新居浜</v>
          </cell>
        </row>
        <row r="2058">
          <cell r="A2058" t="str">
            <v>アセワキ新居浜</v>
          </cell>
        </row>
        <row r="2059">
          <cell r="A2059" t="str">
            <v>アセワキ新居浜</v>
          </cell>
        </row>
        <row r="2060">
          <cell r="A2060" t="str">
            <v>アセワキ新居浜</v>
          </cell>
        </row>
        <row r="2061">
          <cell r="A2061" t="str">
            <v>アセワキ新居浜</v>
          </cell>
        </row>
        <row r="2062">
          <cell r="A2062" t="str">
            <v>アセワキ新居浜</v>
          </cell>
        </row>
        <row r="2063">
          <cell r="A2063" t="str">
            <v>アセワキ新居浜</v>
          </cell>
        </row>
        <row r="2064">
          <cell r="A2064" t="str">
            <v>アセワキ新居浜</v>
          </cell>
        </row>
        <row r="2065">
          <cell r="A2065" t="str">
            <v>アセワキ新居浜</v>
          </cell>
        </row>
        <row r="2066">
          <cell r="A2066" t="str">
            <v>アセワキ新居浜</v>
          </cell>
        </row>
        <row r="2067">
          <cell r="A2067" t="str">
            <v>アセワキ新居浜</v>
          </cell>
        </row>
      </sheetData>
      <sheetData sheetId="2"/>
      <sheetData sheetId="3"/>
      <sheetData sheetId="4"/>
      <sheetData sheetId="5" refreshError="1"/>
      <sheetData sheetId="6"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品目"/>
      <sheetName val="Ｅ価"/>
      <sheetName val="工程"/>
      <sheetName val="評価単価"/>
      <sheetName val="標準単価"/>
      <sheetName val="部品表"/>
      <sheetName val="指図"/>
      <sheetName val="引落"/>
      <sheetName val="按分基準"/>
      <sheetName val="按分データ"/>
      <sheetName val="操業日"/>
      <sheetName val="マクロ実行"/>
      <sheetName val="計算式"/>
      <sheetName val="総合効率月間"/>
      <sheetName val="日々グラフデータ"/>
      <sheetName val="ＢＯＳＳ換算個数表"/>
      <sheetName val="集計用売上"/>
      <sheetName val="※表紙"/>
      <sheetName val="会社管理"/>
    </sheetNames>
    <sheetDataSet>
      <sheetData sheetId="0"/>
      <sheetData sheetId="1"/>
      <sheetData sheetId="2"/>
      <sheetData sheetId="3"/>
      <sheetData sheetId="4"/>
      <sheetData sheetId="5"/>
      <sheetData sheetId="6"/>
      <sheetData sheetId="7"/>
      <sheetData sheetId="8"/>
      <sheetData sheetId="9"/>
      <sheetData sheetId="10"/>
      <sheetData sheetId="11">
        <row r="1">
          <cell r="B1">
            <v>38443</v>
          </cell>
        </row>
        <row r="2">
          <cell r="B2">
            <v>38443</v>
          </cell>
        </row>
        <row r="3">
          <cell r="B3">
            <v>38807</v>
          </cell>
        </row>
        <row r="4">
          <cell r="B4">
            <v>38454</v>
          </cell>
        </row>
      </sheetData>
      <sheetData sheetId="12"/>
      <sheetData sheetId="13"/>
      <sheetData sheetId="14"/>
      <sheetData sheetId="15" refreshError="1"/>
      <sheetData sheetId="16" refreshError="1"/>
      <sheetData sheetId="17" refreshError="1"/>
      <sheetData sheetId="18"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61017"/>
      <sheetName val="チャート"/>
      <sheetName val="休日設定"/>
      <sheetName val="関データ"/>
      <sheetName val="神データ"/>
      <sheetName val="販売予算"/>
    </sheetNames>
    <sheetDataSet>
      <sheetData sheetId="0"/>
      <sheetData sheetId="1"/>
      <sheetData sheetId="2">
        <row r="3">
          <cell r="C3" t="str">
            <v>日付</v>
          </cell>
          <cell r="D3" t="str">
            <v>曜日</v>
          </cell>
          <cell r="E3" t="str">
            <v>名称</v>
          </cell>
          <cell r="F3" t="str">
            <v>休日区分</v>
          </cell>
        </row>
        <row r="4">
          <cell r="C4">
            <v>38353</v>
          </cell>
          <cell r="D4" t="str">
            <v>土</v>
          </cell>
          <cell r="E4" t="str">
            <v>元日</v>
          </cell>
          <cell r="F4" t="str">
            <v>休日</v>
          </cell>
        </row>
        <row r="5">
          <cell r="C5">
            <v>38362</v>
          </cell>
          <cell r="D5" t="str">
            <v>月</v>
          </cell>
          <cell r="E5" t="str">
            <v>成人の日</v>
          </cell>
          <cell r="F5" t="str">
            <v>休日</v>
          </cell>
        </row>
        <row r="6">
          <cell r="C6">
            <v>38394</v>
          </cell>
          <cell r="D6" t="str">
            <v>金</v>
          </cell>
          <cell r="E6" t="str">
            <v>建国記念日</v>
          </cell>
          <cell r="F6" t="str">
            <v>休日</v>
          </cell>
        </row>
        <row r="7">
          <cell r="C7">
            <v>38431</v>
          </cell>
          <cell r="D7" t="str">
            <v>日</v>
          </cell>
          <cell r="E7" t="str">
            <v>春分の日</v>
          </cell>
          <cell r="F7" t="str">
            <v>休日</v>
          </cell>
        </row>
        <row r="8">
          <cell r="C8">
            <v>38432</v>
          </cell>
          <cell r="D8" t="str">
            <v>月</v>
          </cell>
          <cell r="E8" t="str">
            <v>振替休日</v>
          </cell>
          <cell r="F8" t="str">
            <v>休日</v>
          </cell>
        </row>
        <row r="9">
          <cell r="C9">
            <v>38471</v>
          </cell>
          <cell r="D9" t="str">
            <v>金</v>
          </cell>
          <cell r="E9" t="str">
            <v>みどりの日</v>
          </cell>
          <cell r="F9" t="str">
            <v>休日</v>
          </cell>
        </row>
        <row r="10">
          <cell r="C10">
            <v>38475</v>
          </cell>
          <cell r="D10" t="str">
            <v>火</v>
          </cell>
          <cell r="E10" t="str">
            <v>憲法記念日</v>
          </cell>
          <cell r="F10" t="str">
            <v>休日</v>
          </cell>
        </row>
        <row r="11">
          <cell r="C11">
            <v>38476</v>
          </cell>
          <cell r="D11" t="str">
            <v>水</v>
          </cell>
          <cell r="E11" t="str">
            <v>国民の休日</v>
          </cell>
          <cell r="F11" t="str">
            <v>休日</v>
          </cell>
        </row>
        <row r="12">
          <cell r="C12">
            <v>38477</v>
          </cell>
          <cell r="D12" t="str">
            <v>木</v>
          </cell>
          <cell r="E12" t="str">
            <v>こどもの日</v>
          </cell>
          <cell r="F12" t="str">
            <v>休日</v>
          </cell>
        </row>
        <row r="13">
          <cell r="C13">
            <v>38551</v>
          </cell>
          <cell r="D13" t="str">
            <v>月</v>
          </cell>
          <cell r="E13" t="str">
            <v>海の日</v>
          </cell>
          <cell r="F13" t="str">
            <v>休日</v>
          </cell>
        </row>
        <row r="14">
          <cell r="C14">
            <v>38614</v>
          </cell>
          <cell r="D14" t="str">
            <v>月</v>
          </cell>
          <cell r="E14" t="str">
            <v>敬老の日</v>
          </cell>
          <cell r="F14" t="str">
            <v>休日</v>
          </cell>
        </row>
        <row r="15">
          <cell r="C15">
            <v>38618</v>
          </cell>
          <cell r="D15" t="str">
            <v>金</v>
          </cell>
          <cell r="E15" t="str">
            <v>秋分の日</v>
          </cell>
          <cell r="F15" t="str">
            <v>休日</v>
          </cell>
        </row>
        <row r="16">
          <cell r="C16">
            <v>38635</v>
          </cell>
          <cell r="D16" t="str">
            <v>月</v>
          </cell>
          <cell r="E16" t="str">
            <v>体育の日</v>
          </cell>
          <cell r="F16" t="str">
            <v>休日</v>
          </cell>
        </row>
        <row r="17">
          <cell r="C17">
            <v>38659</v>
          </cell>
          <cell r="D17" t="str">
            <v>木</v>
          </cell>
          <cell r="E17" t="str">
            <v>文化の日</v>
          </cell>
          <cell r="F17" t="str">
            <v>休日</v>
          </cell>
        </row>
        <row r="18">
          <cell r="C18">
            <v>38679</v>
          </cell>
          <cell r="D18" t="str">
            <v>水</v>
          </cell>
          <cell r="E18" t="str">
            <v>勤労感謝の日</v>
          </cell>
          <cell r="F18" t="str">
            <v>休日</v>
          </cell>
        </row>
        <row r="19">
          <cell r="C19">
            <v>38709</v>
          </cell>
          <cell r="D19" t="str">
            <v>金</v>
          </cell>
          <cell r="E19" t="str">
            <v>天皇誕生日</v>
          </cell>
          <cell r="F19" t="str">
            <v>休日</v>
          </cell>
        </row>
        <row r="20">
          <cell r="C20" t="str">
            <v/>
          </cell>
          <cell r="D20" t="str">
            <v/>
          </cell>
        </row>
        <row r="21">
          <cell r="C21" t="str">
            <v/>
          </cell>
          <cell r="D21" t="str">
            <v/>
          </cell>
          <cell r="E21" t="str">
            <v>＜以降サンプル＞</v>
          </cell>
        </row>
        <row r="22">
          <cell r="C22">
            <v>38354</v>
          </cell>
          <cell r="D22" t="str">
            <v>日</v>
          </cell>
          <cell r="E22" t="str">
            <v>年末年始休暇</v>
          </cell>
          <cell r="F22" t="str">
            <v>休日</v>
          </cell>
        </row>
        <row r="23">
          <cell r="C23">
            <v>38355</v>
          </cell>
          <cell r="D23" t="str">
            <v>月</v>
          </cell>
          <cell r="E23" t="str">
            <v>年末年始休暇</v>
          </cell>
          <cell r="F23" t="str">
            <v>休日</v>
          </cell>
        </row>
        <row r="24">
          <cell r="C24">
            <v>38356</v>
          </cell>
          <cell r="D24" t="str">
            <v>火</v>
          </cell>
          <cell r="E24" t="str">
            <v>年末年始休暇</v>
          </cell>
          <cell r="F24" t="str">
            <v>休日</v>
          </cell>
        </row>
        <row r="25">
          <cell r="C25">
            <v>38357</v>
          </cell>
          <cell r="D25" t="str">
            <v>水</v>
          </cell>
          <cell r="E25" t="str">
            <v>年末年始休暇</v>
          </cell>
          <cell r="F25" t="str">
            <v>休日</v>
          </cell>
        </row>
        <row r="26">
          <cell r="C26" t="str">
            <v/>
          </cell>
          <cell r="D26" t="str">
            <v/>
          </cell>
        </row>
        <row r="27">
          <cell r="C27" t="str">
            <v/>
          </cell>
          <cell r="D27" t="str">
            <v/>
          </cell>
        </row>
        <row r="28">
          <cell r="C28" t="str">
            <v/>
          </cell>
          <cell r="D28" t="str">
            <v/>
          </cell>
        </row>
        <row r="29">
          <cell r="C29" t="str">
            <v/>
          </cell>
          <cell r="D29" t="str">
            <v/>
          </cell>
        </row>
        <row r="30">
          <cell r="C30" t="str">
            <v/>
          </cell>
          <cell r="D30" t="str">
            <v/>
          </cell>
        </row>
        <row r="31">
          <cell r="C31" t="str">
            <v/>
          </cell>
          <cell r="D31" t="str">
            <v/>
          </cell>
        </row>
        <row r="32">
          <cell r="C32" t="str">
            <v/>
          </cell>
          <cell r="D32" t="str">
            <v/>
          </cell>
        </row>
        <row r="33">
          <cell r="C33" t="str">
            <v/>
          </cell>
          <cell r="D33" t="str">
            <v/>
          </cell>
        </row>
        <row r="34">
          <cell r="C34" t="str">
            <v/>
          </cell>
          <cell r="D34" t="str">
            <v/>
          </cell>
        </row>
        <row r="35">
          <cell r="C35" t="str">
            <v/>
          </cell>
          <cell r="D35" t="str">
            <v/>
          </cell>
        </row>
        <row r="36">
          <cell r="C36" t="str">
            <v/>
          </cell>
          <cell r="D36" t="str">
            <v/>
          </cell>
        </row>
        <row r="37">
          <cell r="C37" t="str">
            <v/>
          </cell>
          <cell r="D37" t="str">
            <v/>
          </cell>
        </row>
        <row r="38">
          <cell r="C38" t="str">
            <v/>
          </cell>
          <cell r="D38" t="str">
            <v/>
          </cell>
        </row>
        <row r="39">
          <cell r="C39" t="str">
            <v/>
          </cell>
          <cell r="D39" t="str">
            <v/>
          </cell>
        </row>
        <row r="40">
          <cell r="C40" t="str">
            <v/>
          </cell>
          <cell r="D40" t="str">
            <v/>
          </cell>
        </row>
        <row r="41">
          <cell r="C41" t="str">
            <v/>
          </cell>
          <cell r="D41" t="str">
            <v/>
          </cell>
        </row>
        <row r="42">
          <cell r="C42" t="str">
            <v/>
          </cell>
          <cell r="D42" t="str">
            <v/>
          </cell>
        </row>
        <row r="43">
          <cell r="C43" t="str">
            <v/>
          </cell>
          <cell r="D43" t="str">
            <v/>
          </cell>
        </row>
        <row r="44">
          <cell r="C44" t="str">
            <v/>
          </cell>
          <cell r="D44" t="str">
            <v/>
          </cell>
        </row>
        <row r="45">
          <cell r="C45" t="str">
            <v/>
          </cell>
          <cell r="D45" t="str">
            <v/>
          </cell>
        </row>
        <row r="46">
          <cell r="C46" t="str">
            <v/>
          </cell>
          <cell r="D46" t="str">
            <v/>
          </cell>
        </row>
        <row r="47">
          <cell r="C47" t="str">
            <v/>
          </cell>
          <cell r="D47" t="str">
            <v/>
          </cell>
        </row>
        <row r="48">
          <cell r="C48" t="str">
            <v/>
          </cell>
          <cell r="D48" t="str">
            <v/>
          </cell>
        </row>
        <row r="49">
          <cell r="C49" t="str">
            <v/>
          </cell>
          <cell r="D49" t="str">
            <v/>
          </cell>
        </row>
        <row r="50">
          <cell r="C50" t="str">
            <v/>
          </cell>
          <cell r="D50" t="str">
            <v/>
          </cell>
        </row>
        <row r="51">
          <cell r="C51" t="str">
            <v/>
          </cell>
          <cell r="D51" t="str">
            <v/>
          </cell>
        </row>
        <row r="52">
          <cell r="C52" t="str">
            <v/>
          </cell>
          <cell r="D52" t="str">
            <v/>
          </cell>
        </row>
        <row r="53">
          <cell r="C53" t="str">
            <v/>
          </cell>
          <cell r="D53" t="str">
            <v/>
          </cell>
        </row>
        <row r="54">
          <cell r="C54" t="str">
            <v/>
          </cell>
          <cell r="D54" t="str">
            <v/>
          </cell>
        </row>
        <row r="55">
          <cell r="C55" t="str">
            <v/>
          </cell>
          <cell r="D55" t="str">
            <v/>
          </cell>
        </row>
        <row r="56">
          <cell r="C56" t="str">
            <v/>
          </cell>
          <cell r="D56" t="str">
            <v/>
          </cell>
        </row>
        <row r="57">
          <cell r="C57" t="str">
            <v/>
          </cell>
          <cell r="D57" t="str">
            <v/>
          </cell>
        </row>
        <row r="58">
          <cell r="C58" t="str">
            <v/>
          </cell>
          <cell r="D58" t="str">
            <v/>
          </cell>
        </row>
        <row r="59">
          <cell r="C59" t="str">
            <v/>
          </cell>
          <cell r="D59" t="str">
            <v/>
          </cell>
        </row>
        <row r="60">
          <cell r="C60" t="str">
            <v/>
          </cell>
          <cell r="D60" t="str">
            <v/>
          </cell>
        </row>
        <row r="61">
          <cell r="C61" t="str">
            <v/>
          </cell>
          <cell r="D61" t="str">
            <v/>
          </cell>
        </row>
        <row r="62">
          <cell r="C62" t="str">
            <v/>
          </cell>
          <cell r="D62" t="str">
            <v/>
          </cell>
        </row>
        <row r="63">
          <cell r="C63" t="str">
            <v/>
          </cell>
          <cell r="D63" t="str">
            <v/>
          </cell>
        </row>
        <row r="64">
          <cell r="C64" t="str">
            <v/>
          </cell>
          <cell r="D64" t="str">
            <v/>
          </cell>
        </row>
        <row r="65">
          <cell r="C65" t="str">
            <v/>
          </cell>
          <cell r="D65" t="str">
            <v/>
          </cell>
        </row>
        <row r="66">
          <cell r="C66" t="str">
            <v/>
          </cell>
          <cell r="D66" t="str">
            <v/>
          </cell>
        </row>
        <row r="67">
          <cell r="C67" t="str">
            <v/>
          </cell>
          <cell r="D67" t="str">
            <v/>
          </cell>
        </row>
        <row r="68">
          <cell r="C68" t="str">
            <v/>
          </cell>
          <cell r="D68" t="str">
            <v/>
          </cell>
        </row>
        <row r="69">
          <cell r="C69" t="str">
            <v/>
          </cell>
          <cell r="D69" t="str">
            <v/>
          </cell>
        </row>
        <row r="70">
          <cell r="C70" t="str">
            <v/>
          </cell>
          <cell r="D70" t="str">
            <v/>
          </cell>
        </row>
        <row r="71">
          <cell r="C71" t="str">
            <v/>
          </cell>
          <cell r="D71" t="str">
            <v/>
          </cell>
        </row>
        <row r="72">
          <cell r="C72" t="str">
            <v/>
          </cell>
          <cell r="D72" t="str">
            <v/>
          </cell>
        </row>
        <row r="73">
          <cell r="C73" t="str">
            <v/>
          </cell>
          <cell r="D73" t="str">
            <v/>
          </cell>
        </row>
        <row r="74">
          <cell r="C74" t="str">
            <v/>
          </cell>
          <cell r="D74" t="str">
            <v/>
          </cell>
        </row>
        <row r="75">
          <cell r="C75" t="str">
            <v/>
          </cell>
          <cell r="D75" t="str">
            <v/>
          </cell>
        </row>
        <row r="76">
          <cell r="C76" t="str">
            <v/>
          </cell>
          <cell r="D76" t="str">
            <v/>
          </cell>
        </row>
        <row r="77">
          <cell r="C77" t="str">
            <v/>
          </cell>
          <cell r="D77" t="str">
            <v/>
          </cell>
        </row>
        <row r="78">
          <cell r="C78" t="str">
            <v/>
          </cell>
          <cell r="D78" t="str">
            <v/>
          </cell>
        </row>
        <row r="79">
          <cell r="C79" t="str">
            <v/>
          </cell>
          <cell r="D79" t="str">
            <v/>
          </cell>
        </row>
        <row r="80">
          <cell r="C80" t="str">
            <v/>
          </cell>
          <cell r="D80" t="str">
            <v/>
          </cell>
        </row>
        <row r="81">
          <cell r="C81" t="str">
            <v/>
          </cell>
          <cell r="D81" t="str">
            <v/>
          </cell>
        </row>
        <row r="82">
          <cell r="C82" t="str">
            <v/>
          </cell>
          <cell r="D82" t="str">
            <v/>
          </cell>
        </row>
        <row r="83">
          <cell r="C83" t="str">
            <v/>
          </cell>
          <cell r="D83" t="str">
            <v/>
          </cell>
        </row>
        <row r="84">
          <cell r="C84" t="str">
            <v/>
          </cell>
          <cell r="D84" t="str">
            <v/>
          </cell>
        </row>
        <row r="85">
          <cell r="C85" t="str">
            <v/>
          </cell>
          <cell r="D85" t="str">
            <v/>
          </cell>
        </row>
        <row r="86">
          <cell r="C86" t="str">
            <v/>
          </cell>
          <cell r="D86" t="str">
            <v/>
          </cell>
        </row>
        <row r="87">
          <cell r="C87" t="str">
            <v/>
          </cell>
          <cell r="D87" t="str">
            <v/>
          </cell>
        </row>
        <row r="88">
          <cell r="C88" t="str">
            <v/>
          </cell>
          <cell r="D88" t="str">
            <v/>
          </cell>
        </row>
        <row r="89">
          <cell r="C89" t="str">
            <v/>
          </cell>
          <cell r="D89" t="str">
            <v/>
          </cell>
        </row>
        <row r="90">
          <cell r="C90" t="str">
            <v/>
          </cell>
          <cell r="D90" t="str">
            <v/>
          </cell>
        </row>
        <row r="91">
          <cell r="C91" t="str">
            <v/>
          </cell>
          <cell r="D91" t="str">
            <v/>
          </cell>
        </row>
        <row r="92">
          <cell r="C92" t="str">
            <v/>
          </cell>
          <cell r="D92" t="str">
            <v/>
          </cell>
        </row>
        <row r="93">
          <cell r="C93" t="str">
            <v/>
          </cell>
          <cell r="D93" t="str">
            <v/>
          </cell>
        </row>
        <row r="94">
          <cell r="C94" t="str">
            <v/>
          </cell>
          <cell r="D94" t="str">
            <v/>
          </cell>
        </row>
        <row r="95">
          <cell r="C95" t="str">
            <v/>
          </cell>
          <cell r="D95" t="str">
            <v/>
          </cell>
        </row>
        <row r="96">
          <cell r="C96" t="str">
            <v/>
          </cell>
          <cell r="D96" t="str">
            <v/>
          </cell>
        </row>
        <row r="97">
          <cell r="C97" t="str">
            <v/>
          </cell>
          <cell r="D97" t="str">
            <v/>
          </cell>
        </row>
        <row r="98">
          <cell r="C98" t="str">
            <v/>
          </cell>
          <cell r="D98" t="str">
            <v/>
          </cell>
        </row>
        <row r="99">
          <cell r="C99" t="str">
            <v/>
          </cell>
          <cell r="D99" t="str">
            <v/>
          </cell>
        </row>
        <row r="100">
          <cell r="C100" t="str">
            <v/>
          </cell>
          <cell r="D100" t="str">
            <v/>
          </cell>
        </row>
        <row r="101">
          <cell r="C101" t="str">
            <v/>
          </cell>
          <cell r="D101" t="str">
            <v/>
          </cell>
        </row>
        <row r="102">
          <cell r="C102" t="str">
            <v/>
          </cell>
          <cell r="D102" t="str">
            <v/>
          </cell>
        </row>
        <row r="103">
          <cell r="C103" t="str">
            <v/>
          </cell>
          <cell r="D103" t="str">
            <v/>
          </cell>
        </row>
        <row r="104">
          <cell r="C104" t="str">
            <v/>
          </cell>
          <cell r="D104" t="str">
            <v/>
          </cell>
        </row>
        <row r="105">
          <cell r="C105" t="str">
            <v/>
          </cell>
          <cell r="D105" t="str">
            <v/>
          </cell>
        </row>
        <row r="106">
          <cell r="C106" t="str">
            <v/>
          </cell>
          <cell r="D106" t="str">
            <v/>
          </cell>
        </row>
        <row r="107">
          <cell r="C107" t="str">
            <v/>
          </cell>
          <cell r="D107" t="str">
            <v/>
          </cell>
        </row>
        <row r="108">
          <cell r="C108" t="str">
            <v/>
          </cell>
          <cell r="D108" t="str">
            <v/>
          </cell>
        </row>
        <row r="109">
          <cell r="C109" t="str">
            <v/>
          </cell>
          <cell r="D109" t="str">
            <v/>
          </cell>
        </row>
        <row r="110">
          <cell r="C110" t="str">
            <v/>
          </cell>
          <cell r="D110" t="str">
            <v/>
          </cell>
        </row>
        <row r="111">
          <cell r="C111" t="str">
            <v/>
          </cell>
          <cell r="D111" t="str">
            <v/>
          </cell>
        </row>
        <row r="112">
          <cell r="C112" t="str">
            <v/>
          </cell>
          <cell r="D112" t="str">
            <v/>
          </cell>
        </row>
        <row r="113">
          <cell r="C113" t="str">
            <v/>
          </cell>
          <cell r="D113" t="str">
            <v/>
          </cell>
        </row>
        <row r="114">
          <cell r="C114" t="str">
            <v/>
          </cell>
          <cell r="D114" t="str">
            <v/>
          </cell>
        </row>
        <row r="115">
          <cell r="C115" t="str">
            <v/>
          </cell>
          <cell r="D115" t="str">
            <v/>
          </cell>
        </row>
        <row r="116">
          <cell r="C116" t="str">
            <v/>
          </cell>
          <cell r="D116" t="str">
            <v/>
          </cell>
        </row>
        <row r="117">
          <cell r="C117" t="str">
            <v/>
          </cell>
          <cell r="D117" t="str">
            <v/>
          </cell>
        </row>
        <row r="118">
          <cell r="C118" t="str">
            <v/>
          </cell>
          <cell r="D118" t="str">
            <v/>
          </cell>
        </row>
        <row r="119">
          <cell r="C119" t="str">
            <v/>
          </cell>
          <cell r="D119" t="str">
            <v/>
          </cell>
        </row>
        <row r="120">
          <cell r="C120" t="str">
            <v/>
          </cell>
          <cell r="D120" t="str">
            <v/>
          </cell>
        </row>
        <row r="121">
          <cell r="C121" t="str">
            <v/>
          </cell>
          <cell r="D121" t="str">
            <v/>
          </cell>
        </row>
        <row r="122">
          <cell r="C122" t="str">
            <v/>
          </cell>
          <cell r="D122" t="str">
            <v/>
          </cell>
        </row>
        <row r="123">
          <cell r="C123" t="str">
            <v/>
          </cell>
          <cell r="D123" t="str">
            <v/>
          </cell>
        </row>
        <row r="124">
          <cell r="C124" t="str">
            <v/>
          </cell>
          <cell r="D124" t="str">
            <v/>
          </cell>
        </row>
        <row r="125">
          <cell r="C125" t="str">
            <v/>
          </cell>
          <cell r="D125" t="str">
            <v/>
          </cell>
        </row>
        <row r="126">
          <cell r="C126" t="str">
            <v/>
          </cell>
          <cell r="D126" t="str">
            <v/>
          </cell>
        </row>
        <row r="127">
          <cell r="C127" t="str">
            <v/>
          </cell>
          <cell r="D127" t="str">
            <v/>
          </cell>
        </row>
        <row r="128">
          <cell r="C128" t="str">
            <v/>
          </cell>
          <cell r="D128" t="str">
            <v/>
          </cell>
        </row>
        <row r="129">
          <cell r="C129" t="str">
            <v/>
          </cell>
          <cell r="D129" t="str">
            <v/>
          </cell>
        </row>
        <row r="130">
          <cell r="C130" t="str">
            <v/>
          </cell>
          <cell r="D130" t="str">
            <v/>
          </cell>
        </row>
        <row r="131">
          <cell r="C131" t="str">
            <v/>
          </cell>
          <cell r="D131" t="str">
            <v/>
          </cell>
        </row>
        <row r="132">
          <cell r="C132" t="str">
            <v/>
          </cell>
          <cell r="D132" t="str">
            <v/>
          </cell>
        </row>
        <row r="133">
          <cell r="C133" t="str">
            <v/>
          </cell>
          <cell r="D133" t="str">
            <v/>
          </cell>
        </row>
        <row r="134">
          <cell r="C134" t="str">
            <v/>
          </cell>
          <cell r="D134" t="str">
            <v/>
          </cell>
        </row>
        <row r="135">
          <cell r="C135" t="str">
            <v/>
          </cell>
          <cell r="D135" t="str">
            <v/>
          </cell>
        </row>
        <row r="136">
          <cell r="C136" t="str">
            <v/>
          </cell>
          <cell r="D136" t="str">
            <v/>
          </cell>
        </row>
        <row r="137">
          <cell r="C137" t="str">
            <v/>
          </cell>
          <cell r="D137" t="str">
            <v/>
          </cell>
        </row>
        <row r="138">
          <cell r="C138" t="str">
            <v/>
          </cell>
          <cell r="D138" t="str">
            <v/>
          </cell>
        </row>
        <row r="139">
          <cell r="C139" t="str">
            <v/>
          </cell>
          <cell r="D139" t="str">
            <v/>
          </cell>
        </row>
        <row r="140">
          <cell r="C140" t="str">
            <v/>
          </cell>
          <cell r="D140" t="str">
            <v/>
          </cell>
        </row>
        <row r="141">
          <cell r="C141" t="str">
            <v/>
          </cell>
          <cell r="D141" t="str">
            <v/>
          </cell>
        </row>
        <row r="142">
          <cell r="C142" t="str">
            <v/>
          </cell>
          <cell r="D142" t="str">
            <v/>
          </cell>
        </row>
        <row r="143">
          <cell r="C143" t="str">
            <v/>
          </cell>
          <cell r="D143" t="str">
            <v/>
          </cell>
        </row>
        <row r="144">
          <cell r="C144" t="str">
            <v/>
          </cell>
          <cell r="D144" t="str">
            <v/>
          </cell>
        </row>
        <row r="145">
          <cell r="C145" t="str">
            <v/>
          </cell>
          <cell r="D145" t="str">
            <v/>
          </cell>
        </row>
        <row r="146">
          <cell r="C146" t="str">
            <v/>
          </cell>
          <cell r="D146" t="str">
            <v/>
          </cell>
        </row>
        <row r="147">
          <cell r="C147" t="str">
            <v/>
          </cell>
          <cell r="D147" t="str">
            <v/>
          </cell>
        </row>
        <row r="148">
          <cell r="C148" t="str">
            <v/>
          </cell>
          <cell r="D148" t="str">
            <v/>
          </cell>
        </row>
        <row r="149">
          <cell r="C149" t="str">
            <v/>
          </cell>
          <cell r="D149" t="str">
            <v/>
          </cell>
        </row>
        <row r="150">
          <cell r="C150" t="str">
            <v/>
          </cell>
          <cell r="D150" t="str">
            <v/>
          </cell>
        </row>
        <row r="151">
          <cell r="C151" t="str">
            <v/>
          </cell>
          <cell r="D151" t="str">
            <v/>
          </cell>
        </row>
        <row r="152">
          <cell r="C152" t="str">
            <v/>
          </cell>
          <cell r="D152" t="str">
            <v/>
          </cell>
        </row>
        <row r="153">
          <cell r="C153" t="str">
            <v/>
          </cell>
          <cell r="D153" t="str">
            <v/>
          </cell>
        </row>
        <row r="155">
          <cell r="C155">
            <v>2006</v>
          </cell>
          <cell r="E155" t="str">
            <v>上へ</v>
          </cell>
          <cell r="F155" t="str">
            <v>下へ</v>
          </cell>
        </row>
        <row r="157">
          <cell r="C157" t="str">
            <v>日付</v>
          </cell>
          <cell r="D157" t="str">
            <v>曜日</v>
          </cell>
          <cell r="E157" t="str">
            <v>名称</v>
          </cell>
          <cell r="F157" t="str">
            <v>休日区分</v>
          </cell>
        </row>
        <row r="158">
          <cell r="C158">
            <v>38718</v>
          </cell>
          <cell r="D158" t="str">
            <v>日</v>
          </cell>
          <cell r="E158" t="str">
            <v>元日</v>
          </cell>
          <cell r="F158" t="str">
            <v>休日</v>
          </cell>
        </row>
        <row r="159">
          <cell r="C159">
            <v>38719</v>
          </cell>
          <cell r="D159" t="str">
            <v>月</v>
          </cell>
          <cell r="E159" t="str">
            <v>振替休日</v>
          </cell>
          <cell r="F159" t="str">
            <v>休日</v>
          </cell>
        </row>
        <row r="160">
          <cell r="C160">
            <v>38726</v>
          </cell>
          <cell r="D160" t="str">
            <v>月</v>
          </cell>
          <cell r="E160" t="str">
            <v>成人の日</v>
          </cell>
          <cell r="F160" t="str">
            <v>休日</v>
          </cell>
        </row>
        <row r="161">
          <cell r="C161">
            <v>38759</v>
          </cell>
          <cell r="D161" t="str">
            <v>土</v>
          </cell>
          <cell r="E161" t="str">
            <v>建国記念日</v>
          </cell>
          <cell r="F161" t="str">
            <v>休日</v>
          </cell>
        </row>
        <row r="162">
          <cell r="C162">
            <v>38797</v>
          </cell>
          <cell r="D162" t="str">
            <v>火</v>
          </cell>
          <cell r="E162" t="str">
            <v>春分の日</v>
          </cell>
          <cell r="F162" t="str">
            <v>休日</v>
          </cell>
        </row>
        <row r="163">
          <cell r="C163">
            <v>38836</v>
          </cell>
          <cell r="D163" t="str">
            <v>土</v>
          </cell>
          <cell r="E163" t="str">
            <v>みどりの日</v>
          </cell>
          <cell r="F163" t="str">
            <v>休日</v>
          </cell>
        </row>
        <row r="164">
          <cell r="C164">
            <v>38840</v>
          </cell>
          <cell r="D164" t="str">
            <v>水</v>
          </cell>
          <cell r="E164" t="str">
            <v>憲法記念日</v>
          </cell>
          <cell r="F164" t="str">
            <v>休日</v>
          </cell>
        </row>
        <row r="165">
          <cell r="C165">
            <v>38841</v>
          </cell>
          <cell r="D165" t="str">
            <v>木</v>
          </cell>
          <cell r="E165" t="str">
            <v>国民の休日</v>
          </cell>
          <cell r="F165" t="str">
            <v>休日</v>
          </cell>
        </row>
        <row r="166">
          <cell r="C166">
            <v>38842</v>
          </cell>
          <cell r="D166" t="str">
            <v>金</v>
          </cell>
          <cell r="E166" t="str">
            <v>こどもの日</v>
          </cell>
          <cell r="F166" t="str">
            <v>休日</v>
          </cell>
        </row>
        <row r="167">
          <cell r="C167">
            <v>38915</v>
          </cell>
          <cell r="D167" t="str">
            <v>月</v>
          </cell>
          <cell r="E167" t="str">
            <v>海の日</v>
          </cell>
          <cell r="F167" t="str">
            <v>休日</v>
          </cell>
        </row>
        <row r="168">
          <cell r="C168">
            <v>38978</v>
          </cell>
          <cell r="D168" t="str">
            <v>月</v>
          </cell>
          <cell r="E168" t="str">
            <v>敬老の日</v>
          </cell>
          <cell r="F168" t="str">
            <v>休日</v>
          </cell>
        </row>
        <row r="169">
          <cell r="C169">
            <v>38983</v>
          </cell>
          <cell r="D169" t="str">
            <v>土</v>
          </cell>
          <cell r="E169" t="str">
            <v>秋分の日</v>
          </cell>
          <cell r="F169" t="str">
            <v>休日</v>
          </cell>
        </row>
        <row r="170">
          <cell r="C170">
            <v>38999</v>
          </cell>
          <cell r="D170" t="str">
            <v>月</v>
          </cell>
          <cell r="E170" t="str">
            <v>体育の日</v>
          </cell>
          <cell r="F170" t="str">
            <v>休日</v>
          </cell>
        </row>
        <row r="171">
          <cell r="C171">
            <v>39024</v>
          </cell>
          <cell r="D171" t="str">
            <v>金</v>
          </cell>
          <cell r="E171" t="str">
            <v>文化の日</v>
          </cell>
          <cell r="F171" t="str">
            <v>休日</v>
          </cell>
        </row>
        <row r="172">
          <cell r="C172">
            <v>39044</v>
          </cell>
          <cell r="D172" t="str">
            <v>木</v>
          </cell>
          <cell r="E172" t="str">
            <v>勤労感謝の日</v>
          </cell>
          <cell r="F172" t="str">
            <v>休日</v>
          </cell>
        </row>
        <row r="173">
          <cell r="C173">
            <v>39074</v>
          </cell>
          <cell r="D173" t="str">
            <v>土</v>
          </cell>
          <cell r="E173" t="str">
            <v>天皇誕生日</v>
          </cell>
          <cell r="F173" t="str">
            <v>休日</v>
          </cell>
        </row>
        <row r="174">
          <cell r="C174" t="str">
            <v/>
          </cell>
          <cell r="D174" t="str">
            <v/>
          </cell>
        </row>
        <row r="175">
          <cell r="C175" t="str">
            <v/>
          </cell>
          <cell r="D175" t="str">
            <v/>
          </cell>
        </row>
        <row r="176">
          <cell r="C176" t="str">
            <v/>
          </cell>
          <cell r="D176" t="str">
            <v/>
          </cell>
        </row>
        <row r="177">
          <cell r="C177" t="str">
            <v/>
          </cell>
          <cell r="D177" t="str">
            <v/>
          </cell>
        </row>
        <row r="178">
          <cell r="C178" t="str">
            <v/>
          </cell>
          <cell r="D178" t="str">
            <v/>
          </cell>
        </row>
        <row r="179">
          <cell r="C179" t="str">
            <v/>
          </cell>
          <cell r="D179" t="str">
            <v/>
          </cell>
        </row>
        <row r="180">
          <cell r="C180" t="str">
            <v/>
          </cell>
          <cell r="D180" t="str">
            <v/>
          </cell>
        </row>
        <row r="181">
          <cell r="C181" t="str">
            <v/>
          </cell>
          <cell r="D181" t="str">
            <v/>
          </cell>
        </row>
        <row r="182">
          <cell r="C182" t="str">
            <v/>
          </cell>
          <cell r="D182" t="str">
            <v/>
          </cell>
        </row>
        <row r="183">
          <cell r="C183" t="str">
            <v/>
          </cell>
          <cell r="D183" t="str">
            <v/>
          </cell>
        </row>
        <row r="184">
          <cell r="C184" t="str">
            <v/>
          </cell>
          <cell r="D184" t="str">
            <v/>
          </cell>
        </row>
        <row r="185">
          <cell r="C185" t="str">
            <v/>
          </cell>
          <cell r="D185" t="str">
            <v/>
          </cell>
        </row>
        <row r="186">
          <cell r="C186" t="str">
            <v/>
          </cell>
          <cell r="D186" t="str">
            <v/>
          </cell>
        </row>
        <row r="187">
          <cell r="C187" t="str">
            <v/>
          </cell>
          <cell r="D187" t="str">
            <v/>
          </cell>
        </row>
        <row r="188">
          <cell r="C188" t="str">
            <v/>
          </cell>
          <cell r="D188" t="str">
            <v/>
          </cell>
        </row>
        <row r="189">
          <cell r="C189" t="str">
            <v/>
          </cell>
          <cell r="D189" t="str">
            <v/>
          </cell>
        </row>
        <row r="190">
          <cell r="C190" t="str">
            <v/>
          </cell>
          <cell r="D190" t="str">
            <v/>
          </cell>
        </row>
        <row r="191">
          <cell r="C191" t="str">
            <v/>
          </cell>
          <cell r="D191" t="str">
            <v/>
          </cell>
        </row>
        <row r="192">
          <cell r="C192" t="str">
            <v/>
          </cell>
          <cell r="D192" t="str">
            <v/>
          </cell>
        </row>
        <row r="193">
          <cell r="C193" t="str">
            <v/>
          </cell>
          <cell r="D193" t="str">
            <v/>
          </cell>
        </row>
        <row r="194">
          <cell r="C194" t="str">
            <v/>
          </cell>
          <cell r="D194" t="str">
            <v/>
          </cell>
        </row>
        <row r="195">
          <cell r="C195" t="str">
            <v/>
          </cell>
          <cell r="D195" t="str">
            <v/>
          </cell>
        </row>
        <row r="196">
          <cell r="C196" t="str">
            <v/>
          </cell>
          <cell r="D196" t="str">
            <v/>
          </cell>
        </row>
        <row r="197">
          <cell r="C197" t="str">
            <v/>
          </cell>
          <cell r="D197" t="str">
            <v/>
          </cell>
        </row>
        <row r="198">
          <cell r="C198" t="str">
            <v/>
          </cell>
          <cell r="D198" t="str">
            <v/>
          </cell>
        </row>
        <row r="199">
          <cell r="C199" t="str">
            <v/>
          </cell>
          <cell r="D199" t="str">
            <v/>
          </cell>
        </row>
        <row r="200">
          <cell r="C200" t="str">
            <v/>
          </cell>
          <cell r="D200" t="str">
            <v/>
          </cell>
        </row>
        <row r="201">
          <cell r="C201" t="str">
            <v/>
          </cell>
          <cell r="D201" t="str">
            <v/>
          </cell>
        </row>
        <row r="202">
          <cell r="C202" t="str">
            <v/>
          </cell>
          <cell r="D202" t="str">
            <v/>
          </cell>
        </row>
        <row r="203">
          <cell r="C203" t="str">
            <v/>
          </cell>
          <cell r="D203" t="str">
            <v/>
          </cell>
        </row>
        <row r="204">
          <cell r="C204" t="str">
            <v/>
          </cell>
          <cell r="D204" t="str">
            <v/>
          </cell>
        </row>
        <row r="205">
          <cell r="C205" t="str">
            <v/>
          </cell>
          <cell r="D205" t="str">
            <v/>
          </cell>
        </row>
        <row r="206">
          <cell r="C206" t="str">
            <v/>
          </cell>
          <cell r="D206" t="str">
            <v/>
          </cell>
        </row>
        <row r="207">
          <cell r="C207" t="str">
            <v/>
          </cell>
          <cell r="D207" t="str">
            <v/>
          </cell>
        </row>
        <row r="208">
          <cell r="C208" t="str">
            <v/>
          </cell>
          <cell r="D208" t="str">
            <v/>
          </cell>
        </row>
        <row r="209">
          <cell r="C209" t="str">
            <v/>
          </cell>
          <cell r="D209" t="str">
            <v/>
          </cell>
        </row>
        <row r="210">
          <cell r="C210" t="str">
            <v/>
          </cell>
          <cell r="D210" t="str">
            <v/>
          </cell>
        </row>
        <row r="211">
          <cell r="C211" t="str">
            <v/>
          </cell>
          <cell r="D211" t="str">
            <v/>
          </cell>
        </row>
        <row r="212">
          <cell r="C212" t="str">
            <v/>
          </cell>
          <cell r="D212" t="str">
            <v/>
          </cell>
        </row>
        <row r="213">
          <cell r="C213" t="str">
            <v/>
          </cell>
          <cell r="D213" t="str">
            <v/>
          </cell>
        </row>
        <row r="214">
          <cell r="C214" t="str">
            <v/>
          </cell>
          <cell r="D214" t="str">
            <v/>
          </cell>
        </row>
        <row r="215">
          <cell r="C215" t="str">
            <v/>
          </cell>
          <cell r="D215" t="str">
            <v/>
          </cell>
        </row>
        <row r="216">
          <cell r="C216" t="str">
            <v/>
          </cell>
          <cell r="D216" t="str">
            <v/>
          </cell>
        </row>
        <row r="217">
          <cell r="C217" t="str">
            <v/>
          </cell>
          <cell r="D217" t="str">
            <v/>
          </cell>
        </row>
        <row r="218">
          <cell r="C218" t="str">
            <v/>
          </cell>
          <cell r="D218" t="str">
            <v/>
          </cell>
        </row>
        <row r="219">
          <cell r="C219" t="str">
            <v/>
          </cell>
          <cell r="D219" t="str">
            <v/>
          </cell>
        </row>
        <row r="220">
          <cell r="C220" t="str">
            <v/>
          </cell>
          <cell r="D220" t="str">
            <v/>
          </cell>
        </row>
        <row r="221">
          <cell r="C221" t="str">
            <v/>
          </cell>
          <cell r="D221" t="str">
            <v/>
          </cell>
        </row>
        <row r="222">
          <cell r="C222" t="str">
            <v/>
          </cell>
          <cell r="D222" t="str">
            <v/>
          </cell>
        </row>
        <row r="223">
          <cell r="C223" t="str">
            <v/>
          </cell>
          <cell r="D223" t="str">
            <v/>
          </cell>
        </row>
        <row r="224">
          <cell r="C224" t="str">
            <v/>
          </cell>
          <cell r="D224" t="str">
            <v/>
          </cell>
        </row>
        <row r="225">
          <cell r="C225" t="str">
            <v/>
          </cell>
          <cell r="D225" t="str">
            <v/>
          </cell>
        </row>
        <row r="226">
          <cell r="C226" t="str">
            <v/>
          </cell>
          <cell r="D226" t="str">
            <v/>
          </cell>
        </row>
        <row r="227">
          <cell r="C227" t="str">
            <v/>
          </cell>
          <cell r="D227" t="str">
            <v/>
          </cell>
        </row>
        <row r="228">
          <cell r="C228" t="str">
            <v/>
          </cell>
          <cell r="D228" t="str">
            <v/>
          </cell>
        </row>
        <row r="229">
          <cell r="C229" t="str">
            <v/>
          </cell>
          <cell r="D229" t="str">
            <v/>
          </cell>
        </row>
        <row r="230">
          <cell r="C230" t="str">
            <v/>
          </cell>
          <cell r="D230" t="str">
            <v/>
          </cell>
        </row>
        <row r="231">
          <cell r="C231" t="str">
            <v/>
          </cell>
          <cell r="D231" t="str">
            <v/>
          </cell>
        </row>
        <row r="232">
          <cell r="C232" t="str">
            <v/>
          </cell>
          <cell r="D232" t="str">
            <v/>
          </cell>
        </row>
        <row r="233">
          <cell r="C233" t="str">
            <v/>
          </cell>
          <cell r="D233" t="str">
            <v/>
          </cell>
        </row>
        <row r="234">
          <cell r="C234" t="str">
            <v/>
          </cell>
          <cell r="D234" t="str">
            <v/>
          </cell>
        </row>
        <row r="235">
          <cell r="C235" t="str">
            <v/>
          </cell>
          <cell r="D235" t="str">
            <v/>
          </cell>
        </row>
        <row r="236">
          <cell r="C236" t="str">
            <v/>
          </cell>
          <cell r="D236" t="str">
            <v/>
          </cell>
        </row>
        <row r="237">
          <cell r="C237" t="str">
            <v/>
          </cell>
          <cell r="D237" t="str">
            <v/>
          </cell>
        </row>
        <row r="238">
          <cell r="C238" t="str">
            <v/>
          </cell>
          <cell r="D238" t="str">
            <v/>
          </cell>
        </row>
        <row r="239">
          <cell r="C239" t="str">
            <v/>
          </cell>
          <cell r="D239" t="str">
            <v/>
          </cell>
        </row>
        <row r="240">
          <cell r="C240" t="str">
            <v/>
          </cell>
          <cell r="D240" t="str">
            <v/>
          </cell>
        </row>
        <row r="241">
          <cell r="C241" t="str">
            <v/>
          </cell>
          <cell r="D241" t="str">
            <v/>
          </cell>
        </row>
        <row r="242">
          <cell r="C242" t="str">
            <v/>
          </cell>
          <cell r="D242" t="str">
            <v/>
          </cell>
        </row>
        <row r="243">
          <cell r="C243" t="str">
            <v/>
          </cell>
          <cell r="D243" t="str">
            <v/>
          </cell>
        </row>
        <row r="244">
          <cell r="C244" t="str">
            <v/>
          </cell>
          <cell r="D244" t="str">
            <v/>
          </cell>
        </row>
        <row r="245">
          <cell r="C245" t="str">
            <v/>
          </cell>
          <cell r="D245" t="str">
            <v/>
          </cell>
        </row>
        <row r="246">
          <cell r="C246" t="str">
            <v/>
          </cell>
          <cell r="D246" t="str">
            <v/>
          </cell>
        </row>
        <row r="247">
          <cell r="C247" t="str">
            <v/>
          </cell>
          <cell r="D247" t="str">
            <v/>
          </cell>
        </row>
        <row r="248">
          <cell r="C248" t="str">
            <v/>
          </cell>
          <cell r="D248" t="str">
            <v/>
          </cell>
        </row>
        <row r="249">
          <cell r="C249" t="str">
            <v/>
          </cell>
          <cell r="D249" t="str">
            <v/>
          </cell>
        </row>
        <row r="250">
          <cell r="C250" t="str">
            <v/>
          </cell>
          <cell r="D250" t="str">
            <v/>
          </cell>
        </row>
        <row r="251">
          <cell r="C251" t="str">
            <v/>
          </cell>
          <cell r="D251" t="str">
            <v/>
          </cell>
        </row>
        <row r="252">
          <cell r="C252" t="str">
            <v/>
          </cell>
          <cell r="D252" t="str">
            <v/>
          </cell>
        </row>
        <row r="253">
          <cell r="C253" t="str">
            <v/>
          </cell>
          <cell r="D253" t="str">
            <v/>
          </cell>
        </row>
        <row r="254">
          <cell r="C254" t="str">
            <v/>
          </cell>
          <cell r="D254" t="str">
            <v/>
          </cell>
        </row>
        <row r="255">
          <cell r="C255" t="str">
            <v/>
          </cell>
          <cell r="D255" t="str">
            <v/>
          </cell>
        </row>
        <row r="256">
          <cell r="C256" t="str">
            <v/>
          </cell>
          <cell r="D256" t="str">
            <v/>
          </cell>
        </row>
        <row r="257">
          <cell r="C257" t="str">
            <v/>
          </cell>
          <cell r="D257" t="str">
            <v/>
          </cell>
        </row>
        <row r="258">
          <cell r="C258" t="str">
            <v/>
          </cell>
          <cell r="D258" t="str">
            <v/>
          </cell>
        </row>
        <row r="259">
          <cell r="C259" t="str">
            <v/>
          </cell>
          <cell r="D259" t="str">
            <v/>
          </cell>
        </row>
        <row r="260">
          <cell r="C260" t="str">
            <v/>
          </cell>
          <cell r="D260" t="str">
            <v/>
          </cell>
        </row>
        <row r="261">
          <cell r="C261" t="str">
            <v/>
          </cell>
          <cell r="D261" t="str">
            <v/>
          </cell>
        </row>
        <row r="262">
          <cell r="C262" t="str">
            <v/>
          </cell>
          <cell r="D262" t="str">
            <v/>
          </cell>
        </row>
        <row r="263">
          <cell r="C263" t="str">
            <v/>
          </cell>
          <cell r="D263" t="str">
            <v/>
          </cell>
        </row>
        <row r="264">
          <cell r="C264" t="str">
            <v/>
          </cell>
          <cell r="D264" t="str">
            <v/>
          </cell>
        </row>
        <row r="265">
          <cell r="C265" t="str">
            <v/>
          </cell>
          <cell r="D265" t="str">
            <v/>
          </cell>
        </row>
        <row r="266">
          <cell r="C266" t="str">
            <v/>
          </cell>
          <cell r="D266" t="str">
            <v/>
          </cell>
        </row>
        <row r="267">
          <cell r="C267" t="str">
            <v/>
          </cell>
          <cell r="D267" t="str">
            <v/>
          </cell>
        </row>
        <row r="268">
          <cell r="C268" t="str">
            <v/>
          </cell>
          <cell r="D268" t="str">
            <v/>
          </cell>
        </row>
        <row r="269">
          <cell r="C269" t="str">
            <v/>
          </cell>
          <cell r="D269" t="str">
            <v/>
          </cell>
        </row>
        <row r="270">
          <cell r="C270" t="str">
            <v/>
          </cell>
          <cell r="D270" t="str">
            <v/>
          </cell>
        </row>
        <row r="271">
          <cell r="C271" t="str">
            <v/>
          </cell>
          <cell r="D271" t="str">
            <v/>
          </cell>
        </row>
        <row r="272">
          <cell r="C272" t="str">
            <v/>
          </cell>
          <cell r="D272" t="str">
            <v/>
          </cell>
        </row>
        <row r="273">
          <cell r="C273" t="str">
            <v/>
          </cell>
          <cell r="D273" t="str">
            <v/>
          </cell>
        </row>
        <row r="274">
          <cell r="C274" t="str">
            <v/>
          </cell>
          <cell r="D274" t="str">
            <v/>
          </cell>
        </row>
        <row r="275">
          <cell r="C275" t="str">
            <v/>
          </cell>
          <cell r="D275" t="str">
            <v/>
          </cell>
        </row>
        <row r="276">
          <cell r="C276" t="str">
            <v/>
          </cell>
          <cell r="D276" t="str">
            <v/>
          </cell>
        </row>
        <row r="277">
          <cell r="C277" t="str">
            <v/>
          </cell>
          <cell r="D277" t="str">
            <v/>
          </cell>
        </row>
        <row r="278">
          <cell r="C278" t="str">
            <v/>
          </cell>
          <cell r="D278" t="str">
            <v/>
          </cell>
        </row>
        <row r="279">
          <cell r="C279" t="str">
            <v/>
          </cell>
          <cell r="D279" t="str">
            <v/>
          </cell>
        </row>
        <row r="280">
          <cell r="C280" t="str">
            <v/>
          </cell>
          <cell r="D280" t="str">
            <v/>
          </cell>
        </row>
        <row r="281">
          <cell r="C281" t="str">
            <v/>
          </cell>
          <cell r="D281" t="str">
            <v/>
          </cell>
        </row>
        <row r="282">
          <cell r="C282" t="str">
            <v/>
          </cell>
          <cell r="D282" t="str">
            <v/>
          </cell>
        </row>
        <row r="283">
          <cell r="C283" t="str">
            <v/>
          </cell>
          <cell r="D283" t="str">
            <v/>
          </cell>
        </row>
        <row r="284">
          <cell r="C284" t="str">
            <v/>
          </cell>
          <cell r="D284" t="str">
            <v/>
          </cell>
        </row>
        <row r="285">
          <cell r="C285" t="str">
            <v/>
          </cell>
          <cell r="D285" t="str">
            <v/>
          </cell>
        </row>
        <row r="286">
          <cell r="C286" t="str">
            <v/>
          </cell>
          <cell r="D286" t="str">
            <v/>
          </cell>
        </row>
        <row r="287">
          <cell r="C287" t="str">
            <v/>
          </cell>
          <cell r="D287" t="str">
            <v/>
          </cell>
        </row>
        <row r="288">
          <cell r="C288" t="str">
            <v/>
          </cell>
          <cell r="D288" t="str">
            <v/>
          </cell>
        </row>
        <row r="289">
          <cell r="C289" t="str">
            <v/>
          </cell>
          <cell r="D289" t="str">
            <v/>
          </cell>
        </row>
        <row r="290">
          <cell r="C290" t="str">
            <v/>
          </cell>
          <cell r="D290" t="str">
            <v/>
          </cell>
        </row>
        <row r="291">
          <cell r="C291" t="str">
            <v/>
          </cell>
          <cell r="D291" t="str">
            <v/>
          </cell>
        </row>
        <row r="292">
          <cell r="C292" t="str">
            <v/>
          </cell>
          <cell r="D292" t="str">
            <v/>
          </cell>
        </row>
        <row r="293">
          <cell r="C293" t="str">
            <v/>
          </cell>
          <cell r="D293" t="str">
            <v/>
          </cell>
        </row>
        <row r="294">
          <cell r="C294" t="str">
            <v/>
          </cell>
          <cell r="D294" t="str">
            <v/>
          </cell>
        </row>
        <row r="295">
          <cell r="C295" t="str">
            <v/>
          </cell>
          <cell r="D295" t="str">
            <v/>
          </cell>
        </row>
        <row r="296">
          <cell r="C296" t="str">
            <v/>
          </cell>
          <cell r="D296" t="str">
            <v/>
          </cell>
        </row>
        <row r="297">
          <cell r="C297" t="str">
            <v/>
          </cell>
          <cell r="D297" t="str">
            <v/>
          </cell>
        </row>
        <row r="298">
          <cell r="C298" t="str">
            <v/>
          </cell>
          <cell r="D298" t="str">
            <v/>
          </cell>
        </row>
        <row r="299">
          <cell r="C299" t="str">
            <v/>
          </cell>
          <cell r="D299" t="str">
            <v/>
          </cell>
        </row>
        <row r="300">
          <cell r="C300" t="str">
            <v/>
          </cell>
          <cell r="D300" t="str">
            <v/>
          </cell>
        </row>
        <row r="301">
          <cell r="C301" t="str">
            <v/>
          </cell>
          <cell r="D301" t="str">
            <v/>
          </cell>
        </row>
        <row r="302">
          <cell r="C302" t="str">
            <v/>
          </cell>
          <cell r="D302" t="str">
            <v/>
          </cell>
        </row>
        <row r="303">
          <cell r="C303" t="str">
            <v/>
          </cell>
          <cell r="D303" t="str">
            <v/>
          </cell>
        </row>
        <row r="304">
          <cell r="C304" t="str">
            <v/>
          </cell>
          <cell r="D304" t="str">
            <v/>
          </cell>
        </row>
        <row r="305">
          <cell r="C305" t="str">
            <v/>
          </cell>
          <cell r="D305" t="str">
            <v/>
          </cell>
        </row>
        <row r="306">
          <cell r="C306" t="str">
            <v/>
          </cell>
          <cell r="D306" t="str">
            <v/>
          </cell>
        </row>
        <row r="308">
          <cell r="C308">
            <v>2004</v>
          </cell>
          <cell r="E308" t="str">
            <v>上へ</v>
          </cell>
          <cell r="F308" t="str">
            <v>一番上へ</v>
          </cell>
        </row>
        <row r="310">
          <cell r="C310" t="str">
            <v>日付</v>
          </cell>
          <cell r="D310" t="str">
            <v>曜日</v>
          </cell>
          <cell r="E310" t="str">
            <v>名称</v>
          </cell>
          <cell r="F310" t="str">
            <v>休日区分</v>
          </cell>
        </row>
        <row r="311">
          <cell r="C311">
            <v>37987</v>
          </cell>
          <cell r="D311" t="str">
            <v>木</v>
          </cell>
          <cell r="E311" t="str">
            <v>元日</v>
          </cell>
          <cell r="F311" t="str">
            <v>休日</v>
          </cell>
        </row>
        <row r="312">
          <cell r="C312">
            <v>37998</v>
          </cell>
          <cell r="D312" t="str">
            <v>月</v>
          </cell>
          <cell r="E312" t="str">
            <v>成人の日</v>
          </cell>
          <cell r="F312" t="str">
            <v>休日</v>
          </cell>
        </row>
        <row r="313">
          <cell r="C313">
            <v>38028</v>
          </cell>
          <cell r="D313" t="str">
            <v>水</v>
          </cell>
          <cell r="E313" t="str">
            <v>建国記念日</v>
          </cell>
          <cell r="F313" t="str">
            <v>休日</v>
          </cell>
        </row>
        <row r="314">
          <cell r="C314">
            <v>38066</v>
          </cell>
          <cell r="D314" t="str">
            <v>土</v>
          </cell>
          <cell r="E314" t="str">
            <v>春分の日</v>
          </cell>
          <cell r="F314" t="str">
            <v>休日</v>
          </cell>
        </row>
        <row r="315">
          <cell r="C315" t="str">
            <v/>
          </cell>
          <cell r="D315" t="str">
            <v/>
          </cell>
          <cell r="F315" t="str">
            <v>休日</v>
          </cell>
        </row>
        <row r="316">
          <cell r="C316">
            <v>38106</v>
          </cell>
          <cell r="D316" t="str">
            <v>木</v>
          </cell>
          <cell r="E316" t="str">
            <v>みどりの日</v>
          </cell>
          <cell r="F316" t="str">
            <v>休日</v>
          </cell>
        </row>
        <row r="317">
          <cell r="C317">
            <v>38110</v>
          </cell>
          <cell r="D317" t="str">
            <v>月</v>
          </cell>
          <cell r="E317" t="str">
            <v>憲法記念日</v>
          </cell>
          <cell r="F317" t="str">
            <v>休日</v>
          </cell>
        </row>
        <row r="318">
          <cell r="C318">
            <v>38111</v>
          </cell>
          <cell r="D318" t="str">
            <v>火</v>
          </cell>
          <cell r="E318" t="str">
            <v>国民の休日</v>
          </cell>
          <cell r="F318" t="str">
            <v>休日</v>
          </cell>
        </row>
        <row r="319">
          <cell r="C319">
            <v>38112</v>
          </cell>
          <cell r="D319" t="str">
            <v>水</v>
          </cell>
          <cell r="E319" t="str">
            <v>こどもの日</v>
          </cell>
          <cell r="F319" t="str">
            <v>休日</v>
          </cell>
        </row>
        <row r="320">
          <cell r="C320">
            <v>38187</v>
          </cell>
          <cell r="D320" t="str">
            <v>月</v>
          </cell>
          <cell r="E320" t="str">
            <v>海の日</v>
          </cell>
          <cell r="F320" t="str">
            <v>休日</v>
          </cell>
        </row>
        <row r="321">
          <cell r="C321">
            <v>38250</v>
          </cell>
          <cell r="D321" t="str">
            <v>月</v>
          </cell>
          <cell r="E321" t="str">
            <v>敬老の日</v>
          </cell>
          <cell r="F321" t="str">
            <v>休日</v>
          </cell>
        </row>
        <row r="322">
          <cell r="C322">
            <v>38253</v>
          </cell>
          <cell r="D322" t="str">
            <v>木</v>
          </cell>
          <cell r="E322" t="str">
            <v>秋分の日</v>
          </cell>
          <cell r="F322" t="str">
            <v>休日</v>
          </cell>
        </row>
        <row r="323">
          <cell r="C323">
            <v>38271</v>
          </cell>
          <cell r="D323" t="str">
            <v>月</v>
          </cell>
          <cell r="E323" t="str">
            <v>体育の日</v>
          </cell>
          <cell r="F323" t="str">
            <v>休日</v>
          </cell>
        </row>
        <row r="324">
          <cell r="C324">
            <v>38294</v>
          </cell>
          <cell r="D324" t="str">
            <v>水</v>
          </cell>
          <cell r="E324" t="str">
            <v>文化の日</v>
          </cell>
          <cell r="F324" t="str">
            <v>休日</v>
          </cell>
        </row>
        <row r="325">
          <cell r="C325">
            <v>38314</v>
          </cell>
          <cell r="D325" t="str">
            <v>火</v>
          </cell>
          <cell r="E325" t="str">
            <v>勤労感謝の日</v>
          </cell>
          <cell r="F325" t="str">
            <v>休日</v>
          </cell>
        </row>
        <row r="326">
          <cell r="C326">
            <v>38344</v>
          </cell>
          <cell r="D326" t="str">
            <v>木</v>
          </cell>
          <cell r="E326" t="str">
            <v>天皇誕生日</v>
          </cell>
          <cell r="F326" t="str">
            <v>休日</v>
          </cell>
        </row>
        <row r="327">
          <cell r="C327" t="str">
            <v/>
          </cell>
          <cell r="D327" t="str">
            <v/>
          </cell>
        </row>
        <row r="328">
          <cell r="C328" t="str">
            <v/>
          </cell>
          <cell r="D328" t="str">
            <v/>
          </cell>
        </row>
        <row r="329">
          <cell r="C329" t="str">
            <v/>
          </cell>
          <cell r="D329" t="str">
            <v/>
          </cell>
        </row>
        <row r="330">
          <cell r="C330" t="str">
            <v/>
          </cell>
          <cell r="D330" t="str">
            <v/>
          </cell>
        </row>
        <row r="331">
          <cell r="C331" t="str">
            <v/>
          </cell>
          <cell r="D331" t="str">
            <v/>
          </cell>
        </row>
        <row r="332">
          <cell r="C332" t="str">
            <v/>
          </cell>
          <cell r="D332" t="str">
            <v/>
          </cell>
        </row>
        <row r="333">
          <cell r="C333" t="str">
            <v/>
          </cell>
          <cell r="D333" t="str">
            <v/>
          </cell>
        </row>
        <row r="334">
          <cell r="C334" t="str">
            <v/>
          </cell>
          <cell r="D334" t="str">
            <v/>
          </cell>
        </row>
        <row r="335">
          <cell r="C335" t="str">
            <v/>
          </cell>
          <cell r="D335" t="str">
            <v/>
          </cell>
        </row>
        <row r="336">
          <cell r="C336" t="str">
            <v/>
          </cell>
          <cell r="D336" t="str">
            <v/>
          </cell>
        </row>
        <row r="337">
          <cell r="C337" t="str">
            <v/>
          </cell>
          <cell r="D337" t="str">
            <v/>
          </cell>
        </row>
        <row r="338">
          <cell r="C338" t="str">
            <v/>
          </cell>
          <cell r="D338" t="str">
            <v/>
          </cell>
        </row>
        <row r="339">
          <cell r="C339" t="str">
            <v/>
          </cell>
          <cell r="D339" t="str">
            <v/>
          </cell>
        </row>
        <row r="340">
          <cell r="C340" t="str">
            <v/>
          </cell>
          <cell r="D340" t="str">
            <v/>
          </cell>
        </row>
        <row r="341">
          <cell r="C341" t="str">
            <v/>
          </cell>
          <cell r="D341" t="str">
            <v/>
          </cell>
        </row>
        <row r="342">
          <cell r="C342" t="str">
            <v/>
          </cell>
          <cell r="D342" t="str">
            <v/>
          </cell>
        </row>
        <row r="343">
          <cell r="C343" t="str">
            <v/>
          </cell>
          <cell r="D343" t="str">
            <v/>
          </cell>
        </row>
        <row r="344">
          <cell r="C344" t="str">
            <v/>
          </cell>
          <cell r="D344" t="str">
            <v/>
          </cell>
        </row>
        <row r="345">
          <cell r="C345" t="str">
            <v/>
          </cell>
          <cell r="D345" t="str">
            <v/>
          </cell>
        </row>
        <row r="346">
          <cell r="C346" t="str">
            <v/>
          </cell>
          <cell r="D346" t="str">
            <v/>
          </cell>
        </row>
        <row r="347">
          <cell r="C347" t="str">
            <v/>
          </cell>
          <cell r="D347" t="str">
            <v/>
          </cell>
        </row>
        <row r="348">
          <cell r="C348" t="str">
            <v/>
          </cell>
          <cell r="D348" t="str">
            <v/>
          </cell>
        </row>
        <row r="349">
          <cell r="C349" t="str">
            <v/>
          </cell>
          <cell r="D349" t="str">
            <v/>
          </cell>
        </row>
        <row r="350">
          <cell r="C350" t="str">
            <v/>
          </cell>
          <cell r="D350" t="str">
            <v/>
          </cell>
        </row>
        <row r="351">
          <cell r="C351" t="str">
            <v/>
          </cell>
          <cell r="D351" t="str">
            <v/>
          </cell>
        </row>
        <row r="352">
          <cell r="C352" t="str">
            <v/>
          </cell>
          <cell r="D352" t="str">
            <v/>
          </cell>
        </row>
        <row r="353">
          <cell r="C353" t="str">
            <v/>
          </cell>
          <cell r="D353" t="str">
            <v/>
          </cell>
        </row>
        <row r="354">
          <cell r="C354" t="str">
            <v/>
          </cell>
          <cell r="D354" t="str">
            <v/>
          </cell>
        </row>
        <row r="355">
          <cell r="C355" t="str">
            <v/>
          </cell>
          <cell r="D355" t="str">
            <v/>
          </cell>
        </row>
        <row r="356">
          <cell r="C356" t="str">
            <v/>
          </cell>
          <cell r="D356" t="str">
            <v/>
          </cell>
        </row>
        <row r="357">
          <cell r="C357" t="str">
            <v/>
          </cell>
          <cell r="D357" t="str">
            <v/>
          </cell>
        </row>
        <row r="358">
          <cell r="C358" t="str">
            <v/>
          </cell>
          <cell r="D358" t="str">
            <v/>
          </cell>
        </row>
        <row r="359">
          <cell r="C359" t="str">
            <v/>
          </cell>
          <cell r="D359" t="str">
            <v/>
          </cell>
        </row>
        <row r="360">
          <cell r="C360" t="str">
            <v/>
          </cell>
          <cell r="D360" t="str">
            <v/>
          </cell>
        </row>
        <row r="361">
          <cell r="C361" t="str">
            <v/>
          </cell>
          <cell r="D361" t="str">
            <v/>
          </cell>
        </row>
        <row r="362">
          <cell r="C362" t="str">
            <v/>
          </cell>
          <cell r="D362" t="str">
            <v/>
          </cell>
        </row>
        <row r="363">
          <cell r="C363" t="str">
            <v/>
          </cell>
          <cell r="D363" t="str">
            <v/>
          </cell>
        </row>
        <row r="364">
          <cell r="C364" t="str">
            <v/>
          </cell>
          <cell r="D364" t="str">
            <v/>
          </cell>
        </row>
        <row r="365">
          <cell r="C365" t="str">
            <v/>
          </cell>
          <cell r="D365" t="str">
            <v/>
          </cell>
        </row>
        <row r="366">
          <cell r="C366" t="str">
            <v/>
          </cell>
          <cell r="D366" t="str">
            <v/>
          </cell>
        </row>
        <row r="367">
          <cell r="C367" t="str">
            <v/>
          </cell>
          <cell r="D367" t="str">
            <v/>
          </cell>
        </row>
        <row r="368">
          <cell r="C368" t="str">
            <v/>
          </cell>
          <cell r="D368" t="str">
            <v/>
          </cell>
        </row>
        <row r="369">
          <cell r="C369" t="str">
            <v/>
          </cell>
          <cell r="D369" t="str">
            <v/>
          </cell>
        </row>
        <row r="370">
          <cell r="C370" t="str">
            <v/>
          </cell>
          <cell r="D370" t="str">
            <v/>
          </cell>
        </row>
        <row r="371">
          <cell r="C371" t="str">
            <v/>
          </cell>
          <cell r="D371" t="str">
            <v/>
          </cell>
        </row>
        <row r="372">
          <cell r="C372" t="str">
            <v/>
          </cell>
          <cell r="D372" t="str">
            <v/>
          </cell>
        </row>
        <row r="373">
          <cell r="C373" t="str">
            <v/>
          </cell>
          <cell r="D373" t="str">
            <v/>
          </cell>
        </row>
        <row r="374">
          <cell r="C374" t="str">
            <v/>
          </cell>
          <cell r="D374" t="str">
            <v/>
          </cell>
        </row>
        <row r="375">
          <cell r="C375" t="str">
            <v/>
          </cell>
          <cell r="D375" t="str">
            <v/>
          </cell>
        </row>
        <row r="376">
          <cell r="C376" t="str">
            <v/>
          </cell>
          <cell r="D376" t="str">
            <v/>
          </cell>
        </row>
        <row r="377">
          <cell r="C377" t="str">
            <v/>
          </cell>
          <cell r="D377" t="str">
            <v/>
          </cell>
        </row>
        <row r="378">
          <cell r="C378" t="str">
            <v/>
          </cell>
          <cell r="D378" t="str">
            <v/>
          </cell>
        </row>
        <row r="379">
          <cell r="C379" t="str">
            <v/>
          </cell>
          <cell r="D379" t="str">
            <v/>
          </cell>
        </row>
        <row r="380">
          <cell r="C380" t="str">
            <v/>
          </cell>
          <cell r="D380" t="str">
            <v/>
          </cell>
        </row>
        <row r="381">
          <cell r="C381" t="str">
            <v/>
          </cell>
          <cell r="D381" t="str">
            <v/>
          </cell>
        </row>
        <row r="382">
          <cell r="C382" t="str">
            <v/>
          </cell>
          <cell r="D382" t="str">
            <v/>
          </cell>
        </row>
        <row r="383">
          <cell r="C383" t="str">
            <v/>
          </cell>
          <cell r="D383" t="str">
            <v/>
          </cell>
        </row>
        <row r="384">
          <cell r="C384" t="str">
            <v/>
          </cell>
          <cell r="D384" t="str">
            <v/>
          </cell>
        </row>
        <row r="385">
          <cell r="C385" t="str">
            <v/>
          </cell>
          <cell r="D385" t="str">
            <v/>
          </cell>
        </row>
        <row r="386">
          <cell r="C386" t="str">
            <v/>
          </cell>
          <cell r="D386" t="str">
            <v/>
          </cell>
        </row>
        <row r="387">
          <cell r="C387" t="str">
            <v/>
          </cell>
          <cell r="D387" t="str">
            <v/>
          </cell>
        </row>
        <row r="388">
          <cell r="C388" t="str">
            <v/>
          </cell>
          <cell r="D388" t="str">
            <v/>
          </cell>
        </row>
        <row r="389">
          <cell r="C389" t="str">
            <v/>
          </cell>
          <cell r="D389" t="str">
            <v/>
          </cell>
        </row>
        <row r="390">
          <cell r="C390" t="str">
            <v/>
          </cell>
          <cell r="D390" t="str">
            <v/>
          </cell>
        </row>
        <row r="391">
          <cell r="C391" t="str">
            <v/>
          </cell>
          <cell r="D391" t="str">
            <v/>
          </cell>
        </row>
        <row r="392">
          <cell r="C392" t="str">
            <v/>
          </cell>
          <cell r="D392" t="str">
            <v/>
          </cell>
        </row>
        <row r="393">
          <cell r="C393" t="str">
            <v/>
          </cell>
          <cell r="D393" t="str">
            <v/>
          </cell>
        </row>
        <row r="394">
          <cell r="C394" t="str">
            <v/>
          </cell>
          <cell r="D394" t="str">
            <v/>
          </cell>
        </row>
        <row r="395">
          <cell r="C395" t="str">
            <v/>
          </cell>
          <cell r="D395" t="str">
            <v/>
          </cell>
        </row>
        <row r="396">
          <cell r="C396" t="str">
            <v/>
          </cell>
          <cell r="D396" t="str">
            <v/>
          </cell>
        </row>
        <row r="397">
          <cell r="C397" t="str">
            <v/>
          </cell>
          <cell r="D397" t="str">
            <v/>
          </cell>
        </row>
        <row r="398">
          <cell r="C398" t="str">
            <v/>
          </cell>
          <cell r="D398" t="str">
            <v/>
          </cell>
        </row>
        <row r="399">
          <cell r="C399" t="str">
            <v/>
          </cell>
          <cell r="D399" t="str">
            <v/>
          </cell>
        </row>
        <row r="400">
          <cell r="C400" t="str">
            <v/>
          </cell>
          <cell r="D400" t="str">
            <v/>
          </cell>
        </row>
        <row r="401">
          <cell r="C401" t="str">
            <v/>
          </cell>
          <cell r="D401" t="str">
            <v/>
          </cell>
        </row>
        <row r="402">
          <cell r="C402" t="str">
            <v/>
          </cell>
          <cell r="D402" t="str">
            <v/>
          </cell>
        </row>
        <row r="403">
          <cell r="C403" t="str">
            <v/>
          </cell>
          <cell r="D403" t="str">
            <v/>
          </cell>
        </row>
        <row r="404">
          <cell r="C404" t="str">
            <v/>
          </cell>
          <cell r="D404" t="str">
            <v/>
          </cell>
        </row>
        <row r="405">
          <cell r="C405" t="str">
            <v/>
          </cell>
          <cell r="D405" t="str">
            <v/>
          </cell>
        </row>
        <row r="406">
          <cell r="C406" t="str">
            <v/>
          </cell>
          <cell r="D406" t="str">
            <v/>
          </cell>
        </row>
        <row r="407">
          <cell r="C407" t="str">
            <v/>
          </cell>
          <cell r="D407" t="str">
            <v/>
          </cell>
        </row>
        <row r="408">
          <cell r="C408" t="str">
            <v/>
          </cell>
          <cell r="D408" t="str">
            <v/>
          </cell>
        </row>
        <row r="409">
          <cell r="C409" t="str">
            <v/>
          </cell>
          <cell r="D409" t="str">
            <v/>
          </cell>
        </row>
        <row r="410">
          <cell r="C410" t="str">
            <v/>
          </cell>
          <cell r="D410" t="str">
            <v/>
          </cell>
        </row>
        <row r="411">
          <cell r="C411" t="str">
            <v/>
          </cell>
          <cell r="D411" t="str">
            <v/>
          </cell>
        </row>
        <row r="412">
          <cell r="C412" t="str">
            <v/>
          </cell>
          <cell r="D412" t="str">
            <v/>
          </cell>
        </row>
        <row r="413">
          <cell r="C413" t="str">
            <v/>
          </cell>
          <cell r="D413" t="str">
            <v/>
          </cell>
        </row>
        <row r="414">
          <cell r="C414" t="str">
            <v/>
          </cell>
          <cell r="D414" t="str">
            <v/>
          </cell>
        </row>
        <row r="415">
          <cell r="C415" t="str">
            <v/>
          </cell>
          <cell r="D415" t="str">
            <v/>
          </cell>
        </row>
        <row r="416">
          <cell r="C416" t="str">
            <v/>
          </cell>
          <cell r="D416" t="str">
            <v/>
          </cell>
        </row>
        <row r="417">
          <cell r="C417" t="str">
            <v/>
          </cell>
          <cell r="D417" t="str">
            <v/>
          </cell>
        </row>
        <row r="418">
          <cell r="C418" t="str">
            <v/>
          </cell>
          <cell r="D418" t="str">
            <v/>
          </cell>
        </row>
        <row r="419">
          <cell r="C419" t="str">
            <v/>
          </cell>
          <cell r="D419" t="str">
            <v/>
          </cell>
        </row>
        <row r="420">
          <cell r="C420" t="str">
            <v/>
          </cell>
          <cell r="D420" t="str">
            <v/>
          </cell>
        </row>
        <row r="421">
          <cell r="C421" t="str">
            <v/>
          </cell>
          <cell r="D421" t="str">
            <v/>
          </cell>
        </row>
        <row r="422">
          <cell r="C422" t="str">
            <v/>
          </cell>
          <cell r="D422" t="str">
            <v/>
          </cell>
        </row>
        <row r="423">
          <cell r="C423" t="str">
            <v/>
          </cell>
          <cell r="D423" t="str">
            <v/>
          </cell>
        </row>
        <row r="424">
          <cell r="C424" t="str">
            <v/>
          </cell>
          <cell r="D424" t="str">
            <v/>
          </cell>
        </row>
        <row r="425">
          <cell r="C425" t="str">
            <v/>
          </cell>
          <cell r="D425" t="str">
            <v/>
          </cell>
        </row>
        <row r="426">
          <cell r="C426" t="str">
            <v/>
          </cell>
          <cell r="D426" t="str">
            <v/>
          </cell>
        </row>
        <row r="427">
          <cell r="C427" t="str">
            <v/>
          </cell>
          <cell r="D427" t="str">
            <v/>
          </cell>
        </row>
        <row r="428">
          <cell r="C428" t="str">
            <v/>
          </cell>
          <cell r="D428" t="str">
            <v/>
          </cell>
        </row>
        <row r="429">
          <cell r="C429" t="str">
            <v/>
          </cell>
          <cell r="D429" t="str">
            <v/>
          </cell>
        </row>
        <row r="430">
          <cell r="C430" t="str">
            <v/>
          </cell>
          <cell r="D430" t="str">
            <v/>
          </cell>
        </row>
        <row r="431">
          <cell r="C431" t="str">
            <v/>
          </cell>
          <cell r="D431" t="str">
            <v/>
          </cell>
        </row>
        <row r="432">
          <cell r="C432" t="str">
            <v/>
          </cell>
          <cell r="D432" t="str">
            <v/>
          </cell>
        </row>
        <row r="433">
          <cell r="C433" t="str">
            <v/>
          </cell>
          <cell r="D433" t="str">
            <v/>
          </cell>
        </row>
        <row r="434">
          <cell r="C434" t="str">
            <v/>
          </cell>
          <cell r="D434" t="str">
            <v/>
          </cell>
        </row>
        <row r="435">
          <cell r="C435" t="str">
            <v/>
          </cell>
          <cell r="D435" t="str">
            <v/>
          </cell>
        </row>
        <row r="436">
          <cell r="C436" t="str">
            <v/>
          </cell>
          <cell r="D436" t="str">
            <v/>
          </cell>
        </row>
        <row r="437">
          <cell r="C437" t="str">
            <v/>
          </cell>
          <cell r="D437" t="str">
            <v/>
          </cell>
        </row>
        <row r="438">
          <cell r="C438" t="str">
            <v/>
          </cell>
          <cell r="D438" t="str">
            <v/>
          </cell>
        </row>
        <row r="439">
          <cell r="C439" t="str">
            <v/>
          </cell>
          <cell r="D439" t="str">
            <v/>
          </cell>
        </row>
        <row r="440">
          <cell r="C440" t="str">
            <v/>
          </cell>
          <cell r="D440" t="str">
            <v/>
          </cell>
        </row>
        <row r="441">
          <cell r="C441" t="str">
            <v/>
          </cell>
          <cell r="D441" t="str">
            <v/>
          </cell>
        </row>
        <row r="442">
          <cell r="C442" t="str">
            <v/>
          </cell>
          <cell r="D442" t="str">
            <v/>
          </cell>
        </row>
        <row r="443">
          <cell r="C443" t="str">
            <v/>
          </cell>
          <cell r="D443" t="str">
            <v/>
          </cell>
        </row>
        <row r="444">
          <cell r="C444" t="str">
            <v/>
          </cell>
          <cell r="D444" t="str">
            <v/>
          </cell>
        </row>
        <row r="445">
          <cell r="C445" t="str">
            <v/>
          </cell>
          <cell r="D445" t="str">
            <v/>
          </cell>
        </row>
        <row r="446">
          <cell r="C446" t="str">
            <v/>
          </cell>
          <cell r="D446" t="str">
            <v/>
          </cell>
        </row>
        <row r="447">
          <cell r="C447" t="str">
            <v/>
          </cell>
          <cell r="D447" t="str">
            <v/>
          </cell>
        </row>
        <row r="448">
          <cell r="C448" t="str">
            <v/>
          </cell>
          <cell r="D448" t="str">
            <v/>
          </cell>
        </row>
        <row r="449">
          <cell r="C449" t="str">
            <v/>
          </cell>
          <cell r="D449" t="str">
            <v/>
          </cell>
        </row>
        <row r="450">
          <cell r="C450" t="str">
            <v/>
          </cell>
          <cell r="D450" t="str">
            <v/>
          </cell>
        </row>
        <row r="451">
          <cell r="C451" t="str">
            <v/>
          </cell>
          <cell r="D451" t="str">
            <v/>
          </cell>
        </row>
        <row r="452">
          <cell r="C452" t="str">
            <v/>
          </cell>
          <cell r="D452" t="str">
            <v/>
          </cell>
        </row>
        <row r="453">
          <cell r="C453" t="str">
            <v/>
          </cell>
          <cell r="D453" t="str">
            <v/>
          </cell>
        </row>
        <row r="454">
          <cell r="C454" t="str">
            <v/>
          </cell>
          <cell r="D454" t="str">
            <v/>
          </cell>
        </row>
        <row r="455">
          <cell r="C455" t="str">
            <v/>
          </cell>
          <cell r="D455" t="str">
            <v/>
          </cell>
        </row>
        <row r="456">
          <cell r="C456" t="str">
            <v/>
          </cell>
          <cell r="D456" t="str">
            <v/>
          </cell>
        </row>
        <row r="457">
          <cell r="C457" t="str">
            <v/>
          </cell>
          <cell r="D457" t="str">
            <v/>
          </cell>
        </row>
        <row r="458">
          <cell r="C458" t="str">
            <v/>
          </cell>
          <cell r="D458" t="str">
            <v/>
          </cell>
        </row>
        <row r="459">
          <cell r="C459" t="str">
            <v/>
          </cell>
          <cell r="D459" t="str">
            <v/>
          </cell>
        </row>
        <row r="460">
          <cell r="C460" t="str">
            <v/>
          </cell>
          <cell r="D460" t="str">
            <v/>
          </cell>
        </row>
      </sheetData>
      <sheetData sheetId="3" refreshError="1"/>
      <sheetData sheetId="4" refreshError="1"/>
      <sheetData sheetId="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絡書"/>
      <sheetName val="契約社員"/>
      <sheetName val="8以上社員"/>
    </sheetNames>
    <sheetDataSet>
      <sheetData sheetId="0" refreshError="1"/>
      <sheetData sheetId="1">
        <row r="3">
          <cell r="A3" t="str">
            <v>浅野久美子</v>
          </cell>
        </row>
        <row r="4">
          <cell r="A4" t="str">
            <v>大山久里子</v>
          </cell>
        </row>
        <row r="5">
          <cell r="A5" t="str">
            <v>小川敏子</v>
          </cell>
        </row>
        <row r="6">
          <cell r="A6" t="str">
            <v>小山典子</v>
          </cell>
        </row>
        <row r="7">
          <cell r="A7" t="str">
            <v>加藤弘美</v>
          </cell>
        </row>
        <row r="8">
          <cell r="A8" t="str">
            <v>上川早苗</v>
          </cell>
        </row>
        <row r="9">
          <cell r="A9" t="str">
            <v>小浪しずえ</v>
          </cell>
        </row>
        <row r="10">
          <cell r="A10" t="str">
            <v>紺野明子</v>
          </cell>
        </row>
        <row r="11">
          <cell r="A11" t="str">
            <v>櫻井香奈</v>
          </cell>
        </row>
        <row r="12">
          <cell r="A12" t="str">
            <v>佐々木直美</v>
          </cell>
        </row>
        <row r="13">
          <cell r="A13" t="str">
            <v>佐藤弘美</v>
          </cell>
        </row>
        <row r="14">
          <cell r="A14" t="str">
            <v>高橋愛</v>
          </cell>
        </row>
        <row r="15">
          <cell r="A15" t="str">
            <v>畑山夏美</v>
          </cell>
        </row>
        <row r="16">
          <cell r="A16" t="str">
            <v>村上くに枝</v>
          </cell>
        </row>
        <row r="17">
          <cell r="A17" t="str">
            <v>横田由紀子</v>
          </cell>
        </row>
      </sheetData>
      <sheetData sheetId="2"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承認済）88期予算"/>
      <sheetName val="#REF"/>
    </sheetNames>
    <sheetDataSet>
      <sheetData sheetId="0" refreshError="1"/>
      <sheetData sheetId="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CH"/>
    </sheetNames>
    <sheetDataSet>
      <sheetData sheetId="0"/>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見積書"/>
      <sheetName val="Sheet1"/>
      <sheetName val="通常表紙"/>
      <sheetName val="原価詳細"/>
      <sheetName val="Sheet3"/>
      <sheetName val="リース"/>
      <sheetName val="償却"/>
      <sheetName val="資材"/>
      <sheetName val="処方"/>
    </sheetNames>
    <sheetDataSet>
      <sheetData sheetId="0"/>
      <sheetData sheetId="1"/>
      <sheetData sheetId="2"/>
      <sheetData sheetId="3" refreshError="1">
        <row r="17">
          <cell r="AD17">
            <v>1</v>
          </cell>
          <cell r="AE17" t="str">
            <v>トイレ洗浄中　３Ｔ</v>
          </cell>
          <cell r="AF17">
            <v>2550000</v>
          </cell>
          <cell r="AG17">
            <v>2550000</v>
          </cell>
          <cell r="AH17">
            <v>3</v>
          </cell>
          <cell r="AI17">
            <v>7650000</v>
          </cell>
          <cell r="AJ17">
            <v>0.38941206413845764</v>
          </cell>
          <cell r="AK17">
            <v>44000</v>
          </cell>
          <cell r="AL17">
            <v>26.78</v>
          </cell>
          <cell r="AM17">
            <v>26</v>
          </cell>
          <cell r="AN17">
            <v>58</v>
          </cell>
          <cell r="AP17">
            <v>110</v>
          </cell>
          <cell r="AQ17">
            <v>400</v>
          </cell>
          <cell r="AS17" t="str">
            <v>-</v>
          </cell>
          <cell r="AU17" t="str">
            <v>-</v>
          </cell>
          <cell r="AW17">
            <v>400</v>
          </cell>
          <cell r="BA17">
            <v>1</v>
          </cell>
          <cell r="BB17" t="str">
            <v>○</v>
          </cell>
          <cell r="BC17" t="str">
            <v>○</v>
          </cell>
        </row>
        <row r="18">
          <cell r="AD18">
            <v>2</v>
          </cell>
          <cell r="AE18" t="str">
            <v>トイレ洗浄中　６Ｔ</v>
          </cell>
          <cell r="AF18">
            <v>710000</v>
          </cell>
          <cell r="AG18">
            <v>710000</v>
          </cell>
          <cell r="AH18">
            <v>6</v>
          </cell>
          <cell r="AI18">
            <v>4260000</v>
          </cell>
          <cell r="AJ18">
            <v>0.21684907101043521</v>
          </cell>
          <cell r="AK18">
            <v>44000</v>
          </cell>
          <cell r="AL18">
            <v>26.78</v>
          </cell>
          <cell r="AM18">
            <v>26</v>
          </cell>
          <cell r="AN18">
            <v>17</v>
          </cell>
          <cell r="AP18">
            <v>110</v>
          </cell>
          <cell r="AQ18">
            <v>400</v>
          </cell>
          <cell r="AS18" t="str">
            <v>-</v>
          </cell>
          <cell r="AU18" t="str">
            <v>-</v>
          </cell>
          <cell r="AW18">
            <v>400</v>
          </cell>
          <cell r="BA18">
            <v>2</v>
          </cell>
          <cell r="BB18" t="str">
            <v>○</v>
          </cell>
          <cell r="BC18" t="str">
            <v>○</v>
          </cell>
        </row>
        <row r="19">
          <cell r="AD19">
            <v>3</v>
          </cell>
          <cell r="AE19" t="str">
            <v>ポット洗浄中　３Ｔ</v>
          </cell>
          <cell r="AF19">
            <v>1910000</v>
          </cell>
          <cell r="AG19">
            <v>1910000</v>
          </cell>
          <cell r="AH19">
            <v>3</v>
          </cell>
          <cell r="AI19">
            <v>5730000</v>
          </cell>
          <cell r="AJ19">
            <v>0.29167727157037415</v>
          </cell>
          <cell r="AK19">
            <v>34000</v>
          </cell>
          <cell r="AL19">
            <v>26.78</v>
          </cell>
          <cell r="AM19">
            <v>26</v>
          </cell>
          <cell r="AN19">
            <v>57</v>
          </cell>
          <cell r="AP19">
            <v>85</v>
          </cell>
          <cell r="AQ19">
            <v>400</v>
          </cell>
          <cell r="AS19" t="str">
            <v>-</v>
          </cell>
          <cell r="AU19" t="str">
            <v>-</v>
          </cell>
          <cell r="AW19">
            <v>400</v>
          </cell>
          <cell r="BA19">
            <v>3</v>
          </cell>
          <cell r="BB19" t="str">
            <v>○</v>
          </cell>
          <cell r="BC19" t="str">
            <v>○</v>
          </cell>
        </row>
        <row r="20">
          <cell r="AD20">
            <v>4</v>
          </cell>
          <cell r="AE20" t="str">
            <v>ｽﾃﾝﾚｽ ｽｲﾄｳ ｾﾝｼﾞﾖｳﾁﾕｳ 8T300円</v>
          </cell>
          <cell r="AF20">
            <v>30000</v>
          </cell>
          <cell r="AG20">
            <v>30000</v>
          </cell>
          <cell r="AH20">
            <v>8</v>
          </cell>
          <cell r="AI20">
            <v>240000</v>
          </cell>
          <cell r="AJ20">
            <v>1.2216849071010435E-2</v>
          </cell>
          <cell r="AK20">
            <v>8000</v>
          </cell>
          <cell r="AL20">
            <v>26.78</v>
          </cell>
          <cell r="AM20">
            <v>26</v>
          </cell>
          <cell r="AN20">
            <v>4</v>
          </cell>
          <cell r="AP20">
            <v>110</v>
          </cell>
          <cell r="AQ20">
            <v>400</v>
          </cell>
          <cell r="AS20" t="str">
            <v>-</v>
          </cell>
          <cell r="AU20" t="str">
            <v>-</v>
          </cell>
          <cell r="AW20">
            <v>73</v>
          </cell>
          <cell r="BA20">
            <v>4</v>
          </cell>
          <cell r="BB20" t="str">
            <v>○</v>
          </cell>
          <cell r="BC20" t="str">
            <v>○</v>
          </cell>
        </row>
        <row r="21">
          <cell r="AD21">
            <v>5</v>
          </cell>
          <cell r="AE21" t="str">
            <v>ｼﾖﾂｷｱﾗｲｷ ｾﾝｼﾞﾖｳﾁﾕｳ     400円</v>
          </cell>
          <cell r="AF21">
            <v>134000</v>
          </cell>
          <cell r="AG21">
            <v>134000</v>
          </cell>
          <cell r="AH21">
            <v>2</v>
          </cell>
          <cell r="AI21">
            <v>268000</v>
          </cell>
          <cell r="AJ21">
            <v>1.3642148129294986E-2</v>
          </cell>
          <cell r="AK21">
            <v>8000</v>
          </cell>
          <cell r="AL21">
            <v>26.78</v>
          </cell>
          <cell r="AM21">
            <v>26</v>
          </cell>
          <cell r="AN21">
            <v>17</v>
          </cell>
          <cell r="AP21">
            <v>110</v>
          </cell>
          <cell r="AQ21">
            <v>400</v>
          </cell>
          <cell r="AU21" t="str">
            <v>-</v>
          </cell>
          <cell r="AW21">
            <v>73</v>
          </cell>
          <cell r="BA21">
            <v>5</v>
          </cell>
          <cell r="BB21" t="str">
            <v>○</v>
          </cell>
          <cell r="BC21" t="str">
            <v>○</v>
          </cell>
        </row>
        <row r="22">
          <cell r="AD22">
            <v>6</v>
          </cell>
          <cell r="AE22" t="str">
            <v>ﾃﾞﾝｷｹﾄﾙｾﾝｼﾞｮｳﾁｭｳ</v>
          </cell>
          <cell r="AF22">
            <v>475000</v>
          </cell>
          <cell r="AG22">
            <v>475000</v>
          </cell>
          <cell r="AH22">
            <v>3</v>
          </cell>
          <cell r="AI22">
            <v>1425000</v>
          </cell>
          <cell r="AJ22">
            <v>7.2537541359124463E-2</v>
          </cell>
          <cell r="AK22">
            <v>8000</v>
          </cell>
          <cell r="AL22">
            <v>26.78</v>
          </cell>
          <cell r="AM22">
            <v>26</v>
          </cell>
          <cell r="AN22">
            <v>60</v>
          </cell>
          <cell r="AP22">
            <v>110</v>
          </cell>
          <cell r="AQ22">
            <v>400</v>
          </cell>
          <cell r="AU22" t="str">
            <v>-</v>
          </cell>
          <cell r="AW22">
            <v>73</v>
          </cell>
          <cell r="BA22">
            <v>6</v>
          </cell>
          <cell r="BB22" t="str">
            <v>○</v>
          </cell>
          <cell r="BC22" t="str">
            <v>○</v>
          </cell>
        </row>
        <row r="23">
          <cell r="AD23">
            <v>7</v>
          </cell>
          <cell r="AE23" t="str">
            <v>*ﾄｲﾚｾﾝｼﾞﾖｳﾁﾕｳ3Tﾂﾘｻｹﾞｾﾂﾄ7560円</v>
          </cell>
          <cell r="AF23">
            <v>1000</v>
          </cell>
          <cell r="AG23">
            <v>1000</v>
          </cell>
          <cell r="AH23">
            <v>72</v>
          </cell>
          <cell r="AI23">
            <v>72000</v>
          </cell>
          <cell r="AJ23">
            <v>3.6650547213031306E-3</v>
          </cell>
          <cell r="AK23">
            <v>44000</v>
          </cell>
          <cell r="AL23">
            <v>26.78</v>
          </cell>
          <cell r="AM23">
            <v>26</v>
          </cell>
          <cell r="AN23">
            <v>1</v>
          </cell>
          <cell r="AP23">
            <v>110</v>
          </cell>
          <cell r="AQ23">
            <v>400</v>
          </cell>
          <cell r="AU23" t="str">
            <v>-</v>
          </cell>
          <cell r="AW23">
            <v>400</v>
          </cell>
          <cell r="BA23">
            <v>7</v>
          </cell>
          <cell r="BB23" t="str">
            <v>○</v>
          </cell>
          <cell r="BC23" t="str">
            <v>○</v>
          </cell>
        </row>
        <row r="24">
          <cell r="AD24">
            <v>8</v>
          </cell>
          <cell r="AE24" t="str">
            <v>#ﾄｲﾚｾﾝｼﾞﾖｳﾁﾕｳ6Pﾂﾘｻｹﾞｾﾂﾄ6240円</v>
          </cell>
          <cell r="AF24">
            <v>4418</v>
          </cell>
          <cell r="AG24">
            <v>4418</v>
          </cell>
          <cell r="AI24">
            <v>0</v>
          </cell>
          <cell r="AJ24">
            <v>0</v>
          </cell>
          <cell r="AK24">
            <v>44000</v>
          </cell>
          <cell r="AL24">
            <v>26.78</v>
          </cell>
          <cell r="AM24">
            <v>26</v>
          </cell>
          <cell r="AN24">
            <v>1</v>
          </cell>
          <cell r="AP24">
            <v>110</v>
          </cell>
          <cell r="AQ24">
            <v>400</v>
          </cell>
          <cell r="AU24" t="str">
            <v>-</v>
          </cell>
          <cell r="AW24">
            <v>400</v>
          </cell>
          <cell r="BA24">
            <v>8</v>
          </cell>
          <cell r="BB24" t="str">
            <v>○</v>
          </cell>
          <cell r="BC24" t="str">
            <v>○</v>
          </cell>
        </row>
        <row r="25">
          <cell r="AD25">
            <v>9</v>
          </cell>
          <cell r="AE25" t="str">
            <v>+ﾎﾟﾂﾄｾﾝｼﾞﾖｳﾁﾕｳﾂﾘｻｹﾞBｾﾂﾄ5040円</v>
          </cell>
          <cell r="AF25">
            <v>19974</v>
          </cell>
          <cell r="AG25">
            <v>19974</v>
          </cell>
          <cell r="AI25">
            <v>0</v>
          </cell>
          <cell r="AJ25">
            <v>0</v>
          </cell>
          <cell r="AK25">
            <v>34000</v>
          </cell>
          <cell r="AL25">
            <v>26.78</v>
          </cell>
          <cell r="AM25">
            <v>26</v>
          </cell>
          <cell r="AN25">
            <v>1</v>
          </cell>
          <cell r="AP25">
            <v>110</v>
          </cell>
          <cell r="AQ25">
            <v>400</v>
          </cell>
          <cell r="AU25" t="str">
            <v>-</v>
          </cell>
          <cell r="AW25">
            <v>310</v>
          </cell>
          <cell r="BA25">
            <v>9</v>
          </cell>
          <cell r="BB25" t="str">
            <v>○</v>
          </cell>
          <cell r="BC25" t="str">
            <v>○</v>
          </cell>
        </row>
        <row r="26">
          <cell r="AD26">
            <v>10</v>
          </cell>
          <cell r="AE26" t="str">
            <v>ｽﾃﾝﾚｽｾﾝｼﾞﾖｳﾁﾕｳ ﾂﾘｻｹﾞｾﾂﾄ3600円</v>
          </cell>
          <cell r="AF26">
            <v>7000</v>
          </cell>
          <cell r="AG26">
            <v>7000</v>
          </cell>
          <cell r="AI26">
            <v>0</v>
          </cell>
          <cell r="AJ26">
            <v>0</v>
          </cell>
          <cell r="AK26">
            <v>8000</v>
          </cell>
          <cell r="AL26">
            <v>26.78</v>
          </cell>
          <cell r="AM26">
            <v>26</v>
          </cell>
          <cell r="AN26">
            <v>1</v>
          </cell>
          <cell r="AP26">
            <v>110</v>
          </cell>
          <cell r="AQ26">
            <v>400</v>
          </cell>
          <cell r="AU26" t="str">
            <v>-</v>
          </cell>
          <cell r="AW26">
            <v>73</v>
          </cell>
          <cell r="BA26">
            <v>10</v>
          </cell>
          <cell r="BB26" t="str">
            <v>○</v>
          </cell>
          <cell r="BC26" t="str">
            <v>○</v>
          </cell>
        </row>
        <row r="27">
          <cell r="AG27">
            <v>0</v>
          </cell>
          <cell r="AI27" t="str">
            <v/>
          </cell>
          <cell r="AJ27" t="str">
            <v/>
          </cell>
          <cell r="AL27">
            <v>0</v>
          </cell>
          <cell r="AN27" t="str">
            <v/>
          </cell>
          <cell r="AU27" t="str">
            <v>-</v>
          </cell>
          <cell r="AW27" t="str">
            <v/>
          </cell>
          <cell r="BA27">
            <v>11</v>
          </cell>
          <cell r="BB27" t="str">
            <v>○</v>
          </cell>
          <cell r="BC27" t="str">
            <v>○</v>
          </cell>
        </row>
        <row r="28">
          <cell r="AG28">
            <v>0</v>
          </cell>
          <cell r="AI28" t="str">
            <v/>
          </cell>
          <cell r="AJ28" t="str">
            <v/>
          </cell>
          <cell r="AL28">
            <v>0</v>
          </cell>
          <cell r="AN28" t="str">
            <v/>
          </cell>
          <cell r="AU28" t="str">
            <v>-</v>
          </cell>
          <cell r="AW28" t="str">
            <v/>
          </cell>
          <cell r="BA28">
            <v>12</v>
          </cell>
          <cell r="BB28" t="str">
            <v>○</v>
          </cell>
          <cell r="BC28" t="str">
            <v>○</v>
          </cell>
        </row>
        <row r="29">
          <cell r="AG29">
            <v>0</v>
          </cell>
          <cell r="AI29" t="str">
            <v/>
          </cell>
          <cell r="AJ29" t="str">
            <v/>
          </cell>
          <cell r="AL29">
            <v>0</v>
          </cell>
          <cell r="AN29" t="str">
            <v/>
          </cell>
          <cell r="AU29" t="str">
            <v>-</v>
          </cell>
          <cell r="AW29" t="str">
            <v/>
          </cell>
          <cell r="BA29">
            <v>13</v>
          </cell>
          <cell r="BB29" t="str">
            <v>○</v>
          </cell>
          <cell r="BC29" t="str">
            <v>○</v>
          </cell>
        </row>
        <row r="30">
          <cell r="AG30">
            <v>0</v>
          </cell>
          <cell r="AI30" t="str">
            <v/>
          </cell>
          <cell r="AJ30" t="str">
            <v/>
          </cell>
          <cell r="AL30">
            <v>0</v>
          </cell>
          <cell r="AN30" t="str">
            <v/>
          </cell>
          <cell r="AU30" t="str">
            <v>-</v>
          </cell>
          <cell r="AW30" t="str">
            <v/>
          </cell>
          <cell r="BA30">
            <v>14</v>
          </cell>
          <cell r="BB30" t="str">
            <v>○</v>
          </cell>
          <cell r="BC30" t="str">
            <v>○</v>
          </cell>
        </row>
        <row r="31">
          <cell r="AG31">
            <v>0</v>
          </cell>
          <cell r="AI31" t="str">
            <v/>
          </cell>
          <cell r="AJ31" t="str">
            <v/>
          </cell>
          <cell r="AL31">
            <v>0</v>
          </cell>
          <cell r="AN31" t="str">
            <v/>
          </cell>
          <cell r="AU31" t="str">
            <v>-</v>
          </cell>
          <cell r="AW31" t="str">
            <v/>
          </cell>
          <cell r="BA31">
            <v>15</v>
          </cell>
          <cell r="BB31" t="str">
            <v>○</v>
          </cell>
          <cell r="BC31" t="str">
            <v>○</v>
          </cell>
        </row>
        <row r="32">
          <cell r="AG32">
            <v>0</v>
          </cell>
          <cell r="AI32" t="str">
            <v/>
          </cell>
          <cell r="AJ32" t="str">
            <v/>
          </cell>
          <cell r="AL32">
            <v>0</v>
          </cell>
          <cell r="AN32" t="str">
            <v/>
          </cell>
          <cell r="AU32" t="str">
            <v>-</v>
          </cell>
          <cell r="AW32" t="str">
            <v/>
          </cell>
          <cell r="BA32">
            <v>16</v>
          </cell>
          <cell r="BB32" t="str">
            <v>○</v>
          </cell>
          <cell r="BC32" t="str">
            <v>○</v>
          </cell>
        </row>
        <row r="33">
          <cell r="AG33">
            <v>0</v>
          </cell>
          <cell r="AI33" t="str">
            <v/>
          </cell>
          <cell r="AJ33" t="str">
            <v/>
          </cell>
          <cell r="AL33">
            <v>0</v>
          </cell>
          <cell r="AN33" t="str">
            <v/>
          </cell>
          <cell r="AU33" t="str">
            <v>-</v>
          </cell>
          <cell r="AW33" t="str">
            <v/>
          </cell>
          <cell r="BA33">
            <v>17</v>
          </cell>
          <cell r="BB33" t="str">
            <v>○</v>
          </cell>
          <cell r="BC33" t="str">
            <v>○</v>
          </cell>
        </row>
        <row r="34">
          <cell r="AG34">
            <v>0</v>
          </cell>
          <cell r="AI34" t="str">
            <v/>
          </cell>
          <cell r="AJ34" t="str">
            <v/>
          </cell>
          <cell r="AL34">
            <v>0</v>
          </cell>
          <cell r="AN34" t="str">
            <v/>
          </cell>
          <cell r="AU34" t="str">
            <v>-</v>
          </cell>
          <cell r="AW34" t="str">
            <v/>
          </cell>
          <cell r="BA34">
            <v>18</v>
          </cell>
          <cell r="BB34" t="str">
            <v>○</v>
          </cell>
          <cell r="BC34" t="str">
            <v>○</v>
          </cell>
        </row>
        <row r="35">
          <cell r="AG35">
            <v>0</v>
          </cell>
          <cell r="AI35" t="str">
            <v/>
          </cell>
          <cell r="AJ35" t="str">
            <v/>
          </cell>
          <cell r="AL35">
            <v>0</v>
          </cell>
          <cell r="AN35" t="str">
            <v/>
          </cell>
          <cell r="AU35" t="str">
            <v>-</v>
          </cell>
          <cell r="AW35" t="str">
            <v/>
          </cell>
          <cell r="BA35">
            <v>19</v>
          </cell>
          <cell r="BB35" t="str">
            <v>○</v>
          </cell>
          <cell r="BC35" t="str">
            <v>○</v>
          </cell>
        </row>
        <row r="36">
          <cell r="AG36">
            <v>0</v>
          </cell>
          <cell r="AI36" t="str">
            <v/>
          </cell>
          <cell r="AJ36" t="str">
            <v/>
          </cell>
          <cell r="AL36">
            <v>0</v>
          </cell>
          <cell r="AN36" t="str">
            <v/>
          </cell>
          <cell r="AU36" t="str">
            <v>-</v>
          </cell>
          <cell r="BA36">
            <v>20</v>
          </cell>
          <cell r="BB36" t="str">
            <v>○</v>
          </cell>
          <cell r="BC36" t="str">
            <v>○</v>
          </cell>
        </row>
        <row r="37">
          <cell r="AG37">
            <v>0</v>
          </cell>
          <cell r="AI37" t="str">
            <v/>
          </cell>
          <cell r="AJ37" t="str">
            <v/>
          </cell>
          <cell r="AL37">
            <v>0</v>
          </cell>
          <cell r="AN37" t="str">
            <v/>
          </cell>
          <cell r="AU37" t="str">
            <v>-</v>
          </cell>
          <cell r="BA37">
            <v>21</v>
          </cell>
          <cell r="BB37" t="str">
            <v>○</v>
          </cell>
          <cell r="BC37" t="str">
            <v>○</v>
          </cell>
        </row>
        <row r="38">
          <cell r="AG38">
            <v>0</v>
          </cell>
          <cell r="AI38" t="str">
            <v/>
          </cell>
          <cell r="AJ38" t="str">
            <v/>
          </cell>
          <cell r="AL38">
            <v>0</v>
          </cell>
          <cell r="AN38" t="str">
            <v/>
          </cell>
          <cell r="AU38" t="str">
            <v>-</v>
          </cell>
          <cell r="BA38">
            <v>22</v>
          </cell>
          <cell r="BB38" t="str">
            <v>○</v>
          </cell>
          <cell r="BC38" t="str">
            <v>○</v>
          </cell>
        </row>
        <row r="39">
          <cell r="AG39">
            <v>0</v>
          </cell>
          <cell r="AI39" t="str">
            <v/>
          </cell>
          <cell r="AJ39" t="str">
            <v/>
          </cell>
          <cell r="AL39">
            <v>0</v>
          </cell>
          <cell r="AN39" t="str">
            <v/>
          </cell>
          <cell r="AU39" t="str">
            <v>-</v>
          </cell>
          <cell r="BA39">
            <v>23</v>
          </cell>
          <cell r="BB39" t="str">
            <v>○</v>
          </cell>
          <cell r="BC39" t="str">
            <v>○</v>
          </cell>
        </row>
        <row r="40">
          <cell r="AG40">
            <v>0</v>
          </cell>
          <cell r="AI40" t="str">
            <v/>
          </cell>
          <cell r="AJ40" t="str">
            <v/>
          </cell>
          <cell r="AL40">
            <v>0</v>
          </cell>
          <cell r="AN40" t="str">
            <v/>
          </cell>
          <cell r="AU40" t="str">
            <v>-</v>
          </cell>
          <cell r="BA40">
            <v>24</v>
          </cell>
          <cell r="BB40" t="str">
            <v>○</v>
          </cell>
          <cell r="BC40" t="str">
            <v>○</v>
          </cell>
        </row>
        <row r="41">
          <cell r="AG41">
            <v>0</v>
          </cell>
          <cell r="AI41" t="str">
            <v/>
          </cell>
          <cell r="AJ41" t="str">
            <v/>
          </cell>
          <cell r="AL41">
            <v>0</v>
          </cell>
          <cell r="AN41" t="str">
            <v/>
          </cell>
          <cell r="AU41" t="str">
            <v>-</v>
          </cell>
          <cell r="BA41">
            <v>25</v>
          </cell>
          <cell r="BB41" t="str">
            <v>○</v>
          </cell>
          <cell r="BC41" t="str">
            <v>○</v>
          </cell>
        </row>
        <row r="42">
          <cell r="AG42">
            <v>0</v>
          </cell>
          <cell r="AI42" t="str">
            <v/>
          </cell>
          <cell r="AJ42" t="str">
            <v/>
          </cell>
          <cell r="AL42">
            <v>0</v>
          </cell>
          <cell r="AN42" t="str">
            <v/>
          </cell>
          <cell r="AU42" t="str">
            <v>-</v>
          </cell>
          <cell r="BA42">
            <v>26</v>
          </cell>
          <cell r="BB42" t="str">
            <v>○</v>
          </cell>
          <cell r="BC42" t="str">
            <v>○</v>
          </cell>
        </row>
        <row r="43">
          <cell r="AG43">
            <v>0</v>
          </cell>
          <cell r="AI43" t="str">
            <v/>
          </cell>
          <cell r="AJ43" t="str">
            <v/>
          </cell>
          <cell r="AL43">
            <v>0</v>
          </cell>
          <cell r="AN43" t="str">
            <v/>
          </cell>
          <cell r="AU43" t="str">
            <v>-</v>
          </cell>
          <cell r="BA43">
            <v>27</v>
          </cell>
          <cell r="BB43" t="str">
            <v>○</v>
          </cell>
          <cell r="BC43" t="str">
            <v>○</v>
          </cell>
        </row>
        <row r="44">
          <cell r="AG44">
            <v>0</v>
          </cell>
          <cell r="AI44" t="str">
            <v/>
          </cell>
          <cell r="AJ44" t="str">
            <v/>
          </cell>
          <cell r="AL44">
            <v>0</v>
          </cell>
          <cell r="AN44" t="str">
            <v/>
          </cell>
          <cell r="AU44" t="str">
            <v>-</v>
          </cell>
          <cell r="BA44">
            <v>28</v>
          </cell>
          <cell r="BB44" t="str">
            <v>○</v>
          </cell>
          <cell r="BC44" t="str">
            <v>○</v>
          </cell>
        </row>
        <row r="45">
          <cell r="AG45">
            <v>0</v>
          </cell>
          <cell r="AI45" t="str">
            <v/>
          </cell>
          <cell r="AJ45" t="str">
            <v/>
          </cell>
          <cell r="AL45">
            <v>0</v>
          </cell>
          <cell r="AN45" t="str">
            <v/>
          </cell>
          <cell r="AU45" t="str">
            <v>-</v>
          </cell>
          <cell r="BA45">
            <v>29</v>
          </cell>
          <cell r="BB45" t="str">
            <v>○</v>
          </cell>
          <cell r="BC45" t="str">
            <v>○</v>
          </cell>
        </row>
        <row r="46">
          <cell r="AG46">
            <v>0</v>
          </cell>
          <cell r="AI46" t="str">
            <v/>
          </cell>
          <cell r="AJ46" t="str">
            <v/>
          </cell>
          <cell r="AL46">
            <v>0</v>
          </cell>
          <cell r="AN46" t="str">
            <v/>
          </cell>
          <cell r="AU46" t="str">
            <v>-</v>
          </cell>
          <cell r="BA46">
            <v>30</v>
          </cell>
          <cell r="BB46" t="str">
            <v>○</v>
          </cell>
          <cell r="BC46" t="str">
            <v>○</v>
          </cell>
        </row>
        <row r="47">
          <cell r="AG47">
            <v>0</v>
          </cell>
          <cell r="AI47" t="str">
            <v/>
          </cell>
          <cell r="AJ47" t="str">
            <v/>
          </cell>
          <cell r="AL47">
            <v>0</v>
          </cell>
          <cell r="AN47" t="str">
            <v/>
          </cell>
          <cell r="AU47" t="str">
            <v>-</v>
          </cell>
          <cell r="BA47">
            <v>31</v>
          </cell>
          <cell r="BB47" t="str">
            <v>○</v>
          </cell>
          <cell r="BC47" t="str">
            <v>○</v>
          </cell>
        </row>
        <row r="48">
          <cell r="AG48">
            <v>0</v>
          </cell>
          <cell r="AI48" t="str">
            <v/>
          </cell>
          <cell r="AJ48" t="str">
            <v/>
          </cell>
          <cell r="AL48">
            <v>0</v>
          </cell>
          <cell r="AN48" t="str">
            <v/>
          </cell>
          <cell r="AU48" t="str">
            <v>-</v>
          </cell>
          <cell r="BA48">
            <v>32</v>
          </cell>
          <cell r="BB48" t="str">
            <v>○</v>
          </cell>
          <cell r="BC48" t="str">
            <v>○</v>
          </cell>
        </row>
        <row r="49">
          <cell r="AG49">
            <v>0</v>
          </cell>
          <cell r="AI49" t="str">
            <v/>
          </cell>
          <cell r="AJ49" t="str">
            <v/>
          </cell>
          <cell r="AL49">
            <v>0</v>
          </cell>
          <cell r="AN49" t="str">
            <v/>
          </cell>
          <cell r="AU49" t="str">
            <v>-</v>
          </cell>
          <cell r="BA49">
            <v>33</v>
          </cell>
          <cell r="BB49" t="str">
            <v>○</v>
          </cell>
          <cell r="BC49" t="str">
            <v>○</v>
          </cell>
        </row>
        <row r="50">
          <cell r="AG50">
            <v>0</v>
          </cell>
          <cell r="AI50" t="str">
            <v/>
          </cell>
          <cell r="AJ50" t="str">
            <v/>
          </cell>
          <cell r="AL50">
            <v>0</v>
          </cell>
          <cell r="AN50" t="str">
            <v/>
          </cell>
          <cell r="AU50" t="str">
            <v>-</v>
          </cell>
          <cell r="BA50">
            <v>34</v>
          </cell>
          <cell r="BB50" t="str">
            <v>○</v>
          </cell>
          <cell r="BC50" t="str">
            <v>○</v>
          </cell>
        </row>
        <row r="51">
          <cell r="AG51">
            <v>0</v>
          </cell>
          <cell r="AI51" t="str">
            <v/>
          </cell>
          <cell r="AJ51" t="str">
            <v/>
          </cell>
          <cell r="AL51">
            <v>0</v>
          </cell>
          <cell r="AN51" t="str">
            <v/>
          </cell>
          <cell r="AU51" t="str">
            <v>-</v>
          </cell>
          <cell r="BA51">
            <v>35</v>
          </cell>
          <cell r="BB51" t="str">
            <v>○</v>
          </cell>
          <cell r="BC51" t="str">
            <v>○</v>
          </cell>
        </row>
        <row r="52">
          <cell r="AG52">
            <v>0</v>
          </cell>
          <cell r="AI52" t="str">
            <v/>
          </cell>
          <cell r="AJ52" t="str">
            <v/>
          </cell>
          <cell r="AL52">
            <v>0</v>
          </cell>
          <cell r="AN52" t="str">
            <v/>
          </cell>
          <cell r="AU52" t="str">
            <v>-</v>
          </cell>
          <cell r="BA52">
            <v>36</v>
          </cell>
          <cell r="BB52" t="str">
            <v>○</v>
          </cell>
          <cell r="BC52" t="str">
            <v>○</v>
          </cell>
        </row>
        <row r="53">
          <cell r="AG53">
            <v>0</v>
          </cell>
          <cell r="AI53" t="str">
            <v/>
          </cell>
          <cell r="AJ53" t="str">
            <v/>
          </cell>
          <cell r="AL53">
            <v>0</v>
          </cell>
          <cell r="AN53" t="str">
            <v/>
          </cell>
          <cell r="AU53" t="str">
            <v>-</v>
          </cell>
          <cell r="BA53">
            <v>37</v>
          </cell>
          <cell r="BB53" t="str">
            <v>○</v>
          </cell>
          <cell r="BC53" t="str">
            <v>○</v>
          </cell>
        </row>
        <row r="54">
          <cell r="AG54">
            <v>0</v>
          </cell>
          <cell r="AI54" t="str">
            <v/>
          </cell>
          <cell r="AJ54" t="str">
            <v/>
          </cell>
          <cell r="AL54">
            <v>0</v>
          </cell>
          <cell r="AN54" t="str">
            <v/>
          </cell>
          <cell r="AU54" t="str">
            <v>-</v>
          </cell>
          <cell r="BA54">
            <v>38</v>
          </cell>
          <cell r="BB54" t="str">
            <v>○</v>
          </cell>
          <cell r="BC54" t="str">
            <v>○</v>
          </cell>
        </row>
        <row r="55">
          <cell r="AG55">
            <v>0</v>
          </cell>
          <cell r="AI55" t="str">
            <v/>
          </cell>
          <cell r="AJ55" t="str">
            <v/>
          </cell>
          <cell r="AL55">
            <v>0</v>
          </cell>
          <cell r="AN55" t="str">
            <v/>
          </cell>
          <cell r="AU55" t="str">
            <v>-</v>
          </cell>
          <cell r="BA55">
            <v>39</v>
          </cell>
          <cell r="BB55" t="str">
            <v>○</v>
          </cell>
          <cell r="BC55" t="str">
            <v>○</v>
          </cell>
        </row>
        <row r="56">
          <cell r="AG56">
            <v>0</v>
          </cell>
          <cell r="AI56" t="str">
            <v/>
          </cell>
          <cell r="AJ56" t="str">
            <v/>
          </cell>
          <cell r="AL56">
            <v>0</v>
          </cell>
          <cell r="AN56" t="str">
            <v/>
          </cell>
          <cell r="AU56" t="str">
            <v>-</v>
          </cell>
          <cell r="BA56">
            <v>40</v>
          </cell>
          <cell r="BB56" t="str">
            <v>○</v>
          </cell>
          <cell r="BC56" t="str">
            <v>○</v>
          </cell>
        </row>
        <row r="57">
          <cell r="AG57">
            <v>0</v>
          </cell>
          <cell r="AI57" t="str">
            <v/>
          </cell>
          <cell r="AJ57" t="str">
            <v/>
          </cell>
          <cell r="AL57">
            <v>0</v>
          </cell>
          <cell r="AN57" t="str">
            <v/>
          </cell>
          <cell r="AT57">
            <v>0</v>
          </cell>
          <cell r="AU57">
            <v>0</v>
          </cell>
          <cell r="BA57">
            <v>41</v>
          </cell>
          <cell r="BB57" t="str">
            <v>○</v>
          </cell>
          <cell r="BC57" t="str">
            <v>○</v>
          </cell>
        </row>
        <row r="58">
          <cell r="AG58">
            <v>0</v>
          </cell>
          <cell r="AI58" t="str">
            <v/>
          </cell>
          <cell r="AJ58" t="str">
            <v/>
          </cell>
          <cell r="AL58">
            <v>0</v>
          </cell>
          <cell r="AN58" t="str">
            <v/>
          </cell>
          <cell r="AT58">
            <v>0</v>
          </cell>
          <cell r="AU58">
            <v>0</v>
          </cell>
          <cell r="BA58">
            <v>42</v>
          </cell>
          <cell r="BB58" t="str">
            <v>○</v>
          </cell>
          <cell r="BC58" t="str">
            <v>○</v>
          </cell>
        </row>
        <row r="59">
          <cell r="AG59">
            <v>0</v>
          </cell>
          <cell r="AI59" t="str">
            <v/>
          </cell>
          <cell r="AJ59" t="str">
            <v/>
          </cell>
          <cell r="AL59">
            <v>0</v>
          </cell>
          <cell r="AN59" t="str">
            <v/>
          </cell>
          <cell r="AT59">
            <v>0</v>
          </cell>
          <cell r="AU59">
            <v>0</v>
          </cell>
          <cell r="BA59">
            <v>43</v>
          </cell>
          <cell r="BB59" t="str">
            <v>○</v>
          </cell>
          <cell r="BC59" t="str">
            <v>○</v>
          </cell>
        </row>
        <row r="60">
          <cell r="AG60">
            <v>0</v>
          </cell>
          <cell r="AI60" t="str">
            <v/>
          </cell>
          <cell r="AJ60" t="str">
            <v/>
          </cell>
          <cell r="AL60">
            <v>0</v>
          </cell>
          <cell r="AN60" t="str">
            <v/>
          </cell>
          <cell r="AT60">
            <v>0</v>
          </cell>
          <cell r="AU60">
            <v>0</v>
          </cell>
          <cell r="BA60">
            <v>44</v>
          </cell>
          <cell r="BB60" t="str">
            <v>○</v>
          </cell>
          <cell r="BC60" t="str">
            <v>○</v>
          </cell>
        </row>
        <row r="61">
          <cell r="AG61">
            <v>0</v>
          </cell>
          <cell r="AI61" t="str">
            <v/>
          </cell>
          <cell r="AJ61" t="str">
            <v/>
          </cell>
          <cell r="AL61">
            <v>0</v>
          </cell>
          <cell r="AN61" t="str">
            <v/>
          </cell>
          <cell r="AT61">
            <v>0</v>
          </cell>
          <cell r="AU61">
            <v>0</v>
          </cell>
          <cell r="BA61">
            <v>45</v>
          </cell>
          <cell r="BB61" t="str">
            <v>○</v>
          </cell>
          <cell r="BC61" t="str">
            <v>○</v>
          </cell>
        </row>
        <row r="62">
          <cell r="AG62">
            <v>0</v>
          </cell>
          <cell r="AI62" t="str">
            <v/>
          </cell>
          <cell r="AJ62" t="str">
            <v/>
          </cell>
          <cell r="AL62">
            <v>0</v>
          </cell>
          <cell r="AN62" t="str">
            <v/>
          </cell>
          <cell r="AT62">
            <v>0</v>
          </cell>
          <cell r="AU62">
            <v>0</v>
          </cell>
          <cell r="BA62">
            <v>46</v>
          </cell>
          <cell r="BB62" t="str">
            <v>○</v>
          </cell>
          <cell r="BC62" t="str">
            <v>○</v>
          </cell>
        </row>
        <row r="63">
          <cell r="AG63">
            <v>0</v>
          </cell>
          <cell r="AI63" t="str">
            <v/>
          </cell>
          <cell r="AJ63" t="str">
            <v/>
          </cell>
          <cell r="AL63">
            <v>0</v>
          </cell>
          <cell r="AN63" t="str">
            <v/>
          </cell>
          <cell r="AT63">
            <v>0</v>
          </cell>
          <cell r="AU63">
            <v>0</v>
          </cell>
          <cell r="BA63">
            <v>47</v>
          </cell>
          <cell r="BB63" t="str">
            <v>○</v>
          </cell>
          <cell r="BC63" t="str">
            <v>○</v>
          </cell>
        </row>
        <row r="64">
          <cell r="AG64">
            <v>0</v>
          </cell>
          <cell r="AI64" t="str">
            <v/>
          </cell>
          <cell r="AJ64" t="str">
            <v/>
          </cell>
          <cell r="AL64">
            <v>0</v>
          </cell>
          <cell r="AN64" t="str">
            <v/>
          </cell>
          <cell r="AT64">
            <v>0</v>
          </cell>
          <cell r="AU64">
            <v>0</v>
          </cell>
          <cell r="BA64">
            <v>48</v>
          </cell>
          <cell r="BB64" t="str">
            <v>○</v>
          </cell>
          <cell r="BC64" t="str">
            <v>○</v>
          </cell>
        </row>
        <row r="65">
          <cell r="AG65">
            <v>0</v>
          </cell>
          <cell r="AI65" t="str">
            <v/>
          </cell>
          <cell r="AJ65" t="str">
            <v/>
          </cell>
          <cell r="AL65">
            <v>0</v>
          </cell>
          <cell r="AN65" t="str">
            <v/>
          </cell>
          <cell r="AT65">
            <v>0</v>
          </cell>
          <cell r="AU65">
            <v>0</v>
          </cell>
          <cell r="BA65">
            <v>49</v>
          </cell>
          <cell r="BB65" t="str">
            <v>○</v>
          </cell>
          <cell r="BC65" t="str">
            <v>○</v>
          </cell>
        </row>
        <row r="66">
          <cell r="AG66">
            <v>0</v>
          </cell>
          <cell r="AI66" t="str">
            <v/>
          </cell>
          <cell r="AJ66" t="str">
            <v/>
          </cell>
          <cell r="AL66">
            <v>0</v>
          </cell>
          <cell r="AN66" t="str">
            <v/>
          </cell>
          <cell r="AT66">
            <v>0</v>
          </cell>
          <cell r="AU66">
            <v>0</v>
          </cell>
          <cell r="BA66">
            <v>50</v>
          </cell>
          <cell r="BB66" t="str">
            <v>○</v>
          </cell>
          <cell r="BC66" t="str">
            <v>○</v>
          </cell>
        </row>
        <row r="67">
          <cell r="AG67">
            <v>0</v>
          </cell>
          <cell r="AI67" t="str">
            <v/>
          </cell>
          <cell r="AJ67" t="str">
            <v/>
          </cell>
          <cell r="AL67">
            <v>0</v>
          </cell>
          <cell r="AN67" t="str">
            <v/>
          </cell>
          <cell r="AT67">
            <v>0</v>
          </cell>
          <cell r="AU67">
            <v>0</v>
          </cell>
          <cell r="BA67">
            <v>51</v>
          </cell>
          <cell r="BB67" t="str">
            <v>○</v>
          </cell>
          <cell r="BC67" t="str">
            <v>○</v>
          </cell>
        </row>
        <row r="68">
          <cell r="AG68">
            <v>0</v>
          </cell>
          <cell r="AI68" t="str">
            <v/>
          </cell>
          <cell r="AJ68" t="str">
            <v/>
          </cell>
          <cell r="AL68">
            <v>0</v>
          </cell>
          <cell r="AN68" t="str">
            <v/>
          </cell>
          <cell r="AT68">
            <v>0</v>
          </cell>
          <cell r="AU68">
            <v>0</v>
          </cell>
          <cell r="BA68">
            <v>52</v>
          </cell>
          <cell r="BB68" t="str">
            <v>○</v>
          </cell>
          <cell r="BC68" t="str">
            <v>○</v>
          </cell>
        </row>
        <row r="69">
          <cell r="AG69">
            <v>0</v>
          </cell>
          <cell r="AI69" t="str">
            <v/>
          </cell>
          <cell r="AJ69" t="str">
            <v/>
          </cell>
          <cell r="AL69">
            <v>0</v>
          </cell>
          <cell r="AN69" t="str">
            <v/>
          </cell>
          <cell r="AT69">
            <v>0</v>
          </cell>
          <cell r="AU69">
            <v>0</v>
          </cell>
          <cell r="BA69">
            <v>53</v>
          </cell>
          <cell r="BB69" t="str">
            <v>○</v>
          </cell>
          <cell r="BC69" t="str">
            <v>○</v>
          </cell>
        </row>
        <row r="70">
          <cell r="AG70">
            <v>0</v>
          </cell>
          <cell r="AI70" t="str">
            <v/>
          </cell>
          <cell r="AJ70" t="str">
            <v/>
          </cell>
          <cell r="AL70">
            <v>0</v>
          </cell>
          <cell r="AN70" t="str">
            <v/>
          </cell>
          <cell r="AT70">
            <v>0</v>
          </cell>
          <cell r="AU70">
            <v>0</v>
          </cell>
          <cell r="BA70">
            <v>54</v>
          </cell>
          <cell r="BB70" t="str">
            <v>○</v>
          </cell>
          <cell r="BC70" t="str">
            <v>○</v>
          </cell>
        </row>
        <row r="71">
          <cell r="AG71">
            <v>0</v>
          </cell>
          <cell r="AI71" t="str">
            <v/>
          </cell>
          <cell r="AJ71" t="str">
            <v/>
          </cell>
          <cell r="AL71">
            <v>0</v>
          </cell>
          <cell r="AN71" t="str">
            <v/>
          </cell>
          <cell r="AT71">
            <v>0</v>
          </cell>
          <cell r="AU71">
            <v>0</v>
          </cell>
          <cell r="BA71">
            <v>55</v>
          </cell>
          <cell r="BB71" t="str">
            <v>○</v>
          </cell>
          <cell r="BC71" t="str">
            <v>○</v>
          </cell>
        </row>
        <row r="72">
          <cell r="AG72">
            <v>0</v>
          </cell>
          <cell r="AI72" t="str">
            <v/>
          </cell>
          <cell r="AJ72" t="str">
            <v/>
          </cell>
          <cell r="AL72">
            <v>0</v>
          </cell>
          <cell r="AN72" t="str">
            <v/>
          </cell>
          <cell r="AT72">
            <v>0</v>
          </cell>
          <cell r="AU72">
            <v>0</v>
          </cell>
          <cell r="BA72">
            <v>56</v>
          </cell>
          <cell r="BB72" t="str">
            <v>○</v>
          </cell>
          <cell r="BC72" t="str">
            <v>○</v>
          </cell>
        </row>
        <row r="73">
          <cell r="AG73">
            <v>0</v>
          </cell>
          <cell r="AI73" t="str">
            <v/>
          </cell>
          <cell r="AJ73" t="str">
            <v/>
          </cell>
          <cell r="AL73">
            <v>0</v>
          </cell>
          <cell r="AN73" t="str">
            <v/>
          </cell>
          <cell r="AT73">
            <v>0</v>
          </cell>
          <cell r="AU73">
            <v>0</v>
          </cell>
          <cell r="BA73">
            <v>57</v>
          </cell>
        </row>
        <row r="74">
          <cell r="AG74">
            <v>0</v>
          </cell>
          <cell r="AI74" t="str">
            <v/>
          </cell>
          <cell r="AJ74" t="str">
            <v/>
          </cell>
          <cell r="AL74">
            <v>0</v>
          </cell>
          <cell r="AN74" t="str">
            <v/>
          </cell>
          <cell r="AO74">
            <v>0</v>
          </cell>
          <cell r="AT74">
            <v>0</v>
          </cell>
          <cell r="AU74">
            <v>0</v>
          </cell>
          <cell r="BA74">
            <v>58</v>
          </cell>
        </row>
        <row r="75">
          <cell r="AG75">
            <v>0</v>
          </cell>
          <cell r="AI75" t="str">
            <v/>
          </cell>
          <cell r="AJ75" t="str">
            <v/>
          </cell>
          <cell r="AL75">
            <v>0</v>
          </cell>
          <cell r="AN75" t="str">
            <v/>
          </cell>
          <cell r="AO75">
            <v>0</v>
          </cell>
          <cell r="AT75">
            <v>0</v>
          </cell>
          <cell r="AU75">
            <v>0</v>
          </cell>
          <cell r="BA75">
            <v>59</v>
          </cell>
        </row>
        <row r="76">
          <cell r="AG76">
            <v>0</v>
          </cell>
          <cell r="AI76" t="str">
            <v/>
          </cell>
          <cell r="AJ76" t="str">
            <v/>
          </cell>
          <cell r="AL76">
            <v>0</v>
          </cell>
          <cell r="AN76" t="str">
            <v/>
          </cell>
          <cell r="AO76">
            <v>0</v>
          </cell>
          <cell r="AT76">
            <v>0</v>
          </cell>
          <cell r="AU76">
            <v>0</v>
          </cell>
          <cell r="BA76">
            <v>60</v>
          </cell>
        </row>
        <row r="77">
          <cell r="AG77">
            <v>0</v>
          </cell>
          <cell r="AI77" t="str">
            <v/>
          </cell>
          <cell r="AJ77" t="str">
            <v/>
          </cell>
          <cell r="AL77">
            <v>0</v>
          </cell>
          <cell r="AN77" t="str">
            <v/>
          </cell>
          <cell r="AO77">
            <v>0</v>
          </cell>
          <cell r="AT77">
            <v>0</v>
          </cell>
          <cell r="AU77">
            <v>0</v>
          </cell>
          <cell r="BA77">
            <v>61</v>
          </cell>
        </row>
        <row r="78">
          <cell r="AG78">
            <v>0</v>
          </cell>
          <cell r="AI78" t="str">
            <v/>
          </cell>
          <cell r="AJ78" t="str">
            <v/>
          </cell>
          <cell r="AL78">
            <v>0</v>
          </cell>
          <cell r="AN78" t="str">
            <v/>
          </cell>
          <cell r="AO78">
            <v>0</v>
          </cell>
          <cell r="AT78">
            <v>0</v>
          </cell>
          <cell r="AU78">
            <v>0</v>
          </cell>
          <cell r="BA78">
            <v>62</v>
          </cell>
        </row>
        <row r="79">
          <cell r="AG79">
            <v>0</v>
          </cell>
          <cell r="AI79" t="str">
            <v/>
          </cell>
          <cell r="AJ79" t="str">
            <v/>
          </cell>
          <cell r="AL79">
            <v>0</v>
          </cell>
          <cell r="AN79" t="str">
            <v/>
          </cell>
          <cell r="AO79">
            <v>0</v>
          </cell>
          <cell r="AT79">
            <v>0</v>
          </cell>
          <cell r="AU79">
            <v>0</v>
          </cell>
          <cell r="BA79">
            <v>63</v>
          </cell>
        </row>
        <row r="80">
          <cell r="AG80">
            <v>0</v>
          </cell>
          <cell r="AI80" t="str">
            <v/>
          </cell>
          <cell r="AJ80" t="str">
            <v/>
          </cell>
          <cell r="AL80">
            <v>0</v>
          </cell>
          <cell r="AN80" t="str">
            <v/>
          </cell>
          <cell r="AO80">
            <v>0</v>
          </cell>
          <cell r="AT80">
            <v>0</v>
          </cell>
          <cell r="AU80">
            <v>0</v>
          </cell>
          <cell r="BA80">
            <v>64</v>
          </cell>
        </row>
        <row r="81">
          <cell r="AG81">
            <v>0</v>
          </cell>
          <cell r="AI81" t="str">
            <v/>
          </cell>
          <cell r="AJ81" t="str">
            <v/>
          </cell>
          <cell r="AL81">
            <v>0</v>
          </cell>
          <cell r="AN81" t="str">
            <v/>
          </cell>
          <cell r="AO81">
            <v>0</v>
          </cell>
          <cell r="AT81">
            <v>0</v>
          </cell>
          <cell r="AU81">
            <v>0</v>
          </cell>
          <cell r="BA81">
            <v>65</v>
          </cell>
        </row>
        <row r="82">
          <cell r="AG82">
            <v>0</v>
          </cell>
          <cell r="AI82" t="str">
            <v/>
          </cell>
          <cell r="AJ82" t="str">
            <v/>
          </cell>
          <cell r="AL82">
            <v>0</v>
          </cell>
          <cell r="AN82" t="str">
            <v/>
          </cell>
          <cell r="AO82">
            <v>0</v>
          </cell>
          <cell r="AT82">
            <v>0</v>
          </cell>
          <cell r="AU82">
            <v>0</v>
          </cell>
          <cell r="BA82">
            <v>66</v>
          </cell>
        </row>
        <row r="83">
          <cell r="AG83">
            <v>0</v>
          </cell>
          <cell r="AI83" t="str">
            <v/>
          </cell>
          <cell r="AJ83" t="str">
            <v/>
          </cell>
          <cell r="AL83">
            <v>0</v>
          </cell>
          <cell r="AN83" t="str">
            <v/>
          </cell>
          <cell r="AO83">
            <v>0</v>
          </cell>
          <cell r="AT83">
            <v>0</v>
          </cell>
          <cell r="AU83">
            <v>0</v>
          </cell>
          <cell r="BA83">
            <v>67</v>
          </cell>
        </row>
        <row r="84">
          <cell r="AG84">
            <v>0</v>
          </cell>
          <cell r="AI84" t="str">
            <v/>
          </cell>
          <cell r="AJ84" t="str">
            <v/>
          </cell>
          <cell r="AL84">
            <v>0</v>
          </cell>
          <cell r="AN84" t="str">
            <v/>
          </cell>
          <cell r="AO84">
            <v>0</v>
          </cell>
          <cell r="AT84">
            <v>0</v>
          </cell>
          <cell r="AU84">
            <v>0</v>
          </cell>
          <cell r="BA84">
            <v>68</v>
          </cell>
        </row>
        <row r="85">
          <cell r="AG85">
            <v>0</v>
          </cell>
          <cell r="AI85" t="str">
            <v/>
          </cell>
          <cell r="AJ85" t="str">
            <v/>
          </cell>
          <cell r="AL85">
            <v>0</v>
          </cell>
          <cell r="AN85" t="str">
            <v/>
          </cell>
          <cell r="AO85">
            <v>0</v>
          </cell>
          <cell r="AT85">
            <v>0</v>
          </cell>
          <cell r="AU85">
            <v>0</v>
          </cell>
          <cell r="BA85">
            <v>69</v>
          </cell>
        </row>
        <row r="86">
          <cell r="AG86">
            <v>0</v>
          </cell>
          <cell r="AI86" t="str">
            <v/>
          </cell>
          <cell r="AJ86" t="str">
            <v/>
          </cell>
          <cell r="AL86">
            <v>0</v>
          </cell>
          <cell r="AN86" t="str">
            <v/>
          </cell>
          <cell r="AO86">
            <v>0</v>
          </cell>
          <cell r="AT86">
            <v>0</v>
          </cell>
          <cell r="AU86">
            <v>0</v>
          </cell>
          <cell r="BA86">
            <v>70</v>
          </cell>
        </row>
        <row r="87">
          <cell r="AG87">
            <v>0</v>
          </cell>
          <cell r="AI87" t="str">
            <v/>
          </cell>
          <cell r="AJ87" t="str">
            <v/>
          </cell>
          <cell r="AL87">
            <v>0</v>
          </cell>
          <cell r="AN87" t="str">
            <v/>
          </cell>
          <cell r="AO87">
            <v>0</v>
          </cell>
          <cell r="AT87">
            <v>0</v>
          </cell>
          <cell r="AU87">
            <v>0</v>
          </cell>
          <cell r="BA87">
            <v>71</v>
          </cell>
        </row>
        <row r="88">
          <cell r="AG88">
            <v>0</v>
          </cell>
          <cell r="AI88" t="str">
            <v/>
          </cell>
          <cell r="AJ88" t="str">
            <v/>
          </cell>
          <cell r="AL88">
            <v>0</v>
          </cell>
          <cell r="AN88" t="str">
            <v/>
          </cell>
          <cell r="AO88">
            <v>0</v>
          </cell>
          <cell r="AT88">
            <v>0</v>
          </cell>
          <cell r="AU88">
            <v>0</v>
          </cell>
          <cell r="BA88">
            <v>72</v>
          </cell>
        </row>
        <row r="89">
          <cell r="AG89">
            <v>0</v>
          </cell>
          <cell r="AI89" t="str">
            <v/>
          </cell>
          <cell r="AJ89" t="str">
            <v/>
          </cell>
          <cell r="AL89">
            <v>0</v>
          </cell>
          <cell r="AN89" t="str">
            <v/>
          </cell>
          <cell r="AO89">
            <v>0</v>
          </cell>
          <cell r="AT89">
            <v>0</v>
          </cell>
          <cell r="AU89">
            <v>0</v>
          </cell>
          <cell r="BA89">
            <v>73</v>
          </cell>
        </row>
        <row r="90">
          <cell r="AG90">
            <v>0</v>
          </cell>
          <cell r="AI90" t="str">
            <v/>
          </cell>
          <cell r="AJ90" t="str">
            <v/>
          </cell>
          <cell r="AL90">
            <v>0</v>
          </cell>
          <cell r="AN90" t="str">
            <v/>
          </cell>
          <cell r="AO90">
            <v>0</v>
          </cell>
          <cell r="AT90">
            <v>0</v>
          </cell>
          <cell r="AU90">
            <v>0</v>
          </cell>
          <cell r="BA90">
            <v>74</v>
          </cell>
        </row>
        <row r="91">
          <cell r="AG91">
            <v>0</v>
          </cell>
          <cell r="AI91" t="str">
            <v/>
          </cell>
          <cell r="AJ91" t="str">
            <v/>
          </cell>
          <cell r="AL91">
            <v>0</v>
          </cell>
          <cell r="AN91" t="str">
            <v/>
          </cell>
          <cell r="AO91">
            <v>0</v>
          </cell>
          <cell r="AT91">
            <v>0</v>
          </cell>
          <cell r="AU91">
            <v>0</v>
          </cell>
          <cell r="BA91">
            <v>75</v>
          </cell>
        </row>
        <row r="92">
          <cell r="AG92">
            <v>0</v>
          </cell>
          <cell r="AI92" t="str">
            <v/>
          </cell>
          <cell r="AJ92" t="str">
            <v/>
          </cell>
          <cell r="AL92">
            <v>0</v>
          </cell>
          <cell r="AN92" t="str">
            <v/>
          </cell>
          <cell r="AO92">
            <v>0</v>
          </cell>
          <cell r="AT92">
            <v>0</v>
          </cell>
          <cell r="AU92">
            <v>0</v>
          </cell>
          <cell r="BA92">
            <v>76</v>
          </cell>
        </row>
        <row r="93">
          <cell r="AG93">
            <v>0</v>
          </cell>
          <cell r="AI93" t="str">
            <v/>
          </cell>
          <cell r="AJ93" t="str">
            <v/>
          </cell>
          <cell r="AL93">
            <v>0</v>
          </cell>
          <cell r="AN93" t="str">
            <v/>
          </cell>
          <cell r="AO93">
            <v>0</v>
          </cell>
          <cell r="AT93">
            <v>0</v>
          </cell>
          <cell r="AU93">
            <v>0</v>
          </cell>
          <cell r="BA93">
            <v>77</v>
          </cell>
        </row>
        <row r="94">
          <cell r="AG94">
            <v>0</v>
          </cell>
          <cell r="AI94" t="str">
            <v/>
          </cell>
          <cell r="AJ94" t="str">
            <v/>
          </cell>
          <cell r="AL94">
            <v>0</v>
          </cell>
          <cell r="AN94" t="str">
            <v/>
          </cell>
          <cell r="AO94">
            <v>0</v>
          </cell>
          <cell r="AT94">
            <v>0</v>
          </cell>
          <cell r="AU94">
            <v>0</v>
          </cell>
          <cell r="BA94">
            <v>78</v>
          </cell>
        </row>
        <row r="95">
          <cell r="AG95">
            <v>0</v>
          </cell>
          <cell r="AI95" t="str">
            <v/>
          </cell>
          <cell r="AJ95" t="str">
            <v/>
          </cell>
          <cell r="AL95">
            <v>0</v>
          </cell>
          <cell r="AN95" t="str">
            <v/>
          </cell>
          <cell r="AO95">
            <v>0</v>
          </cell>
          <cell r="AT95">
            <v>0</v>
          </cell>
          <cell r="AU95">
            <v>0</v>
          </cell>
          <cell r="BA95">
            <v>79</v>
          </cell>
        </row>
        <row r="96">
          <cell r="AG96">
            <v>0</v>
          </cell>
          <cell r="AI96" t="str">
            <v/>
          </cell>
          <cell r="AJ96" t="str">
            <v/>
          </cell>
          <cell r="AL96">
            <v>0</v>
          </cell>
          <cell r="AN96" t="str">
            <v/>
          </cell>
          <cell r="AO96">
            <v>0</v>
          </cell>
          <cell r="AT96">
            <v>0</v>
          </cell>
          <cell r="AU96">
            <v>0</v>
          </cell>
          <cell r="BA96">
            <v>80</v>
          </cell>
        </row>
        <row r="97">
          <cell r="AG97">
            <v>0</v>
          </cell>
          <cell r="AI97" t="str">
            <v/>
          </cell>
          <cell r="AJ97" t="str">
            <v/>
          </cell>
          <cell r="AL97">
            <v>0</v>
          </cell>
          <cell r="AN97" t="str">
            <v/>
          </cell>
          <cell r="AO97">
            <v>0</v>
          </cell>
          <cell r="AT97">
            <v>0</v>
          </cell>
          <cell r="AU97">
            <v>0</v>
          </cell>
          <cell r="BA97">
            <v>81</v>
          </cell>
        </row>
        <row r="98">
          <cell r="AG98">
            <v>0</v>
          </cell>
          <cell r="AI98" t="str">
            <v/>
          </cell>
          <cell r="AJ98" t="str">
            <v/>
          </cell>
          <cell r="AL98">
            <v>0</v>
          </cell>
          <cell r="AN98" t="str">
            <v/>
          </cell>
          <cell r="AO98">
            <v>0</v>
          </cell>
          <cell r="AT98">
            <v>0</v>
          </cell>
          <cell r="AU98">
            <v>0</v>
          </cell>
          <cell r="BA98">
            <v>82</v>
          </cell>
        </row>
        <row r="99">
          <cell r="AG99">
            <v>0</v>
          </cell>
          <cell r="AI99" t="str">
            <v/>
          </cell>
          <cell r="AJ99" t="str">
            <v/>
          </cell>
          <cell r="AL99">
            <v>0</v>
          </cell>
          <cell r="AN99" t="str">
            <v/>
          </cell>
          <cell r="AO99">
            <v>0</v>
          </cell>
          <cell r="AT99">
            <v>0</v>
          </cell>
          <cell r="AU99">
            <v>0</v>
          </cell>
          <cell r="BA99">
            <v>83</v>
          </cell>
        </row>
        <row r="100">
          <cell r="AG100">
            <v>0</v>
          </cell>
          <cell r="AI100" t="str">
            <v/>
          </cell>
          <cell r="AJ100" t="str">
            <v/>
          </cell>
          <cell r="AL100">
            <v>0</v>
          </cell>
          <cell r="AN100" t="str">
            <v/>
          </cell>
          <cell r="AO100">
            <v>0</v>
          </cell>
          <cell r="AT100">
            <v>0</v>
          </cell>
          <cell r="AU100">
            <v>0</v>
          </cell>
          <cell r="BA100">
            <v>84</v>
          </cell>
        </row>
      </sheetData>
      <sheetData sheetId="4"/>
      <sheetData sheetId="5"/>
      <sheetData sheetId="6"/>
      <sheetData sheetId="7"/>
      <sheetData sheetId="8"/>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資材"/>
      <sheetName val="原料"/>
      <sheetName val="エアゾール関係"/>
      <sheetName val="トイレ"/>
      <sheetName val="お部屋"/>
      <sheetName val="熱さま"/>
      <sheetName val="タフデント"/>
      <sheetName val="ブルーレット"/>
      <sheetName val="ＨＡ"/>
      <sheetName val="ケシミン"/>
      <sheetName val="ケシミン（山﨑さん）"/>
      <sheetName val="パーシャルデント"/>
      <sheetName val="サラサーティー"/>
      <sheetName val="アニマル"/>
      <sheetName val="アイボン"/>
      <sheetName val="のどぬーるＳＰ"/>
      <sheetName val="プリティー"/>
      <sheetName val="健食"/>
      <sheetName val="一覧"/>
      <sheetName val="微香空間"/>
      <sheetName val="無香空間"/>
      <sheetName val="オヤスミ"/>
      <sheetName val="トイレ洗浄中"/>
      <sheetName val="POT洗浄中"/>
      <sheetName val="生葉"/>
      <sheetName val="Sheet1"/>
      <sheetName val="フォーム"/>
      <sheetName val="クリエア"/>
      <sheetName val="トイレ （商談会）"/>
      <sheetName val="お部屋Ｒ"/>
      <sheetName val="お部屋 R（商談会）"/>
      <sheetName val="木村さん"/>
    </sheetNames>
    <sheetDataSet>
      <sheetData sheetId="0"/>
      <sheetData sheetId="1" refreshError="1">
        <row r="3">
          <cell r="B3">
            <v>10000035</v>
          </cell>
          <cell r="C3" t="str">
            <v>ｼﾞﾌﾞﾁﾙﾋﾄﾞﾛｷｼﾄﾙｴﾝ(BHT)</v>
          </cell>
          <cell r="D3">
            <v>1450</v>
          </cell>
          <cell r="E3" t="str">
            <v>三栄化工㈱</v>
          </cell>
        </row>
        <row r="4">
          <cell r="B4">
            <v>10000041</v>
          </cell>
          <cell r="C4" t="str">
            <v>青色1号　9KG</v>
          </cell>
          <cell r="D4">
            <v>2250</v>
          </cell>
          <cell r="E4" t="str">
            <v>長瀬産業㈱</v>
          </cell>
        </row>
        <row r="5">
          <cell r="B5">
            <v>10000141</v>
          </cell>
          <cell r="C5" t="str">
            <v>ｄｌ-ｶﾝﾌﾙ</v>
          </cell>
          <cell r="D5">
            <v>750</v>
          </cell>
          <cell r="E5" t="str">
            <v>長岡実業㈱</v>
          </cell>
        </row>
        <row r="6">
          <cell r="B6">
            <v>10000147</v>
          </cell>
          <cell r="C6" t="str">
            <v>ｶﾙﾒﾛｰｽｶﾙｼｳﾑ</v>
          </cell>
          <cell r="D6">
            <v>1350</v>
          </cell>
          <cell r="E6" t="str">
            <v>ｲﾜｷ㈱大阪支社</v>
          </cell>
        </row>
        <row r="7">
          <cell r="B7">
            <v>10000507</v>
          </cell>
          <cell r="C7" t="str">
            <v>東ﾚ ｼﾘｺﾝ SM 5512</v>
          </cell>
          <cell r="D7">
            <v>1200</v>
          </cell>
          <cell r="E7" t="str">
            <v>稲畑産業㈱</v>
          </cell>
        </row>
        <row r="8">
          <cell r="B8">
            <v>10000601</v>
          </cell>
          <cell r="C8" t="str">
            <v>ｱｾﾄｱﾐﾉﾌｪﾝ</v>
          </cell>
          <cell r="D8">
            <v>800</v>
          </cell>
          <cell r="E8" t="str">
            <v>日本ｼｰﾍﾞﾙﾍｸﾞﾅｰ㈱</v>
          </cell>
        </row>
        <row r="9">
          <cell r="B9">
            <v>10000645</v>
          </cell>
          <cell r="C9" t="str">
            <v>ｴﾃﾝｻﾞﾐﾄﾞ</v>
          </cell>
          <cell r="D9">
            <v>2191</v>
          </cell>
          <cell r="E9" t="str">
            <v>繁和産業㈱</v>
          </cell>
        </row>
        <row r="10">
          <cell r="B10">
            <v>10000649</v>
          </cell>
          <cell r="C10" t="str">
            <v>局方　塩化ﾍﾞﾝｻﾞﾙｺﾆｳﾑ(粉末)</v>
          </cell>
          <cell r="D10">
            <v>2500</v>
          </cell>
          <cell r="E10" t="str">
            <v>繁和産業㈱</v>
          </cell>
        </row>
        <row r="11">
          <cell r="B11">
            <v>10000667</v>
          </cell>
          <cell r="C11" t="str">
            <v>ｶﾌｪｲﾝ</v>
          </cell>
          <cell r="D11">
            <v>2750</v>
          </cell>
          <cell r="E11" t="str">
            <v>白鳥薬品㈱</v>
          </cell>
        </row>
        <row r="12">
          <cell r="B12">
            <v>10000779</v>
          </cell>
          <cell r="C12" t="str">
            <v>ｽｸﾜﾗﾝ</v>
          </cell>
          <cell r="D12">
            <v>1500</v>
          </cell>
          <cell r="E12" t="str">
            <v>日光ｹﾐｶﾙｽﾞ㈱</v>
          </cell>
        </row>
        <row r="13">
          <cell r="B13">
            <v>10000867</v>
          </cell>
          <cell r="C13" t="str">
            <v>乳糖</v>
          </cell>
          <cell r="D13">
            <v>210</v>
          </cell>
          <cell r="E13" t="str">
            <v>ｲﾜｷ㈱大阪支社</v>
          </cell>
        </row>
        <row r="14">
          <cell r="B14">
            <v>10000877</v>
          </cell>
          <cell r="C14" t="str">
            <v>ﾒﾀｹｲ酸ｱﾙﾐﾝ酸ﾏｸﾞﾈｼｳﾑ</v>
          </cell>
          <cell r="D14">
            <v>760</v>
          </cell>
          <cell r="E14" t="str">
            <v>富士化学工業㈱</v>
          </cell>
        </row>
        <row r="15">
          <cell r="B15">
            <v>10000945</v>
          </cell>
          <cell r="C15" t="str">
            <v>1-3ﾌﾞﾁﾚﾝｸﾞﾘｺｰﾙ</v>
          </cell>
          <cell r="D15">
            <v>425</v>
          </cell>
          <cell r="E15" t="str">
            <v>㈱ﾄｰﾒﾝ</v>
          </cell>
        </row>
        <row r="16">
          <cell r="B16">
            <v>10000961</v>
          </cell>
          <cell r="C16" t="str">
            <v>ﾌﾟﾛｷｾﾙBD</v>
          </cell>
          <cell r="D16">
            <v>2300</v>
          </cell>
          <cell r="E16" t="str">
            <v>稲畑産業㈱</v>
          </cell>
        </row>
        <row r="17">
          <cell r="B17">
            <v>10000975</v>
          </cell>
          <cell r="C17" t="str">
            <v>ﾎﾞｳｼｮｳ A-6　30KG</v>
          </cell>
          <cell r="D17">
            <v>66.5</v>
          </cell>
          <cell r="E17" t="str">
            <v>㈱ﾄｰﾒﾝ</v>
          </cell>
        </row>
        <row r="18">
          <cell r="B18">
            <v>10000993</v>
          </cell>
          <cell r="C18" t="str">
            <v>ﾏｰﾎﾟﾏｰｾ PT</v>
          </cell>
          <cell r="D18">
            <v>388</v>
          </cell>
          <cell r="E18" t="str">
            <v>松本油脂製薬㈱</v>
          </cell>
        </row>
        <row r="19">
          <cell r="B19">
            <v>10001007</v>
          </cell>
          <cell r="C19" t="str">
            <v>ﾏﾚｲﾝ酸ｸﾛﾙﾌｪﾆﾗﾐﾝ</v>
          </cell>
          <cell r="D19">
            <v>10400</v>
          </cell>
          <cell r="E19" t="str">
            <v>繁和産業㈱</v>
          </cell>
        </row>
        <row r="20">
          <cell r="B20">
            <v>10005149</v>
          </cell>
          <cell r="C20" t="str">
            <v>塩酸ｼﾞﾌﾞｶｲﾝ</v>
          </cell>
          <cell r="D20">
            <v>63000</v>
          </cell>
          <cell r="E20" t="str">
            <v>富士化学工業㈱</v>
          </cell>
        </row>
        <row r="21">
          <cell r="B21">
            <v>10005801</v>
          </cell>
          <cell r="C21" t="str">
            <v>AMINYL　YELLOW E-3GL</v>
          </cell>
          <cell r="D21">
            <v>4600</v>
          </cell>
          <cell r="E21" t="str">
            <v>日本ﾊﾞﾙｸ薬品㈱</v>
          </cell>
        </row>
        <row r="22">
          <cell r="B22">
            <v>10006433</v>
          </cell>
          <cell r="C22" t="str">
            <v>ﾌﾟﾛﾋﾟﾚﾝｸﾞﾘｺｰﾙ</v>
          </cell>
          <cell r="D22">
            <v>178</v>
          </cell>
          <cell r="E22" t="str">
            <v>繁和産業㈱</v>
          </cell>
        </row>
        <row r="23">
          <cell r="B23">
            <v>10006711</v>
          </cell>
          <cell r="C23" t="str">
            <v>乳酸ﾅﾄﾘｳﾑ　50%液</v>
          </cell>
          <cell r="D23">
            <v>660</v>
          </cell>
          <cell r="E23" t="str">
            <v>稲畑産業㈱</v>
          </cell>
        </row>
        <row r="24">
          <cell r="B24">
            <v>10007899</v>
          </cell>
          <cell r="C24" t="str">
            <v>KB-KOMS</v>
          </cell>
          <cell r="D24">
            <v>390</v>
          </cell>
          <cell r="E24" t="str">
            <v>岡畑産業㈱</v>
          </cell>
        </row>
        <row r="25">
          <cell r="B25">
            <v>10008465</v>
          </cell>
          <cell r="C25" t="str">
            <v>ｷﾚｽﾄC</v>
          </cell>
          <cell r="D25">
            <v>825</v>
          </cell>
          <cell r="E25" t="str">
            <v>稲畑産業㈱</v>
          </cell>
        </row>
        <row r="26">
          <cell r="B26">
            <v>10008725</v>
          </cell>
          <cell r="C26" t="str">
            <v>ｷﾚｽﾄ NTB</v>
          </cell>
          <cell r="D26">
            <v>685</v>
          </cell>
          <cell r="E26" t="str">
            <v>稲畑産業㈱</v>
          </cell>
        </row>
        <row r="27">
          <cell r="B27">
            <v>10008757</v>
          </cell>
          <cell r="C27" t="str">
            <v>ｲｿﾌﾟﾛﾋﾟﾙﾒﾁﾙﾌｪﾉｰﾙ</v>
          </cell>
          <cell r="D27">
            <v>10300</v>
          </cell>
          <cell r="E27" t="str">
            <v>ｲﾜｷ㈱大阪支社</v>
          </cell>
        </row>
        <row r="28">
          <cell r="B28">
            <v>10008761</v>
          </cell>
          <cell r="C28" t="str">
            <v>ｼｬｸﾔｸｴｷｽ</v>
          </cell>
          <cell r="D28">
            <v>8100</v>
          </cell>
          <cell r="E28" t="str">
            <v>ｲﾜｷ㈱　大阪支社</v>
          </cell>
        </row>
        <row r="29">
          <cell r="B29">
            <v>10008915</v>
          </cell>
          <cell r="C29" t="str">
            <v>PEG-6000P</v>
          </cell>
          <cell r="D29">
            <v>358</v>
          </cell>
          <cell r="E29" t="str">
            <v>第一工業製薬㈱</v>
          </cell>
        </row>
        <row r="30">
          <cell r="B30">
            <v>10009345</v>
          </cell>
          <cell r="C30" t="str">
            <v>ﾖｳ化ｶﾘｳﾑ</v>
          </cell>
          <cell r="D30">
            <v>3600</v>
          </cell>
          <cell r="E30" t="str">
            <v>ｲﾜｷ㈱大阪支社</v>
          </cell>
        </row>
        <row r="31">
          <cell r="B31">
            <v>10009357</v>
          </cell>
          <cell r="C31" t="str">
            <v>ｸﾞﾘｾﾘﾝ</v>
          </cell>
          <cell r="D31">
            <v>249</v>
          </cell>
          <cell r="E31" t="str">
            <v>㈱ﾄｰﾒﾝ　ﾄｰﾒﾝｹﾐｶﾙｶﾝﾊﾟﾆｰ油脂化成品部</v>
          </cell>
        </row>
        <row r="32">
          <cell r="B32">
            <v>10009591</v>
          </cell>
          <cell r="C32" t="str">
            <v>酸化亜鉛</v>
          </cell>
          <cell r="D32">
            <v>370</v>
          </cell>
          <cell r="E32" t="str">
            <v>長瀬産業㈱</v>
          </cell>
        </row>
        <row r="33">
          <cell r="B33">
            <v>10009619</v>
          </cell>
          <cell r="C33" t="str">
            <v>ｽﾃｱﾘﾝ酸ﾏｸﾞﾈｼｳﾑ</v>
          </cell>
          <cell r="D33">
            <v>480</v>
          </cell>
          <cell r="E33" t="str">
            <v>長瀬産業㈱</v>
          </cell>
        </row>
        <row r="34">
          <cell r="B34">
            <v>10009645</v>
          </cell>
          <cell r="C34" t="str">
            <v>ﾀﾙｸ</v>
          </cell>
          <cell r="D34">
            <v>138</v>
          </cell>
          <cell r="E34" t="str">
            <v>日本ﾊﾞﾙｸ薬品㈱</v>
          </cell>
        </row>
        <row r="35">
          <cell r="B35">
            <v>10009657</v>
          </cell>
          <cell r="C35" t="str">
            <v>ｸｴﾝ酸ﾅﾄﾘｳﾑ</v>
          </cell>
          <cell r="D35">
            <v>8100</v>
          </cell>
          <cell r="E35" t="str">
            <v>ｲﾜｷ㈱　大阪支社</v>
          </cell>
        </row>
        <row r="36">
          <cell r="B36">
            <v>10009665</v>
          </cell>
          <cell r="C36" t="str">
            <v>ｼﾞｴﾀﾉｰﾙｱﾐﾝ　20KG</v>
          </cell>
          <cell r="D36">
            <v>290</v>
          </cell>
          <cell r="E36" t="str">
            <v>㈱岩田商会　大阪支店</v>
          </cell>
        </row>
        <row r="37">
          <cell r="B37">
            <v>10009717</v>
          </cell>
          <cell r="C37" t="str">
            <v>ｻﾝｿﾌﾄ#700P-2</v>
          </cell>
          <cell r="D37">
            <v>2900</v>
          </cell>
          <cell r="E37" t="str">
            <v>太陽化学㈱</v>
          </cell>
        </row>
        <row r="38">
          <cell r="B38">
            <v>10009761</v>
          </cell>
          <cell r="C38" t="str">
            <v>酸化ﾁﾀﾝ JR-800</v>
          </cell>
          <cell r="D38">
            <v>500</v>
          </cell>
          <cell r="E38" t="str">
            <v>㈱ﾄｰﾒﾝ</v>
          </cell>
        </row>
        <row r="39">
          <cell r="B39">
            <v>10010691</v>
          </cell>
          <cell r="C39" t="str">
            <v>L300-L50</v>
          </cell>
          <cell r="D39">
            <v>2300</v>
          </cell>
          <cell r="E39" t="str">
            <v>油脂製品㈱</v>
          </cell>
        </row>
        <row r="40">
          <cell r="B40">
            <v>10010769</v>
          </cell>
          <cell r="C40" t="str">
            <v>ﾐﾄﾞﾘｲﾛ3ｺﾞｳ</v>
          </cell>
          <cell r="D40">
            <v>60000</v>
          </cell>
          <cell r="E40" t="str">
            <v>日本ﾊﾞﾙｸ薬品㈱</v>
          </cell>
        </row>
        <row r="41">
          <cell r="B41">
            <v>10010779</v>
          </cell>
          <cell r="C41" t="str">
            <v>塩化ｾﾁﾙﾋﾟﾘｼﾞﾆｳﾑ</v>
          </cell>
          <cell r="D41">
            <v>7000</v>
          </cell>
          <cell r="E41" t="str">
            <v>不二化学薬品㈱</v>
          </cell>
        </row>
        <row r="42">
          <cell r="B42">
            <v>10010837</v>
          </cell>
          <cell r="C42" t="str">
            <v>ｴﾀﾉｰﾙ</v>
          </cell>
          <cell r="D42">
            <v>1099</v>
          </cell>
          <cell r="E42" t="str">
            <v>ｺﾆｼ㈱</v>
          </cell>
        </row>
        <row r="43">
          <cell r="B43">
            <v>10011007</v>
          </cell>
          <cell r="C43" t="str">
            <v>D-ｿﾙﾋﾞﾄｰﾙ液(70%)</v>
          </cell>
          <cell r="D43">
            <v>192</v>
          </cell>
          <cell r="E43" t="str">
            <v>三井物産㈱関西支社</v>
          </cell>
        </row>
        <row r="44">
          <cell r="B44">
            <v>10011009</v>
          </cell>
          <cell r="C44" t="str">
            <v>ﾎﾟﾘｵｷｼｴﾁﾚﾝ硬化ﾋﾏｼ油60</v>
          </cell>
          <cell r="D44">
            <v>860</v>
          </cell>
          <cell r="E44" t="str">
            <v>日光ｹﾐｶﾙｽﾞ㈱</v>
          </cell>
        </row>
        <row r="45">
          <cell r="B45">
            <v>10012531</v>
          </cell>
          <cell r="C45" t="str">
            <v>ｿﾙﾌｨｯﾄ</v>
          </cell>
          <cell r="D45">
            <v>240</v>
          </cell>
          <cell r="E45" t="str">
            <v>ＣＢＣ㈱</v>
          </cell>
        </row>
        <row r="46">
          <cell r="B46">
            <v>10012623</v>
          </cell>
          <cell r="C46" t="str">
            <v>粧外規ｱﾛｴｴｷｽﾍﾞﾗ</v>
          </cell>
          <cell r="D46">
            <v>3500</v>
          </cell>
          <cell r="E46" t="str">
            <v>ｲﾜｷ㈱大阪支社</v>
          </cell>
        </row>
        <row r="47">
          <cell r="B47">
            <v>10013359</v>
          </cell>
          <cell r="C47" t="str">
            <v>ﾓﾉｹﾞﾝ Y500GK</v>
          </cell>
          <cell r="D47">
            <v>420</v>
          </cell>
          <cell r="E47" t="str">
            <v>岡畑産業㈱</v>
          </cell>
        </row>
        <row r="48">
          <cell r="B48">
            <v>10013641</v>
          </cell>
          <cell r="C48" t="str">
            <v>食用青色2号　食添</v>
          </cell>
          <cell r="D48">
            <v>14020</v>
          </cell>
          <cell r="E48" t="str">
            <v>日本ﾊﾞﾙｸ薬品㈱</v>
          </cell>
        </row>
        <row r="49">
          <cell r="B49">
            <v>10013877</v>
          </cell>
          <cell r="C49" t="str">
            <v>l-ﾒﾝﾄｰﾙ</v>
          </cell>
          <cell r="D49">
            <v>2600</v>
          </cell>
          <cell r="E49" t="str">
            <v>長岡実業㈱</v>
          </cell>
        </row>
        <row r="50">
          <cell r="B50">
            <v>10013967</v>
          </cell>
          <cell r="C50" t="str">
            <v>過ﾎｳ酸　ﾅﾄﾘｳﾑ　（ﾍﾟﾙﾎﾞﾝ　15%）</v>
          </cell>
          <cell r="D50">
            <v>196</v>
          </cell>
          <cell r="E50" t="str">
            <v>長瀬産業㈱</v>
          </cell>
        </row>
        <row r="51">
          <cell r="B51">
            <v>10013991</v>
          </cell>
          <cell r="C51" t="str">
            <v>H-3940</v>
          </cell>
          <cell r="D51">
            <v>353</v>
          </cell>
          <cell r="E51" t="str">
            <v>第一工業製薬㈱</v>
          </cell>
        </row>
        <row r="52">
          <cell r="B52">
            <v>10014167</v>
          </cell>
          <cell r="C52" t="str">
            <v>塩酸ｸﾛﾙﾍｷｼｼﾞﾝ</v>
          </cell>
          <cell r="D52">
            <v>50000</v>
          </cell>
          <cell r="E52" t="str">
            <v>ｲﾜｷ㈱大阪支社</v>
          </cell>
        </row>
        <row r="53">
          <cell r="B53">
            <v>10014169</v>
          </cell>
          <cell r="C53" t="str">
            <v>ｸﾞﾘﾁﾙﾘﾁﾝ酸ﾆｶﾘｳﾑ</v>
          </cell>
          <cell r="D53">
            <v>21900</v>
          </cell>
          <cell r="E53" t="str">
            <v>ｲﾜｷ㈱大阪支社</v>
          </cell>
        </row>
        <row r="54">
          <cell r="B54">
            <v>10014171</v>
          </cell>
          <cell r="C54" t="str">
            <v>ｸﾛﾄﾘﾏｿﾞｰﾙ</v>
          </cell>
          <cell r="D54">
            <v>31000</v>
          </cell>
          <cell r="E54" t="str">
            <v>ｲﾜｷ㈱大阪支社</v>
          </cell>
        </row>
        <row r="55">
          <cell r="B55">
            <v>10014951</v>
          </cell>
          <cell r="C55" t="str">
            <v>WS VIOLET F4B-6</v>
          </cell>
          <cell r="D55">
            <v>3000</v>
          </cell>
          <cell r="E55" t="str">
            <v>㈱大共</v>
          </cell>
        </row>
        <row r="56">
          <cell r="B56">
            <v>10014995</v>
          </cell>
          <cell r="C56" t="str">
            <v>T-KBLC　20KG</v>
          </cell>
          <cell r="D56">
            <v>305</v>
          </cell>
          <cell r="E56" t="str">
            <v>第一工業製薬㈱</v>
          </cell>
        </row>
        <row r="57">
          <cell r="B57">
            <v>10015013</v>
          </cell>
          <cell r="C57" t="str">
            <v>ﾌﾟﾛﾋﾟﾙﾊﾟﾗﾍﾞﾝ</v>
          </cell>
          <cell r="D57">
            <v>1800</v>
          </cell>
          <cell r="E57" t="str">
            <v>稲畑産業㈱</v>
          </cell>
        </row>
        <row r="58">
          <cell r="B58">
            <v>10015025</v>
          </cell>
          <cell r="C58" t="str">
            <v>ﾒﾁﾙﾊﾟﾗﾍﾞﾝ</v>
          </cell>
          <cell r="D58">
            <v>1800</v>
          </cell>
          <cell r="E58" t="str">
            <v>稲畑産業㈱</v>
          </cell>
        </row>
        <row r="59">
          <cell r="B59">
            <v>10015037</v>
          </cell>
          <cell r="C59" t="str">
            <v>酢酸　ﾄｺﾌｪﾛｰﾙ</v>
          </cell>
          <cell r="D59">
            <v>5000</v>
          </cell>
          <cell r="E59" t="str">
            <v>ｲﾜｷ㈱　大阪支社</v>
          </cell>
        </row>
        <row r="60">
          <cell r="B60">
            <v>10015047</v>
          </cell>
          <cell r="C60" t="str">
            <v>KF-96-300CS</v>
          </cell>
          <cell r="D60">
            <v>1800</v>
          </cell>
          <cell r="E60" t="str">
            <v>ｲﾜｷ㈱大阪支社</v>
          </cell>
        </row>
        <row r="61">
          <cell r="B61">
            <v>10015049</v>
          </cell>
          <cell r="C61" t="str">
            <v>MGS-DEX</v>
          </cell>
          <cell r="D61">
            <v>930</v>
          </cell>
          <cell r="E61" t="str">
            <v>日光ｹﾐｶﾙｽﾞ㈱</v>
          </cell>
        </row>
        <row r="62">
          <cell r="B62">
            <v>10015051</v>
          </cell>
          <cell r="C62" t="str">
            <v>BC-30TX粧原基</v>
          </cell>
          <cell r="D62">
            <v>920</v>
          </cell>
          <cell r="E62" t="str">
            <v>日光ｹﾐｶﾙｽﾞ㈱</v>
          </cell>
        </row>
        <row r="63">
          <cell r="B63">
            <v>10015071</v>
          </cell>
          <cell r="C63" t="str">
            <v>ｵﾘﾌﾞ油</v>
          </cell>
          <cell r="D63">
            <v>1260</v>
          </cell>
          <cell r="E63" t="str">
            <v>㈱ﾄｰﾒﾝ</v>
          </cell>
        </row>
        <row r="64">
          <cell r="B64">
            <v>10015193</v>
          </cell>
          <cell r="C64" t="str">
            <v>MGS-B</v>
          </cell>
          <cell r="D64">
            <v>865</v>
          </cell>
          <cell r="E64" t="str">
            <v>日光ｹﾐｶﾙｽﾞ㈱</v>
          </cell>
        </row>
        <row r="65">
          <cell r="B65">
            <v>10015275</v>
          </cell>
          <cell r="C65" t="str">
            <v>黄色4号</v>
          </cell>
          <cell r="D65">
            <v>4800</v>
          </cell>
          <cell r="E65" t="str">
            <v>日本ﾊﾞﾙｸ薬品㈱</v>
          </cell>
        </row>
        <row r="66">
          <cell r="B66">
            <v>10015293</v>
          </cell>
          <cell r="C66" t="str">
            <v>ﾐﾘｽﾁﾝ酸　ｲｿﾌﾟﾛﾋﾟﾙ</v>
          </cell>
          <cell r="D66">
            <v>800</v>
          </cell>
          <cell r="E66" t="str">
            <v>油化産業㈱</v>
          </cell>
        </row>
        <row r="67">
          <cell r="B67">
            <v>10015301</v>
          </cell>
          <cell r="C67" t="str">
            <v>濃ｸﾞﾘｾﾘﾝ　22KG</v>
          </cell>
          <cell r="D67">
            <v>230</v>
          </cell>
          <cell r="E67" t="str">
            <v>岡畑産業㈱</v>
          </cell>
        </row>
        <row r="68">
          <cell r="B68">
            <v>10015313</v>
          </cell>
          <cell r="C68" t="str">
            <v>ｱﾗﾝﾄｲﾝ</v>
          </cell>
          <cell r="D68">
            <v>3700</v>
          </cell>
          <cell r="E68" t="str">
            <v>日光ｹﾐｶﾙｽﾞ㈱</v>
          </cell>
        </row>
        <row r="69">
          <cell r="B69">
            <v>10015315</v>
          </cell>
          <cell r="C69" t="str">
            <v>食添銅ｸﾛﾛﾌｨﾘﾝﾅﾄﾘｳﾑ</v>
          </cell>
          <cell r="D69">
            <v>29000</v>
          </cell>
          <cell r="E69" t="str">
            <v>繁和産業㈱</v>
          </cell>
        </row>
        <row r="70">
          <cell r="B70">
            <v>10015317</v>
          </cell>
          <cell r="C70" t="str">
            <v>ﾁｵﾘｭｳｻﾝﾅﾄﾘｳﾑ</v>
          </cell>
          <cell r="D70">
            <v>109</v>
          </cell>
          <cell r="E70" t="str">
            <v>三栄化工</v>
          </cell>
        </row>
        <row r="71">
          <cell r="B71">
            <v>10015329</v>
          </cell>
          <cell r="C71" t="str">
            <v>ｲﾝﾁﾝｺｳ　抽出液　BG(別紙規格)</v>
          </cell>
          <cell r="D71">
            <v>345</v>
          </cell>
          <cell r="E71" t="str">
            <v>井上喜㈱大阪支店</v>
          </cell>
        </row>
        <row r="72">
          <cell r="B72">
            <v>10015333</v>
          </cell>
          <cell r="C72" t="str">
            <v>ｾﾁｵｰﾙ　868(外原基2)</v>
          </cell>
          <cell r="D72">
            <v>1260</v>
          </cell>
          <cell r="E72" t="str">
            <v>㈱ﾄｰﾒﾝ</v>
          </cell>
        </row>
        <row r="73">
          <cell r="B73">
            <v>10015337</v>
          </cell>
          <cell r="C73" t="str">
            <v>粧原基ｴﾏﾚｯｸｽPGMS</v>
          </cell>
          <cell r="D73">
            <v>865</v>
          </cell>
          <cell r="E73" t="str">
            <v>日光ｹﾐｶﾙｽﾞ㈱</v>
          </cell>
        </row>
        <row r="74">
          <cell r="B74">
            <v>10015341</v>
          </cell>
          <cell r="C74" t="str">
            <v>ｱﾐﾉｺｰﾄ（別紙規格）</v>
          </cell>
          <cell r="D74">
            <v>4800</v>
          </cell>
          <cell r="E74" t="str">
            <v>日本ﾊﾞﾙｸ薬品㈱</v>
          </cell>
        </row>
        <row r="75">
          <cell r="B75">
            <v>10015587</v>
          </cell>
          <cell r="C75" t="str">
            <v>ｶﾙｺｰﾙ220-80（ﾍﾞﾍﾙﾆﾙｱﾙｺｰﾙ）粧原基</v>
          </cell>
          <cell r="D75">
            <v>800</v>
          </cell>
          <cell r="E75" t="str">
            <v>油化産業㈱</v>
          </cell>
        </row>
        <row r="76">
          <cell r="B76">
            <v>10015849</v>
          </cell>
          <cell r="C76" t="str">
            <v>重質炭酸 ｶﾙｼｳﾑ　30KG</v>
          </cell>
          <cell r="D76">
            <v>17.600000000000001</v>
          </cell>
          <cell r="E76" t="str">
            <v>㈱岩田商会　大阪支店</v>
          </cell>
        </row>
        <row r="77">
          <cell r="B77">
            <v>10016437</v>
          </cell>
          <cell r="C77" t="str">
            <v>OIL YELLOW 3G　1KG</v>
          </cell>
          <cell r="D77">
            <v>1260</v>
          </cell>
          <cell r="E77" t="str">
            <v>㈱ﾄｰﾒﾝ</v>
          </cell>
        </row>
        <row r="78">
          <cell r="B78">
            <v>10017151</v>
          </cell>
          <cell r="C78" t="str">
            <v>ｲｿﾌﾟﾛﾊﾟﾉｰﾙ</v>
          </cell>
          <cell r="D78">
            <v>145</v>
          </cell>
          <cell r="E78" t="str">
            <v>㈱ﾄｰﾒﾝ</v>
          </cell>
        </row>
        <row r="79">
          <cell r="B79">
            <v>10017163</v>
          </cell>
          <cell r="C79" t="str">
            <v>ｼﾞﾌｪﾝﾋﾄﾞﾗﾐﾝ</v>
          </cell>
          <cell r="D79">
            <v>6700</v>
          </cell>
          <cell r="E79" t="str">
            <v>ｲﾜｷ㈱大阪支社</v>
          </cell>
        </row>
        <row r="80">
          <cell r="B80">
            <v>10017175</v>
          </cell>
          <cell r="C80" t="str">
            <v>ﾎﾟﾘｵｷｼｴﾁﾚﾝ(20)ﾎﾟﾘｵｷｼﾌﾟﾛﾋﾟﾚﾝ（8）ｾﾁﾙｴｰﾃﾙ</v>
          </cell>
          <cell r="D80">
            <v>1500</v>
          </cell>
          <cell r="E80" t="str">
            <v>日光ｹﾐｶﾙｽﾞ㈱</v>
          </cell>
        </row>
        <row r="81">
          <cell r="B81">
            <v>10017213</v>
          </cell>
          <cell r="C81" t="str">
            <v>塩酸ﾅﾌｧｿﾞﾘﾝ</v>
          </cell>
          <cell r="D81">
            <v>49500</v>
          </cell>
          <cell r="E81" t="str">
            <v>丸紅ｹﾐｯｸｽ㈱富山出張所</v>
          </cell>
        </row>
        <row r="82">
          <cell r="B82">
            <v>10017539</v>
          </cell>
          <cell r="C82" t="str">
            <v>ﾍﾟﾚﾃｯｸｽ　2422　17KG</v>
          </cell>
          <cell r="D82">
            <v>200</v>
          </cell>
          <cell r="E82" t="str">
            <v>長瀬産業㈱</v>
          </cell>
        </row>
        <row r="83">
          <cell r="B83">
            <v>10017915</v>
          </cell>
          <cell r="C83" t="str">
            <v>ﾍﾟﾚﾃｯｸｽ LA-40F　20KG</v>
          </cell>
          <cell r="D83">
            <v>320</v>
          </cell>
          <cell r="E83" t="str">
            <v>㈱ﾄｰﾒﾝ</v>
          </cell>
        </row>
        <row r="84">
          <cell r="B84">
            <v>10017917</v>
          </cell>
          <cell r="C84" t="str">
            <v>YKS-709S　18KG</v>
          </cell>
          <cell r="D84">
            <v>763</v>
          </cell>
          <cell r="E84" t="str">
            <v>油脂製品㈱</v>
          </cell>
        </row>
        <row r="85">
          <cell r="B85">
            <v>10018383</v>
          </cell>
          <cell r="C85" t="str">
            <v>T.Citrus　95003</v>
          </cell>
          <cell r="D85">
            <v>1700</v>
          </cell>
          <cell r="E85" t="str">
            <v>稲畑香料㈱</v>
          </cell>
        </row>
        <row r="86">
          <cell r="B86">
            <v>10018391</v>
          </cell>
          <cell r="C86" t="str">
            <v>T.Lavender　95295　香料　180KG</v>
          </cell>
          <cell r="D86">
            <v>1680</v>
          </cell>
          <cell r="E86" t="str">
            <v>稲畑香料㈱</v>
          </cell>
        </row>
        <row r="87">
          <cell r="B87">
            <v>10019009</v>
          </cell>
          <cell r="C87" t="str">
            <v>精製ｶﾝｿﾞｳｴｷｽ末</v>
          </cell>
          <cell r="D87">
            <v>6550</v>
          </cell>
          <cell r="E87" t="str">
            <v>不二化学薬品㈱</v>
          </cell>
        </row>
        <row r="88">
          <cell r="B88">
            <v>10019119</v>
          </cell>
          <cell r="C88" t="str">
            <v>B.D.W.　94884　15KG　</v>
          </cell>
          <cell r="D88">
            <v>1600</v>
          </cell>
          <cell r="E88" t="str">
            <v>稲畑香料㈱</v>
          </cell>
        </row>
        <row r="89">
          <cell r="B89">
            <v>10019123</v>
          </cell>
          <cell r="C89" t="str">
            <v>PEG-6000(ﾌﾚｰｸ)　20KG</v>
          </cell>
          <cell r="D89">
            <v>247</v>
          </cell>
          <cell r="E89" t="str">
            <v>第一工業製薬㈱</v>
          </cell>
        </row>
        <row r="90">
          <cell r="B90">
            <v>10019437</v>
          </cell>
          <cell r="C90" t="str">
            <v>ﾘﾄﾞｶｲﾝ</v>
          </cell>
          <cell r="D90">
            <v>7000</v>
          </cell>
          <cell r="E90" t="str">
            <v>稲畑産業㈱</v>
          </cell>
        </row>
        <row r="91">
          <cell r="B91">
            <v>10019929</v>
          </cell>
          <cell r="C91" t="str">
            <v>ｼﾘｺﾝ AF-108　10KG</v>
          </cell>
          <cell r="D91">
            <v>2090</v>
          </cell>
          <cell r="E91" t="str">
            <v>日本ﾊﾞﾙｸ薬品㈱</v>
          </cell>
        </row>
        <row r="92">
          <cell r="B92">
            <v>10019929</v>
          </cell>
          <cell r="C92" t="str">
            <v>ｼﾘｺﾝ　AF-108　10KG</v>
          </cell>
          <cell r="D92">
            <v>2090</v>
          </cell>
          <cell r="E92" t="str">
            <v>日本ﾊﾞﾙｸ薬品㈱</v>
          </cell>
        </row>
        <row r="93">
          <cell r="B93">
            <v>10019991</v>
          </cell>
          <cell r="C93" t="str">
            <v>重曹　M　25KG</v>
          </cell>
          <cell r="D93">
            <v>56</v>
          </cell>
          <cell r="E93" t="str">
            <v>ｲﾜｷ㈱大阪支社</v>
          </cell>
        </row>
        <row r="94">
          <cell r="B94">
            <v>10020309</v>
          </cell>
          <cell r="C94" t="str">
            <v>H-3901</v>
          </cell>
          <cell r="D94">
            <v>250</v>
          </cell>
          <cell r="E94" t="str">
            <v>岡畑産業㈱</v>
          </cell>
        </row>
        <row r="95">
          <cell r="B95">
            <v>10020377</v>
          </cell>
          <cell r="C95" t="str">
            <v>無水ｸｴﾝ酸</v>
          </cell>
          <cell r="D95">
            <v>763</v>
          </cell>
          <cell r="E95" t="str">
            <v>油脂製品㈱</v>
          </cell>
        </row>
        <row r="96">
          <cell r="B96">
            <v>10020511</v>
          </cell>
          <cell r="C96" t="str">
            <v>NACCONOL　90G　90.72KG</v>
          </cell>
          <cell r="D96">
            <v>395</v>
          </cell>
          <cell r="E96" t="str">
            <v>巴工業㈱</v>
          </cell>
        </row>
        <row r="97">
          <cell r="B97">
            <v>10020547</v>
          </cell>
          <cell r="C97" t="str">
            <v>ﾗﾀﾉｰﾙ　LAL　113.4KG</v>
          </cell>
          <cell r="D97">
            <v>650</v>
          </cell>
          <cell r="E97" t="str">
            <v>巴工業㈱</v>
          </cell>
        </row>
        <row r="98">
          <cell r="B98">
            <v>10020549</v>
          </cell>
          <cell r="C98" t="str">
            <v>芒硝ＡＯＰ　30KG（滋賀）</v>
          </cell>
          <cell r="D98">
            <v>69.3</v>
          </cell>
          <cell r="E98" t="str">
            <v>㈱ﾄｰﾒﾝ</v>
          </cell>
        </row>
        <row r="99">
          <cell r="B99">
            <v>10020553</v>
          </cell>
          <cell r="C99" t="str">
            <v>ｿｰﾀﾞﾊﾞｲ（ｹｲﾊﾞｲ）ｼｮｸﾃﾝ　25KG（滋賀）</v>
          </cell>
          <cell r="D99">
            <v>40</v>
          </cell>
          <cell r="E99" t="str">
            <v>ｲﾜｷ㈱大阪支社</v>
          </cell>
        </row>
        <row r="100">
          <cell r="B100">
            <v>10020603</v>
          </cell>
          <cell r="C100" t="str">
            <v>ﾄｳﾓﾛｺｼﾃﾞﾝﾌﾟﾝ</v>
          </cell>
          <cell r="D100">
            <v>274</v>
          </cell>
          <cell r="E100" t="str">
            <v>日澱化学㈱</v>
          </cell>
        </row>
        <row r="101">
          <cell r="B101">
            <v>10020765</v>
          </cell>
          <cell r="C101" t="str">
            <v>ﾋﾟﾛﾘﾝ酸ｿｰﾀﾞ　25KG</v>
          </cell>
          <cell r="D101">
            <v>266</v>
          </cell>
          <cell r="E101" t="str">
            <v>ｲﾜｷ㈱大阪支社</v>
          </cell>
        </row>
        <row r="102">
          <cell r="B102">
            <v>10020819</v>
          </cell>
          <cell r="C102" t="str">
            <v>ﾌﾚｰﾊﾞｰｱｯﾌﾟ　10KG</v>
          </cell>
          <cell r="D102">
            <v>10818</v>
          </cell>
          <cell r="E102" t="str">
            <v>高砂香料工業㈱</v>
          </cell>
        </row>
        <row r="103">
          <cell r="B103">
            <v>10020821</v>
          </cell>
          <cell r="C103" t="str">
            <v>ｵｷｿﾝ　25KG</v>
          </cell>
          <cell r="D103">
            <v>255</v>
          </cell>
          <cell r="E103" t="str">
            <v>ﾃﾞｭﾎﾟﾝ㈱</v>
          </cell>
        </row>
        <row r="104">
          <cell r="B104">
            <v>10021045</v>
          </cell>
          <cell r="C104" t="str">
            <v>ﾚﾊﾞﾅｯｸｽ　BS-3　18KG</v>
          </cell>
          <cell r="D104">
            <v>1370</v>
          </cell>
          <cell r="E104" t="str">
            <v>丸善薬品産業㈱</v>
          </cell>
        </row>
        <row r="105">
          <cell r="B105">
            <v>10023303</v>
          </cell>
          <cell r="C105" t="str">
            <v>ｴﾎﾟﾘｵﾝ KOB-633　20KG</v>
          </cell>
          <cell r="D105">
            <v>915</v>
          </cell>
          <cell r="E105" t="str">
            <v>新ｴﾎﾟﾘｵﾝ㈱</v>
          </cell>
        </row>
        <row r="106">
          <cell r="B106">
            <v>10023305</v>
          </cell>
          <cell r="C106" t="str">
            <v>ｻﾝﾉﾆｯｸ　SS-90　18KG</v>
          </cell>
          <cell r="D106">
            <v>269</v>
          </cell>
          <cell r="E106" t="str">
            <v>三洋化成工業㈱</v>
          </cell>
        </row>
        <row r="107">
          <cell r="B107">
            <v>10024303</v>
          </cell>
          <cell r="C107" t="str">
            <v>精製水</v>
          </cell>
          <cell r="D107">
            <v>0</v>
          </cell>
          <cell r="E107" t="str">
            <v>なし</v>
          </cell>
        </row>
        <row r="108">
          <cell r="B108">
            <v>10024305</v>
          </cell>
          <cell r="C108" t="str">
            <v>精製水　保管出納記録にださない1L</v>
          </cell>
          <cell r="D108">
            <v>0</v>
          </cell>
          <cell r="E108" t="str">
            <v>なし</v>
          </cell>
        </row>
        <row r="109">
          <cell r="B109">
            <v>10024333</v>
          </cell>
          <cell r="C109" t="str">
            <v>ｽﾙﾌｧﾐﾝ酸　G　25KG</v>
          </cell>
          <cell r="D109">
            <v>122.5</v>
          </cell>
          <cell r="E109" t="str">
            <v>日星産業㈱</v>
          </cell>
        </row>
        <row r="110">
          <cell r="B110">
            <v>10024445</v>
          </cell>
          <cell r="C110" t="str">
            <v>RCW-80　18KG</v>
          </cell>
          <cell r="D110">
            <v>500</v>
          </cell>
          <cell r="E110" t="str">
            <v>大阪油脂工業㈱</v>
          </cell>
        </row>
        <row r="111">
          <cell r="B111">
            <v>10024505</v>
          </cell>
          <cell r="C111" t="str">
            <v>青色2号ｱﾙﾐﾆｳﾑﾚｰｷ　5KG</v>
          </cell>
          <cell r="D111">
            <v>7020</v>
          </cell>
          <cell r="E111" t="str">
            <v>日本ﾊﾞﾙｸ薬品㈱</v>
          </cell>
        </row>
        <row r="112">
          <cell r="B112">
            <v>10024507</v>
          </cell>
          <cell r="C112" t="str">
            <v>青色1号（食添）　5KG</v>
          </cell>
          <cell r="D112">
            <v>12520</v>
          </cell>
          <cell r="E112" t="str">
            <v>日本ﾊﾞﾙｸ薬品㈱</v>
          </cell>
        </row>
        <row r="113">
          <cell r="B113">
            <v>10024695</v>
          </cell>
          <cell r="C113" t="str">
            <v>ﾋﾞｵﾌﾟﾗｰｾﾞ SP-15FG　8KG</v>
          </cell>
          <cell r="D113">
            <v>3300</v>
          </cell>
          <cell r="E113" t="str">
            <v>長瀬産業㈱</v>
          </cell>
        </row>
        <row r="114">
          <cell r="B114">
            <v>10025038</v>
          </cell>
          <cell r="C114" t="str">
            <v>ﾘﾄﾞｶｲﾝ　前処理品（5%）</v>
          </cell>
          <cell r="D114">
            <v>0</v>
          </cell>
          <cell r="E114">
            <v>0</v>
          </cell>
        </row>
        <row r="115">
          <cell r="B115">
            <v>10025999</v>
          </cell>
          <cell r="C115" t="str">
            <v>塩化ﾍﾞﾝｾﾞﾄﾆｳﾑ</v>
          </cell>
          <cell r="D115">
            <v>6000</v>
          </cell>
          <cell r="E115" t="str">
            <v>ｲﾜｷ㈱大阪支社</v>
          </cell>
        </row>
        <row r="116">
          <cell r="B116">
            <v>10026666</v>
          </cell>
          <cell r="C116" t="str">
            <v>＃新ｷｽﾞﾄﾞﾗｲ　粉末層</v>
          </cell>
          <cell r="D116">
            <v>0</v>
          </cell>
          <cell r="E116">
            <v>0</v>
          </cell>
        </row>
        <row r="117">
          <cell r="B117">
            <v>10026737</v>
          </cell>
          <cell r="C117" t="str">
            <v>ｽﾃｱﾘﾝ酸ﾏｸﾞﾈｼｳﾑ（局方）10KG（滋賀）</v>
          </cell>
          <cell r="D117">
            <v>480</v>
          </cell>
          <cell r="E117" t="str">
            <v>長瀬産業㈱</v>
          </cell>
        </row>
        <row r="118">
          <cell r="B118">
            <v>10027513</v>
          </cell>
          <cell r="C118" t="str">
            <v>ｴﾎﾟﾘｵﾝ KOB-729</v>
          </cell>
          <cell r="D118">
            <v>805</v>
          </cell>
          <cell r="E118" t="str">
            <v>新ｴﾎﾟﾘｵﾝ㈱</v>
          </cell>
        </row>
        <row r="119">
          <cell r="B119">
            <v>10027747</v>
          </cell>
          <cell r="C119" t="str">
            <v>Peractive　AN　25KG</v>
          </cell>
          <cell r="D119">
            <v>830</v>
          </cell>
          <cell r="E119" t="str">
            <v>比果産業㈱</v>
          </cell>
        </row>
        <row r="120">
          <cell r="B120">
            <v>10028133</v>
          </cell>
          <cell r="C120" t="str">
            <v>ｸﾞﾘﾁﾙﾚﾁﾝ酸(局外規)</v>
          </cell>
          <cell r="D120">
            <v>76000</v>
          </cell>
          <cell r="E120" t="str">
            <v>ｲﾜｷ㈱大阪支社</v>
          </cell>
        </row>
        <row r="121">
          <cell r="B121">
            <v>10028135</v>
          </cell>
          <cell r="C121" t="str">
            <v>ﾌﾞﾌｪｷｻﾏｸ</v>
          </cell>
          <cell r="D121">
            <v>41300</v>
          </cell>
          <cell r="E121" t="str">
            <v>繁和産業㈱</v>
          </cell>
        </row>
        <row r="122">
          <cell r="B122">
            <v>10028137</v>
          </cell>
          <cell r="C122" t="str">
            <v>ｷｻﾝﾀﾝｶﾞﾑ</v>
          </cell>
          <cell r="D122">
            <v>4300</v>
          </cell>
          <cell r="E122" t="str">
            <v>五協産業㈱</v>
          </cell>
        </row>
        <row r="123">
          <cell r="B123">
            <v>10028139</v>
          </cell>
          <cell r="C123" t="str">
            <v>2-ｴﾁﾙﾍｷｻﾝ酸ｾﾁﾙ</v>
          </cell>
          <cell r="D123">
            <v>1000</v>
          </cell>
          <cell r="E123" t="str">
            <v>日光ｹﾐｶﾙｽﾞ㈱</v>
          </cell>
        </row>
        <row r="124">
          <cell r="B124">
            <v>10028141</v>
          </cell>
          <cell r="C124" t="str">
            <v>ﾒﾁﾙﾎﾟﾘｼﾛｷｻﾝ</v>
          </cell>
          <cell r="D124">
            <v>1500</v>
          </cell>
          <cell r="E124" t="str">
            <v>ｺﾆｼ㈱</v>
          </cell>
        </row>
        <row r="125">
          <cell r="B125">
            <v>10028143</v>
          </cell>
          <cell r="C125" t="str">
            <v>含水二酸化ｹｲ素</v>
          </cell>
          <cell r="D125">
            <v>9700</v>
          </cell>
          <cell r="E125" t="str">
            <v>富士ｼﾘｼｱ化学㈱</v>
          </cell>
        </row>
        <row r="126">
          <cell r="B126">
            <v>10028145</v>
          </cell>
          <cell r="C126" t="str">
            <v>ﾊﾟﾗｵｷｼ安息香酸ﾒﾁﾙ</v>
          </cell>
          <cell r="D126">
            <v>1800</v>
          </cell>
          <cell r="E126" t="str">
            <v>稲畑産業㈱</v>
          </cell>
        </row>
        <row r="127">
          <cell r="B127">
            <v>10028147</v>
          </cell>
          <cell r="C127" t="str">
            <v>ﾗｳﾛﾏｸﾛｺﾞｰﾙ</v>
          </cell>
          <cell r="D127">
            <v>1300</v>
          </cell>
          <cell r="E127" t="str">
            <v>日光ｹﾐｶﾙｽﾞ㈱</v>
          </cell>
        </row>
        <row r="128">
          <cell r="B128">
            <v>10028469</v>
          </cell>
          <cell r="C128" t="str">
            <v>ﾎﾟﾘｿﾙﾍﾞｰﾄ　80　TW-0120</v>
          </cell>
          <cell r="D128">
            <v>710</v>
          </cell>
          <cell r="E128" t="str">
            <v>長瀬産業㈱</v>
          </cell>
        </row>
        <row r="129">
          <cell r="B129">
            <v>10028469</v>
          </cell>
          <cell r="C129" t="str">
            <v>ﾎﾟﾘｿﾙﾍﾞｰﾄ80TW-0120</v>
          </cell>
          <cell r="D129">
            <v>710</v>
          </cell>
          <cell r="E129" t="str">
            <v>長瀬産業㈱</v>
          </cell>
        </row>
        <row r="130">
          <cell r="B130">
            <v>10028471</v>
          </cell>
          <cell r="C130" t="str">
            <v>ｱﾐﾉｴﾁﾙｽﾙﾎﾝ酸(ﾀｳﾘﾝ)</v>
          </cell>
          <cell r="D130">
            <v>2200</v>
          </cell>
          <cell r="E130" t="str">
            <v>長瀬産業㈱</v>
          </cell>
        </row>
        <row r="131">
          <cell r="B131">
            <v>10028473</v>
          </cell>
          <cell r="C131" t="str">
            <v>ｲﾌﾟｼﾛﾝ-ｱﾐﾉｶﾌﾟﾛﾝ酸</v>
          </cell>
          <cell r="D131">
            <v>11200</v>
          </cell>
          <cell r="E131" t="str">
            <v>科研ﾌｧﾙﾏ㈱</v>
          </cell>
        </row>
        <row r="132">
          <cell r="B132">
            <v>10028475</v>
          </cell>
          <cell r="C132" t="str">
            <v>ﾎｳ酸</v>
          </cell>
          <cell r="D132">
            <v>630</v>
          </cell>
          <cell r="E132" t="str">
            <v>長瀬産業㈱</v>
          </cell>
        </row>
        <row r="133">
          <cell r="B133">
            <v>10028477</v>
          </cell>
          <cell r="C133" t="str">
            <v>ﾎｳ砂</v>
          </cell>
          <cell r="D133">
            <v>620</v>
          </cell>
          <cell r="E133" t="str">
            <v>長瀬産業㈱</v>
          </cell>
        </row>
        <row r="134">
          <cell r="B134">
            <v>10028611</v>
          </cell>
          <cell r="C134" t="str">
            <v>ｻﾝﾉﾆｯｸ　SS　120</v>
          </cell>
          <cell r="D134">
            <v>269</v>
          </cell>
          <cell r="E134" t="str">
            <v>三洋化成工業㈱</v>
          </cell>
        </row>
        <row r="135">
          <cell r="B135">
            <v>10028763</v>
          </cell>
          <cell r="C135" t="str">
            <v>塩化ﾍﾞﾝｻﾞﾙｺﾆｳﾑ</v>
          </cell>
          <cell r="D135">
            <v>2500</v>
          </cell>
          <cell r="E135" t="str">
            <v>繁和産業㈱</v>
          </cell>
        </row>
        <row r="136">
          <cell r="B136">
            <v>10029035</v>
          </cell>
          <cell r="C136" t="str">
            <v>ｾﾞﾗﾁﾝ</v>
          </cell>
          <cell r="D136">
            <v>2630</v>
          </cell>
          <cell r="E136" t="str">
            <v>吉比化成㈱</v>
          </cell>
        </row>
        <row r="137">
          <cell r="B137">
            <v>10029159</v>
          </cell>
          <cell r="C137" t="str">
            <v>ｻｲﾘｼｱ　350</v>
          </cell>
          <cell r="D137">
            <v>1150</v>
          </cell>
          <cell r="E137" t="str">
            <v>富士ｼﾘｼｱ化学㈱</v>
          </cell>
        </row>
        <row r="138">
          <cell r="B138">
            <v>10029225</v>
          </cell>
          <cell r="C138" t="str">
            <v>ｴﾏﾙﾐﾝ NL-110</v>
          </cell>
          <cell r="D138">
            <v>295</v>
          </cell>
          <cell r="E138" t="str">
            <v>三洋化成工業㈱</v>
          </cell>
        </row>
        <row r="139">
          <cell r="B139">
            <v>10029427</v>
          </cell>
          <cell r="C139" t="str">
            <v>L-ﾒﾝﾄｰﾙ(ｽｰﾊﾟｰﾒﾝﾄｰﾙ　3003)</v>
          </cell>
          <cell r="D139">
            <v>6000</v>
          </cell>
          <cell r="E139" t="str">
            <v>長岡実業㈱</v>
          </cell>
        </row>
        <row r="140">
          <cell r="B140">
            <v>10029465</v>
          </cell>
          <cell r="C140" t="str">
            <v>ﾚﾎﾞﾝLD-36　17KG</v>
          </cell>
          <cell r="D140">
            <v>440</v>
          </cell>
          <cell r="E140" t="str">
            <v>三洋化成工業㈱</v>
          </cell>
        </row>
        <row r="141">
          <cell r="B141">
            <v>10029699</v>
          </cell>
          <cell r="C141" t="str">
            <v>L-ﾒﾝﾄｰﾙ</v>
          </cell>
          <cell r="D141">
            <v>2600</v>
          </cell>
          <cell r="E141" t="str">
            <v>長岡実業㈱</v>
          </cell>
        </row>
        <row r="142">
          <cell r="B142">
            <v>10030221</v>
          </cell>
          <cell r="C142" t="str">
            <v>ｼﾘｺｰﾝ　BY16-878　18KG</v>
          </cell>
          <cell r="D142">
            <v>1800</v>
          </cell>
          <cell r="E142" t="str">
            <v>繁和産業㈱</v>
          </cell>
        </row>
        <row r="143">
          <cell r="B143">
            <v>10030519</v>
          </cell>
          <cell r="C143" t="str">
            <v>ﾋﾟｭﾘｴｰﾙKWS　18KG</v>
          </cell>
          <cell r="D143">
            <v>2000</v>
          </cell>
          <cell r="E143" t="str">
            <v>ｴｱ・ｳｫｰﾀｰ・ｿﾞﾙ㈱</v>
          </cell>
        </row>
        <row r="144">
          <cell r="B144">
            <v>10031029</v>
          </cell>
          <cell r="C144" t="str">
            <v>ｼｰｿｰﾌﾟ 704　10KG</v>
          </cell>
          <cell r="D144">
            <v>4850</v>
          </cell>
          <cell r="E144" t="str">
            <v>白石ｶﾙｼｳﾑ㈱</v>
          </cell>
        </row>
        <row r="145">
          <cell r="B145">
            <v>10031057</v>
          </cell>
          <cell r="C145" t="str">
            <v>RCW-60　18KG</v>
          </cell>
          <cell r="D145">
            <v>500</v>
          </cell>
          <cell r="E145" t="str">
            <v>大阪油脂工業㈱</v>
          </cell>
        </row>
        <row r="146">
          <cell r="B146">
            <v>10031259</v>
          </cell>
          <cell r="C146" t="str">
            <v>ｽｰﾊﾟｰﾋﾟｭﾘｴｰﾙ A-10</v>
          </cell>
          <cell r="D146">
            <v>1500</v>
          </cell>
          <cell r="E146" t="str">
            <v>稲畑産業㈱</v>
          </cell>
        </row>
        <row r="147">
          <cell r="B147">
            <v>10031265</v>
          </cell>
          <cell r="C147" t="str">
            <v>ANTARA 430</v>
          </cell>
          <cell r="D147">
            <v>1700</v>
          </cell>
          <cell r="E147" t="str">
            <v>五協産業㈱</v>
          </cell>
        </row>
        <row r="148">
          <cell r="B148">
            <v>10031285</v>
          </cell>
          <cell r="C148" t="str">
            <v>HERB　MINT　KT-6272　180KG</v>
          </cell>
          <cell r="D148">
            <v>1740</v>
          </cell>
          <cell r="E148" t="str">
            <v>高砂香料工業㈱</v>
          </cell>
        </row>
        <row r="149">
          <cell r="B149">
            <v>10031337</v>
          </cell>
          <cell r="C149" t="str">
            <v>ｴﾊﾞﾗｰｾﾞ</v>
          </cell>
          <cell r="D149">
            <v>1884</v>
          </cell>
          <cell r="E149" t="str">
            <v>長瀬産業㈱</v>
          </cell>
        </row>
        <row r="150">
          <cell r="B150">
            <v>10031627</v>
          </cell>
          <cell r="C150" t="str">
            <v>MINT　6B24108/L</v>
          </cell>
          <cell r="D150">
            <v>4400</v>
          </cell>
          <cell r="E150" t="str">
            <v>小川香料㈱</v>
          </cell>
        </row>
        <row r="151">
          <cell r="B151">
            <v>10031665</v>
          </cell>
          <cell r="C151" t="str">
            <v>ﾅﾛｱｸﾃｨN-95(17KG)</v>
          </cell>
          <cell r="D151">
            <v>267</v>
          </cell>
          <cell r="E151" t="str">
            <v>三洋化成工業㈱</v>
          </cell>
        </row>
        <row r="152">
          <cell r="B152">
            <v>10031875</v>
          </cell>
          <cell r="C152" t="str">
            <v>RS-LAVENDER　98277</v>
          </cell>
          <cell r="D152">
            <v>2330</v>
          </cell>
          <cell r="E152" t="str">
            <v>稲畑香料㈱</v>
          </cell>
        </row>
        <row r="153">
          <cell r="B153">
            <v>10032013</v>
          </cell>
          <cell r="C153" t="str">
            <v>(99-9)ｵﾍﾔﾉｼｮｳｼｭｳｹﾞﾝ　ﾊｰﾌﾞ　ﾖｳ　ST.MORITZ　N61162T</v>
          </cell>
          <cell r="D153">
            <v>2040</v>
          </cell>
          <cell r="E153" t="str">
            <v>ｼﾑﾗｲｽﾞ㈱</v>
          </cell>
        </row>
        <row r="154">
          <cell r="B154">
            <v>10032021</v>
          </cell>
          <cell r="C154" t="str">
            <v>ｸｴﾝ酸（無水）FG16/40　25KG</v>
          </cell>
          <cell r="D154">
            <v>167</v>
          </cell>
          <cell r="E154" t="str">
            <v>ｲﾜｷ㈱大阪支社</v>
          </cell>
        </row>
        <row r="155">
          <cell r="B155">
            <v>10032409</v>
          </cell>
          <cell r="C155" t="str">
            <v>局方　ﾌﾟﾛﾋﾟﾚﾝｸﾞﾘｺｰﾙ(18KG)</v>
          </cell>
          <cell r="D155">
            <v>178</v>
          </cell>
          <cell r="E155" t="str">
            <v>繁和産業㈱</v>
          </cell>
        </row>
        <row r="156">
          <cell r="B156">
            <v>10033043</v>
          </cell>
          <cell r="C156" t="str">
            <v>白糖(末)</v>
          </cell>
          <cell r="D156">
            <v>670</v>
          </cell>
          <cell r="E156" t="str">
            <v>ｲﾜｷ㈱大阪支社</v>
          </cell>
        </row>
        <row r="157">
          <cell r="B157">
            <v>10033045</v>
          </cell>
          <cell r="C157" t="str">
            <v>(99-12)ｼｮｸﾖｳﾒﾛﾝB</v>
          </cell>
          <cell r="D157">
            <v>11000</v>
          </cell>
          <cell r="E157" t="str">
            <v>日本ﾊﾞﾙｸ薬品㈱</v>
          </cell>
        </row>
        <row r="158">
          <cell r="B158">
            <v>10033065</v>
          </cell>
          <cell r="C158" t="str">
            <v>(99-12)EM BLUE　2G</v>
          </cell>
          <cell r="D158">
            <v>1250</v>
          </cell>
          <cell r="E158" t="str">
            <v>㈱大共</v>
          </cell>
        </row>
        <row r="159">
          <cell r="B159">
            <v>10033581</v>
          </cell>
          <cell r="C159" t="str">
            <v>HAKUTO　KT-6055　180KG</v>
          </cell>
          <cell r="D159">
            <v>2120</v>
          </cell>
          <cell r="E159" t="str">
            <v>高砂香料工業㈱</v>
          </cell>
        </row>
        <row r="160">
          <cell r="B160">
            <v>10033925</v>
          </cell>
          <cell r="C160" t="str">
            <v>ｸﾞﾘｵｷｼﾙ酸　250KG</v>
          </cell>
          <cell r="D160">
            <v>415</v>
          </cell>
          <cell r="E160" t="str">
            <v>長瀬産業㈱</v>
          </cell>
        </row>
        <row r="161">
          <cell r="B161">
            <v>10034317</v>
          </cell>
          <cell r="C161" t="str">
            <v>中性無水芒硝　C品　30kg</v>
          </cell>
          <cell r="D161">
            <v>64</v>
          </cell>
          <cell r="E161" t="str">
            <v>ｲﾜｷ㈱大阪支社</v>
          </cell>
        </row>
        <row r="162">
          <cell r="B162">
            <v>10035931</v>
          </cell>
          <cell r="C162" t="str">
            <v>T.PEACH　KB　200　180KG</v>
          </cell>
          <cell r="D162">
            <v>1700</v>
          </cell>
          <cell r="E162" t="str">
            <v>稲畑香料㈱</v>
          </cell>
        </row>
        <row r="163">
          <cell r="B163">
            <v>10036077</v>
          </cell>
          <cell r="C163" t="str">
            <v>白色ﾜｾﾘﾝ（部外用品）</v>
          </cell>
          <cell r="D163">
            <v>278</v>
          </cell>
          <cell r="E163" t="str">
            <v>CBC㈱</v>
          </cell>
        </row>
        <row r="164">
          <cell r="B164">
            <v>10036267</v>
          </cell>
          <cell r="C164" t="str">
            <v>ｽﾃﾌｧﾉｰﾙ　ME-DRY</v>
          </cell>
          <cell r="D164">
            <v>335</v>
          </cell>
          <cell r="E164" t="str">
            <v>巴工業㈱</v>
          </cell>
        </row>
        <row r="165">
          <cell r="B165">
            <v>10036359</v>
          </cell>
          <cell r="C165" t="str">
            <v>ﾘﾎﾟﾗﾝ　PJ400</v>
          </cell>
          <cell r="D165">
            <v>710</v>
          </cell>
          <cell r="E165" t="str">
            <v>㈱ﾄｰﾒﾝ</v>
          </cell>
        </row>
        <row r="166">
          <cell r="B166">
            <v>10037775</v>
          </cell>
          <cell r="C166" t="str">
            <v>塩化ﾍﾞﾝｾﾞﾄﾆｳﾑ部外品用</v>
          </cell>
          <cell r="D166">
            <v>3600</v>
          </cell>
          <cell r="E166" t="str">
            <v>ﾛﾝｻﾞｼﾞｬﾊﾟﾝ㈱</v>
          </cell>
        </row>
        <row r="167">
          <cell r="B167">
            <v>10037925</v>
          </cell>
          <cell r="C167" t="str">
            <v>1,3-ﾌﾞﾁﾚﾝｸﾞﾘｺｰﾙ</v>
          </cell>
          <cell r="D167">
            <v>490</v>
          </cell>
          <cell r="E167" t="str">
            <v>ｲﾜｷ㈱大阪支社</v>
          </cell>
        </row>
        <row r="168">
          <cell r="B168">
            <v>10037927</v>
          </cell>
          <cell r="C168" t="str">
            <v>ﾓﾉﾗｳﾘﾝ酸ｿﾙﾋﾞﾀﾝ</v>
          </cell>
          <cell r="D168">
            <v>910</v>
          </cell>
          <cell r="E168" t="str">
            <v>日光ｹﾐｶﾙｽﾞ㈱</v>
          </cell>
        </row>
        <row r="169">
          <cell r="B169">
            <v>10037931</v>
          </cell>
          <cell r="C169" t="str">
            <v>ﾎﾟﾘｵｷｼｴﾁﾚﾝ硬化ﾋﾏｼ油60</v>
          </cell>
          <cell r="D169">
            <v>790</v>
          </cell>
          <cell r="E169" t="str">
            <v>長瀬産業㈱</v>
          </cell>
        </row>
        <row r="170">
          <cell r="B170">
            <v>10038045</v>
          </cell>
          <cell r="C170" t="str">
            <v>ﾁﾔ乾留液　粒配基</v>
          </cell>
          <cell r="D170">
            <v>6600</v>
          </cell>
          <cell r="E170" t="str">
            <v>高砂香料工業㈱</v>
          </cell>
        </row>
        <row r="171">
          <cell r="B171">
            <v>10038047</v>
          </cell>
          <cell r="C171" t="str">
            <v>FRAGRANCE　FRE-2512</v>
          </cell>
          <cell r="D171">
            <v>10000</v>
          </cell>
          <cell r="E171" t="str">
            <v>高砂香料工業㈱</v>
          </cell>
        </row>
        <row r="172">
          <cell r="B172">
            <v>10038087</v>
          </cell>
          <cell r="C172" t="str">
            <v>ﾋﾄﾞﾛｷｼｴﾁﾙｾﾙﾛｰｽ粧原基</v>
          </cell>
          <cell r="D172">
            <v>1600</v>
          </cell>
          <cell r="E172" t="str">
            <v>ﾀﾞｲｾﾙ化学工業㈱</v>
          </cell>
        </row>
        <row r="173">
          <cell r="B173">
            <v>10038157</v>
          </cell>
          <cell r="C173" t="str">
            <v>ｱｸﾁﾉｰﾙ F-15　18ｋｇ</v>
          </cell>
          <cell r="D173">
            <v>270</v>
          </cell>
          <cell r="E173" t="str">
            <v>松本油脂製薬㈱</v>
          </cell>
        </row>
        <row r="174">
          <cell r="B174">
            <v>10038451</v>
          </cell>
          <cell r="C174" t="str">
            <v>Acid RhodaminB</v>
          </cell>
          <cell r="D174">
            <v>17000</v>
          </cell>
          <cell r="E174" t="str">
            <v>日本ﾊﾞﾙｸ薬品㈱</v>
          </cell>
        </row>
        <row r="175">
          <cell r="B175">
            <v>10038911</v>
          </cell>
          <cell r="C175" t="str">
            <v>ｼﾘｺﾝ樹脂</v>
          </cell>
          <cell r="D175">
            <v>15555.56</v>
          </cell>
          <cell r="E175" t="str">
            <v>長瀬産業㈱</v>
          </cell>
        </row>
        <row r="176">
          <cell r="B176">
            <v>10039591</v>
          </cell>
          <cell r="C176" t="str">
            <v>一般99度合成級ｱﾙｺｰﾙ　200L</v>
          </cell>
          <cell r="D176">
            <v>133</v>
          </cell>
          <cell r="E176" t="str">
            <v>金剛薬品㈱</v>
          </cell>
        </row>
        <row r="177">
          <cell r="B177">
            <v>10040783</v>
          </cell>
          <cell r="C177" t="str">
            <v>WATER BLUE 9　1KG</v>
          </cell>
          <cell r="D177">
            <v>7200</v>
          </cell>
          <cell r="E177" t="str">
            <v>日本ﾊﾞﾙｸ薬品㈱</v>
          </cell>
        </row>
        <row r="178">
          <cell r="B178">
            <v>10040803</v>
          </cell>
          <cell r="C178" t="str">
            <v>ﾐﾝﾄ　6B24767/A</v>
          </cell>
          <cell r="D178">
            <v>3560</v>
          </cell>
          <cell r="E178" t="str">
            <v>小川香料㈱</v>
          </cell>
        </row>
        <row r="179">
          <cell r="B179">
            <v>10041075</v>
          </cell>
          <cell r="C179" t="str">
            <v>ｄ-ﾎﾞﾙﾈｵｰﾙ(01/07)</v>
          </cell>
          <cell r="D179">
            <v>11000</v>
          </cell>
          <cell r="E179" t="str">
            <v>長岡実業㈱</v>
          </cell>
        </row>
        <row r="180">
          <cell r="B180">
            <v>10042807</v>
          </cell>
          <cell r="C180" t="str">
            <v>DKｴｽﾃﾙF-20W　15ｋｇ</v>
          </cell>
          <cell r="D180">
            <v>1300</v>
          </cell>
          <cell r="E180" t="str">
            <v>第一工業製薬㈱</v>
          </cell>
        </row>
        <row r="181">
          <cell r="B181">
            <v>10042811</v>
          </cell>
          <cell r="C181" t="str">
            <v>ｷﾄﾘｺﾞC　15ｋｇ</v>
          </cell>
          <cell r="D181">
            <v>38000</v>
          </cell>
          <cell r="E181" t="str">
            <v>CBC㈱</v>
          </cell>
        </row>
        <row r="182">
          <cell r="B182">
            <v>10042815</v>
          </cell>
          <cell r="C182" t="str">
            <v>ｱﾋﾞｾﾙFD-101　10ｋｇ</v>
          </cell>
          <cell r="D182">
            <v>870</v>
          </cell>
          <cell r="E182" t="str">
            <v>長瀬産業㈱</v>
          </cell>
        </row>
        <row r="183">
          <cell r="B183">
            <v>10042819</v>
          </cell>
          <cell r="C183" t="str">
            <v>TP-9　10ｋｇ</v>
          </cell>
          <cell r="D183">
            <v>680</v>
          </cell>
          <cell r="E183" t="str">
            <v>油脂製品㈱</v>
          </cell>
        </row>
        <row r="184">
          <cell r="B184">
            <v>10042821</v>
          </cell>
          <cell r="C184" t="str">
            <v>ｱﾙﾏﾃｨMR-50　20ｋｇ</v>
          </cell>
          <cell r="D184">
            <v>475</v>
          </cell>
          <cell r="E184" t="str">
            <v>長瀬産業㈱</v>
          </cell>
        </row>
        <row r="185">
          <cell r="B185">
            <v>10042823</v>
          </cell>
          <cell r="C185" t="str">
            <v>ｷﾄｻﾝLL-80　10ｋｇ</v>
          </cell>
          <cell r="D185">
            <v>4450</v>
          </cell>
          <cell r="E185" t="str">
            <v>長瀬産業㈱</v>
          </cell>
        </row>
        <row r="186">
          <cell r="B186">
            <v>10043737</v>
          </cell>
          <cell r="C186" t="str">
            <v>ｾｵﾗｽST-02　15ｋｇ</v>
          </cell>
          <cell r="D186">
            <v>1080</v>
          </cell>
          <cell r="E186" t="str">
            <v>長瀬産業㈱</v>
          </cell>
        </row>
        <row r="187">
          <cell r="B187">
            <v>10043823</v>
          </cell>
          <cell r="C187" t="str">
            <v>乾燥ﾋﾞｰﾙ酵母Y-3　20ｇ</v>
          </cell>
          <cell r="D187">
            <v>660</v>
          </cell>
          <cell r="E187" t="str">
            <v>長瀬産業㈱</v>
          </cell>
        </row>
        <row r="188">
          <cell r="B188">
            <v>10043825</v>
          </cell>
          <cell r="C188" t="str">
            <v>ｺﾝﾄﾞﾛｲﾁﾝSCP　5ｋｇ</v>
          </cell>
          <cell r="D188">
            <v>6850</v>
          </cell>
          <cell r="E188" t="str">
            <v>長瀬産業㈱</v>
          </cell>
        </row>
        <row r="189">
          <cell r="B189">
            <v>10043829</v>
          </cell>
          <cell r="C189" t="str">
            <v>ﾄﾞﾛﾏｲﾄ（灰白色粉末）　20ｋｇ</v>
          </cell>
          <cell r="D189">
            <v>540</v>
          </cell>
          <cell r="E189" t="str">
            <v>㈱明治ﾌｰﾄﾞﾏﾃﾘｱ</v>
          </cell>
        </row>
        <row r="190">
          <cell r="B190">
            <v>10043831</v>
          </cell>
          <cell r="C190" t="str">
            <v>ﾆｯﾋﾟﾍﾌﾟﾀｲﾄﾞFEP　10ｋｇ</v>
          </cell>
          <cell r="D190">
            <v>2200</v>
          </cell>
          <cell r="E190" t="str">
            <v>吉比化成㈱</v>
          </cell>
        </row>
        <row r="191">
          <cell r="B191">
            <v>10043837</v>
          </cell>
          <cell r="C191" t="str">
            <v>ｻﾝﾏﾙﾄS　20ｋｇ</v>
          </cell>
          <cell r="D191">
            <v>223</v>
          </cell>
          <cell r="E191" t="str">
            <v>長瀬産業㈱</v>
          </cell>
        </row>
        <row r="192">
          <cell r="B192">
            <v>10043841</v>
          </cell>
          <cell r="C192" t="str">
            <v>ｺﾗｰｹﾞﾝﾍﾟﾌﾟﾁﾄﾞSCP-5000　10ｋｇ</v>
          </cell>
          <cell r="D192">
            <v>2100</v>
          </cell>
          <cell r="E192" t="str">
            <v>大鹿香料㈱</v>
          </cell>
        </row>
        <row r="193">
          <cell r="B193">
            <v>10043845</v>
          </cell>
          <cell r="C193" t="str">
            <v>ｾﾛｹﾞﾝF-6HS9　20ｋｇ</v>
          </cell>
          <cell r="D193">
            <v>600</v>
          </cell>
          <cell r="E193" t="str">
            <v>第一工業製薬㈱</v>
          </cell>
        </row>
        <row r="194">
          <cell r="B194">
            <v>10043847</v>
          </cell>
          <cell r="C194" t="str">
            <v>ｶｰﾌﾟﾚｯｸｽCS-500　10ｋｇ</v>
          </cell>
          <cell r="D194">
            <v>950</v>
          </cell>
          <cell r="E194" t="str">
            <v>ｲﾜｷ㈱大阪支社</v>
          </cell>
        </row>
        <row r="195">
          <cell r="B195">
            <v>10043877</v>
          </cell>
          <cell r="C195" t="str">
            <v>ｲﾉｼﾄｰﾙﾊﾟｳﾀﾞｰ(食添)　10ｋｇ</v>
          </cell>
          <cell r="D195">
            <v>2870</v>
          </cell>
          <cell r="E195" t="str">
            <v>長瀬産業㈱</v>
          </cell>
        </row>
        <row r="196">
          <cell r="B196">
            <v>10043911</v>
          </cell>
          <cell r="C196" t="str">
            <v>ｵﾁﾔ　AR05076</v>
          </cell>
          <cell r="D196">
            <v>5500</v>
          </cell>
          <cell r="E196" t="str">
            <v>小川香料㈱</v>
          </cell>
        </row>
        <row r="197">
          <cell r="B197">
            <v>10043915</v>
          </cell>
          <cell r="C197" t="str">
            <v>ﾗｯｸｸﾞﾚｰｽ　20E　15kg</v>
          </cell>
          <cell r="D197">
            <v>1272</v>
          </cell>
          <cell r="E197" t="str">
            <v>稲畑産業㈱</v>
          </cell>
        </row>
        <row r="198">
          <cell r="B198">
            <v>10043915</v>
          </cell>
          <cell r="C198" t="str">
            <v>ﾗｯｸｸﾞﾚｰｽ20E　15kg</v>
          </cell>
          <cell r="D198">
            <v>475</v>
          </cell>
          <cell r="E198" t="str">
            <v>長瀬産業㈱</v>
          </cell>
        </row>
        <row r="199">
          <cell r="B199">
            <v>10043917</v>
          </cell>
          <cell r="C199" t="str">
            <v>ﾗｯｸｸﾞﾚｰｽ　20E-N　15kg</v>
          </cell>
          <cell r="D199">
            <v>1179</v>
          </cell>
          <cell r="E199" t="str">
            <v>稲畑産業㈱</v>
          </cell>
        </row>
        <row r="200">
          <cell r="B200">
            <v>10043959</v>
          </cell>
          <cell r="C200" t="str">
            <v>塩酸ﾋﾟﾘﾄﾞｷｼﾝ</v>
          </cell>
          <cell r="D200">
            <v>6500</v>
          </cell>
          <cell r="E200" t="str">
            <v>日本ﾊﾞﾙｸ薬品㈱</v>
          </cell>
        </row>
        <row r="201">
          <cell r="B201">
            <v>10044045</v>
          </cell>
          <cell r="C201" t="str">
            <v>RS.SOAP　KB1399　180KG</v>
          </cell>
          <cell r="D201">
            <v>2130</v>
          </cell>
          <cell r="E201" t="str">
            <v>稲畑香料㈱</v>
          </cell>
        </row>
        <row r="202">
          <cell r="B202">
            <v>10044389</v>
          </cell>
          <cell r="C202" t="str">
            <v>ﾋﾞﾀﾐﾝB1塩酸塩食添　10ｋｇ</v>
          </cell>
          <cell r="D202">
            <v>4800</v>
          </cell>
          <cell r="E202" t="str">
            <v>五協産業㈱</v>
          </cell>
        </row>
        <row r="203">
          <cell r="B203">
            <v>10044391</v>
          </cell>
          <cell r="C203" t="str">
            <v>ﾋﾞﾀﾐﾝB6食添　10ｋｇ</v>
          </cell>
          <cell r="D203">
            <v>4850</v>
          </cell>
          <cell r="E203" t="str">
            <v>五協産業㈱</v>
          </cell>
        </row>
        <row r="204">
          <cell r="B204">
            <v>10044473</v>
          </cell>
          <cell r="C204" t="str">
            <v>ﾋﾞﾀﾐﾝB2(食添)　10ｋｇ</v>
          </cell>
          <cell r="D204">
            <v>7500</v>
          </cell>
          <cell r="E204" t="str">
            <v>五協産業㈱</v>
          </cell>
        </row>
        <row r="205">
          <cell r="B205">
            <v>10044475</v>
          </cell>
          <cell r="C205" t="str">
            <v>ﾊﾟﾝﾄﾃﾝ酸ｶﾙｼｳﾑ（食添）　10ｋｇ</v>
          </cell>
          <cell r="D205">
            <v>2750</v>
          </cell>
          <cell r="E205" t="str">
            <v>日本ﾊﾞﾙｸ薬品㈱</v>
          </cell>
        </row>
        <row r="206">
          <cell r="B206">
            <v>10044477</v>
          </cell>
          <cell r="C206" t="str">
            <v>ﾅｲｱｼﾝ(食添)　10ｋｇ</v>
          </cell>
          <cell r="D206">
            <v>2100</v>
          </cell>
          <cell r="E206" t="str">
            <v>日本ﾊﾞﾙｸ薬品㈱</v>
          </cell>
        </row>
        <row r="207">
          <cell r="B207">
            <v>10045245</v>
          </cell>
          <cell r="C207" t="str">
            <v>ｼｼﾞｭｳﾑｸﾞｱﾊﾞ乾燥ｴｷｽF　1ｋｇ</v>
          </cell>
          <cell r="D207">
            <v>24000</v>
          </cell>
          <cell r="E207" t="str">
            <v>ｲﾜｷ㈱大阪支社</v>
          </cell>
        </row>
        <row r="208">
          <cell r="B208">
            <v>10045247</v>
          </cell>
          <cell r="C208" t="str">
            <v>ﾊｲﾆｭｰﾄDH　10ｋｇ</v>
          </cell>
          <cell r="D208">
            <v>1900</v>
          </cell>
          <cell r="E208" t="str">
            <v>ｲﾜｷ㈱大阪支社</v>
          </cell>
        </row>
        <row r="209">
          <cell r="B209">
            <v>10045249</v>
          </cell>
          <cell r="C209" t="str">
            <v>ｶﾌﾟｼｶﾑﾊﾟｳﾀﾞｰ12　10ｋｇ</v>
          </cell>
          <cell r="D209">
            <v>7500</v>
          </cell>
          <cell r="E209" t="str">
            <v>ｲﾜｷ㈱大阪支社</v>
          </cell>
        </row>
        <row r="210">
          <cell r="B210">
            <v>10045255</v>
          </cell>
          <cell r="C210" t="str">
            <v>ﾌﾞﾙｰﾍﾞﾘｰ乾燥ｴｷｽ　5kg</v>
          </cell>
          <cell r="D210">
            <v>57000</v>
          </cell>
          <cell r="E210" t="str">
            <v>ﾕﾆｷｽ㈱</v>
          </cell>
        </row>
        <row r="211">
          <cell r="B211">
            <v>10045257</v>
          </cell>
          <cell r="C211" t="str">
            <v>ﾒｸﾞｽﾘﾉｷ末　10ｋｇ</v>
          </cell>
          <cell r="D211">
            <v>5350</v>
          </cell>
          <cell r="E211" t="str">
            <v>長瀬産業㈱</v>
          </cell>
        </row>
        <row r="212">
          <cell r="B212">
            <v>10045259</v>
          </cell>
          <cell r="C212" t="str">
            <v>ｱｶﾞﾘｸｽ粉末R　10ｋｇ</v>
          </cell>
          <cell r="D212">
            <v>6830</v>
          </cell>
          <cell r="E212" t="str">
            <v>長瀬産業㈱</v>
          </cell>
        </row>
        <row r="213">
          <cell r="B213">
            <v>10045261</v>
          </cell>
          <cell r="C213" t="str">
            <v>ﾙｲﾎﾞｽ乾燥ｴｷｽF　1ｋｇ</v>
          </cell>
          <cell r="D213">
            <v>54000</v>
          </cell>
          <cell r="E213" t="str">
            <v>ｲﾜｷ㈱大阪支社</v>
          </cell>
        </row>
        <row r="214">
          <cell r="B214">
            <v>10045263</v>
          </cell>
          <cell r="C214" t="str">
            <v>ｻﾝﾃﾞｯｸ#70　20ｋｇ</v>
          </cell>
          <cell r="D214">
            <v>215</v>
          </cell>
          <cell r="E214" t="str">
            <v>長瀬産業㈱</v>
          </cell>
        </row>
        <row r="215">
          <cell r="B215">
            <v>10045265</v>
          </cell>
          <cell r="C215" t="str">
            <v>ﾆﾝｼﾞﾝｴｷｽ乾燥　1ｋｇ</v>
          </cell>
          <cell r="D215">
            <v>36600</v>
          </cell>
          <cell r="E215" t="str">
            <v>長瀬産業㈱</v>
          </cell>
        </row>
        <row r="216">
          <cell r="B216">
            <v>10045489</v>
          </cell>
          <cell r="C216" t="str">
            <v>ｽﾌﾟﾚｰﾄﾞﾗｲREｱｸﾞﾛﾀｰﾎﾞ　15ｋｇ</v>
          </cell>
          <cell r="D216">
            <v>2200</v>
          </cell>
          <cell r="E216" t="str">
            <v>長瀬産業㈱</v>
          </cell>
        </row>
        <row r="217">
          <cell r="B217">
            <v>10045641</v>
          </cell>
          <cell r="C217" t="str">
            <v>ｵﾒｶﾞﾄﾞﾗｲｎ-3(18：12)　25ｋｇ</v>
          </cell>
          <cell r="D217">
            <v>5700</v>
          </cell>
          <cell r="E217" t="str">
            <v>五協産業㈱</v>
          </cell>
        </row>
        <row r="218">
          <cell r="B218">
            <v>10045733</v>
          </cell>
          <cell r="C218" t="str">
            <v>L-ﾒﾁｵﾆﾝ(食添)　10ｋｇ</v>
          </cell>
          <cell r="D218">
            <v>13500</v>
          </cell>
          <cell r="E218" t="str">
            <v>長瀬産業㈱</v>
          </cell>
        </row>
        <row r="219">
          <cell r="B219">
            <v>10045887</v>
          </cell>
          <cell r="C219" t="str">
            <v>ｷﾞﾑﾈﾏｴｷｽ粉末FG　10ｋｇ</v>
          </cell>
          <cell r="D219">
            <v>12500</v>
          </cell>
          <cell r="E219" t="str">
            <v>ｲﾜｷ㈱大阪支社</v>
          </cell>
        </row>
        <row r="220">
          <cell r="B220">
            <v>10046813</v>
          </cell>
          <cell r="C220" t="str">
            <v>ｸｴﾝ酸（無水）32M　食添</v>
          </cell>
          <cell r="D220">
            <v>140.9</v>
          </cell>
          <cell r="E220" t="str">
            <v>長瀬産業㈱</v>
          </cell>
        </row>
        <row r="221">
          <cell r="B221">
            <v>10046815</v>
          </cell>
          <cell r="C221" t="str">
            <v>DKS　NL-600P</v>
          </cell>
          <cell r="D221">
            <v>609</v>
          </cell>
          <cell r="E221" t="str">
            <v>第一工業製薬㈱</v>
          </cell>
        </row>
        <row r="222">
          <cell r="B222">
            <v>10047375</v>
          </cell>
          <cell r="C222" t="str">
            <v>H-3940　300KG</v>
          </cell>
          <cell r="D222">
            <v>353</v>
          </cell>
          <cell r="E222" t="str">
            <v>第一工業製薬㈱</v>
          </cell>
        </row>
        <row r="223">
          <cell r="B223">
            <v>10048607</v>
          </cell>
          <cell r="C223" t="str">
            <v>ﾗｯｸｸﾞﾚｰｽ　10E　15kg</v>
          </cell>
          <cell r="D223">
            <v>1135</v>
          </cell>
          <cell r="E223" t="str">
            <v>稲畑産業㈱</v>
          </cell>
        </row>
        <row r="224">
          <cell r="B224">
            <v>10049331</v>
          </cell>
          <cell r="C224" t="str">
            <v>GOMISOAP　151655　180KG</v>
          </cell>
          <cell r="D224">
            <v>2200</v>
          </cell>
          <cell r="E224" t="str">
            <v>日本ﾌｨﾙﾒﾆｯﾋ㈱</v>
          </cell>
        </row>
        <row r="225">
          <cell r="B225">
            <v>10049333</v>
          </cell>
          <cell r="C225" t="str">
            <v>SUNNY　CITRUS　151654　180KG</v>
          </cell>
          <cell r="D225">
            <v>2200</v>
          </cell>
          <cell r="E225" t="str">
            <v>日本ﾌｨﾙﾒﾆｯﾋ㈱</v>
          </cell>
        </row>
        <row r="226">
          <cell r="B226">
            <v>10049333</v>
          </cell>
          <cell r="C226" t="str">
            <v>SUNNY　CITRUS　151654　180KG</v>
          </cell>
          <cell r="D226">
            <v>2200</v>
          </cell>
          <cell r="E226" t="str">
            <v>日本ﾌｨﾙﾒﾆｯﾋ㈱</v>
          </cell>
        </row>
        <row r="227">
          <cell r="B227">
            <v>10049461</v>
          </cell>
          <cell r="C227" t="str">
            <v>Bｌue　Angel　NT11163　180KG</v>
          </cell>
          <cell r="D227">
            <v>2000</v>
          </cell>
          <cell r="E227" t="str">
            <v>ｼﾑﾗｲｽﾞ㈱</v>
          </cell>
        </row>
        <row r="228">
          <cell r="B228">
            <v>10049465</v>
          </cell>
          <cell r="C228" t="str">
            <v>BLUE　CORAL　J507779　180KG</v>
          </cell>
          <cell r="D228">
            <v>1700</v>
          </cell>
          <cell r="E228" t="str">
            <v>ｸｴｽﾄ　Ｉ・Ｊ・㈱</v>
          </cell>
        </row>
        <row r="229">
          <cell r="B229">
            <v>10050315</v>
          </cell>
          <cell r="C229" t="str">
            <v>GREEN　LAKE　BLEND　#55096　20KG</v>
          </cell>
          <cell r="D229">
            <v>5350</v>
          </cell>
          <cell r="E229" t="str">
            <v>長瀬産業㈱</v>
          </cell>
        </row>
        <row r="230">
          <cell r="B230">
            <v>10050329</v>
          </cell>
          <cell r="C230" t="str">
            <v>KSG-T　180KG</v>
          </cell>
          <cell r="D230">
            <v>179</v>
          </cell>
          <cell r="E230" t="str">
            <v>第一工業製薬㈱</v>
          </cell>
        </row>
        <row r="231">
          <cell r="B231">
            <v>10050885</v>
          </cell>
          <cell r="C231" t="str">
            <v>ﾎﾟｴﾑTR-FB　5ｋｇ</v>
          </cell>
          <cell r="D231">
            <v>1200</v>
          </cell>
          <cell r="E231" t="str">
            <v>理研ﾋﾞﾀﾐﾝ㈱</v>
          </cell>
        </row>
        <row r="232">
          <cell r="B232">
            <v>10050989</v>
          </cell>
          <cell r="C232" t="str">
            <v>NYOHO　TIC/C-01.083　180KG</v>
          </cell>
          <cell r="D232">
            <v>1960</v>
          </cell>
          <cell r="E232" t="str">
            <v>高砂香料工業㈱</v>
          </cell>
        </row>
        <row r="233">
          <cell r="B233">
            <v>10050991</v>
          </cell>
          <cell r="C233" t="str">
            <v>WATER RED 3　5ｋｇ</v>
          </cell>
          <cell r="D233">
            <v>7900</v>
          </cell>
          <cell r="E233" t="str">
            <v>長瀬産業㈱</v>
          </cell>
        </row>
        <row r="234">
          <cell r="B234">
            <v>10051129</v>
          </cell>
          <cell r="C234" t="str">
            <v>新野菜ﾐｯｸｽﾊﾟｳﾀﾞｰ　10ｋｇ</v>
          </cell>
          <cell r="D234">
            <v>2200</v>
          </cell>
          <cell r="E234" t="str">
            <v>紅丸食料㈱</v>
          </cell>
        </row>
        <row r="235">
          <cell r="B235">
            <v>10051623</v>
          </cell>
          <cell r="C235" t="str">
            <v>SEESORB 101SN</v>
          </cell>
          <cell r="D235">
            <v>14700</v>
          </cell>
          <cell r="E235" t="str">
            <v>白石ｶﾙｼｳﾑ㈱</v>
          </cell>
        </row>
        <row r="236">
          <cell r="B236">
            <v>10051889</v>
          </cell>
          <cell r="C236" t="str">
            <v>MINT　KB　2641　15kg</v>
          </cell>
          <cell r="D236">
            <v>3000</v>
          </cell>
          <cell r="E236" t="str">
            <v>稲畑香料㈱</v>
          </cell>
        </row>
        <row r="237">
          <cell r="B237">
            <v>10052053</v>
          </cell>
          <cell r="C237" t="str">
            <v>ｽﾐ　KWT-2935　15KG</v>
          </cell>
          <cell r="D237">
            <v>1950</v>
          </cell>
          <cell r="E237" t="str">
            <v>長谷川香料　大阪支店</v>
          </cell>
        </row>
        <row r="238">
          <cell r="B238">
            <v>10052063</v>
          </cell>
          <cell r="C238" t="str">
            <v>ﾍﾞﾈﾛｰﾙ SP-18</v>
          </cell>
          <cell r="D238">
            <v>340</v>
          </cell>
          <cell r="E238" t="str">
            <v>松本油脂製薬㈱</v>
          </cell>
        </row>
        <row r="239">
          <cell r="B239">
            <v>10052105</v>
          </cell>
          <cell r="C239" t="str">
            <v>SUMISANDAL　J510439</v>
          </cell>
          <cell r="D239">
            <v>2000</v>
          </cell>
          <cell r="E239" t="str">
            <v>ｸｴｽﾄ　Ｉ・Ｊ・㈱</v>
          </cell>
        </row>
        <row r="240">
          <cell r="B240">
            <v>10052405</v>
          </cell>
          <cell r="C240" t="str">
            <v>EMF-VIOLET HB</v>
          </cell>
          <cell r="D240">
            <v>4000</v>
          </cell>
          <cell r="E240" t="str">
            <v>㈱大共</v>
          </cell>
        </row>
        <row r="241">
          <cell r="B241">
            <v>10052435</v>
          </cell>
          <cell r="C241" t="str">
            <v>重曹　P　25kg</v>
          </cell>
          <cell r="D241">
            <v>49</v>
          </cell>
          <cell r="E241" t="str">
            <v>稲畑産業㈱</v>
          </cell>
        </row>
        <row r="242">
          <cell r="B242">
            <v>10053391</v>
          </cell>
          <cell r="C242" t="str">
            <v>ｲﾁｮｳ葉乾燥ｴｷｽF　1ｋｇ</v>
          </cell>
          <cell r="D242">
            <v>49000</v>
          </cell>
          <cell r="E242" t="str">
            <v>ｲﾜｷ㈱大阪支社</v>
          </cell>
        </row>
        <row r="243">
          <cell r="B243">
            <v>10053433</v>
          </cell>
          <cell r="C243" t="str">
            <v>ｷﾀﾗｰｾﾞM　5KG</v>
          </cell>
          <cell r="D243">
            <v>22000</v>
          </cell>
          <cell r="E243" t="str">
            <v>繁和産業㈱</v>
          </cell>
        </row>
        <row r="244">
          <cell r="B244">
            <v>10053491</v>
          </cell>
          <cell r="C244" t="str">
            <v>WHITE　SOAP　J426318　180KG</v>
          </cell>
          <cell r="D244">
            <v>1350</v>
          </cell>
          <cell r="E244" t="str">
            <v>ｸｴｽﾄ　Ｉ・Ｊ・㈱</v>
          </cell>
        </row>
        <row r="245">
          <cell r="B245">
            <v>10053559</v>
          </cell>
          <cell r="C245" t="str">
            <v>KSG-T　10Ｔ</v>
          </cell>
          <cell r="D245">
            <v>165</v>
          </cell>
          <cell r="E245" t="str">
            <v>第一工業製薬㈱</v>
          </cell>
        </row>
        <row r="246">
          <cell r="B246">
            <v>10053595</v>
          </cell>
          <cell r="C246" t="str">
            <v>杜仲茶　煮出し　バルクＪＮ因島</v>
          </cell>
          <cell r="D246">
            <v>951.1</v>
          </cell>
          <cell r="E246" t="str">
            <v>高砂香料工業㈱</v>
          </cell>
        </row>
        <row r="247">
          <cell r="B247">
            <v>10053643</v>
          </cell>
          <cell r="C247" t="str">
            <v>POINSETTIA　61946/3</v>
          </cell>
          <cell r="D247">
            <v>2100</v>
          </cell>
          <cell r="E247" t="str">
            <v>ｼﾞﾎﾞﾀﾝｼﾞｬﾊﾟﾝ㈱</v>
          </cell>
        </row>
        <row r="248">
          <cell r="B248">
            <v>10053945</v>
          </cell>
          <cell r="C248" t="str">
            <v>SORBITOL　FG03557　25KG</v>
          </cell>
          <cell r="D248">
            <v>326</v>
          </cell>
          <cell r="E248" t="str">
            <v>ﾒﾙｸ㈱</v>
          </cell>
        </row>
        <row r="249">
          <cell r="B249">
            <v>10054201</v>
          </cell>
          <cell r="C249" t="str">
            <v>ｼｱﾉｺﾊﾞﾗﾐﾝ</v>
          </cell>
          <cell r="D249">
            <v>1600000</v>
          </cell>
          <cell r="E249" t="str">
            <v>日本ﾊﾞﾙｸ薬品㈱</v>
          </cell>
        </row>
        <row r="250">
          <cell r="B250">
            <v>10054669</v>
          </cell>
          <cell r="C250" t="str">
            <v>ﾏｰﾎﾟﾝ SG-605</v>
          </cell>
          <cell r="D250">
            <v>400</v>
          </cell>
          <cell r="E250" t="str">
            <v>松本油脂製薬㈱</v>
          </cell>
        </row>
        <row r="251">
          <cell r="B251">
            <v>10054671</v>
          </cell>
          <cell r="C251" t="str">
            <v>ｽｰﾊﾟｰﾋﾟｭﾘｴｰﾙ A-100</v>
          </cell>
          <cell r="D251">
            <v>2000</v>
          </cell>
          <cell r="E251" t="str">
            <v>稲畑産業㈱</v>
          </cell>
        </row>
        <row r="252">
          <cell r="B252">
            <v>10054687</v>
          </cell>
          <cell r="C252" t="str">
            <v>安息香酸ﾅﾄﾘｳﾑ　25KG</v>
          </cell>
          <cell r="D252">
            <v>270</v>
          </cell>
          <cell r="E252" t="str">
            <v>森村商事㈱</v>
          </cell>
        </row>
        <row r="253">
          <cell r="B253">
            <v>10054733</v>
          </cell>
          <cell r="C253" t="str">
            <v>TRG　LAVENDER　136392G　180kg</v>
          </cell>
          <cell r="D253">
            <v>1500</v>
          </cell>
          <cell r="E253" t="str">
            <v>日本ﾌｨﾙﾒﾆｯﾋ㈱</v>
          </cell>
        </row>
        <row r="254">
          <cell r="B254">
            <v>10054775</v>
          </cell>
          <cell r="C254" t="str">
            <v>ELEGANT　J513156　180kg</v>
          </cell>
          <cell r="D254">
            <v>1500</v>
          </cell>
          <cell r="E254" t="str">
            <v>ｸｴｽﾄ　Ｉ・Ｊ・㈱</v>
          </cell>
        </row>
        <row r="255">
          <cell r="B255">
            <v>10054953</v>
          </cell>
          <cell r="C255" t="str">
            <v>SPECIAL　GREEN　APPLE　J513736</v>
          </cell>
          <cell r="D255">
            <v>2000</v>
          </cell>
          <cell r="E255" t="str">
            <v>ｸｴｽﾄ　Ｉ・Ｊ・㈱</v>
          </cell>
        </row>
        <row r="256">
          <cell r="B256">
            <v>10054955</v>
          </cell>
          <cell r="C256" t="str">
            <v>SAKURA　AB　6981</v>
          </cell>
          <cell r="D256">
            <v>2000</v>
          </cell>
          <cell r="E256" t="str">
            <v>塩野香料㈱</v>
          </cell>
        </row>
        <row r="257">
          <cell r="B257">
            <v>10055465</v>
          </cell>
          <cell r="C257" t="str">
            <v>局方　ﾃﾚﾋﾞﾝ油</v>
          </cell>
          <cell r="D257">
            <v>430</v>
          </cell>
          <cell r="E257" t="str">
            <v>日本ﾃﾙﾍﾞﾝ化学㈱</v>
          </cell>
        </row>
        <row r="258">
          <cell r="B258">
            <v>10055467</v>
          </cell>
          <cell r="C258" t="str">
            <v>局方　ｳｲｷﾖｳ油</v>
          </cell>
          <cell r="D258">
            <v>18000</v>
          </cell>
          <cell r="E258" t="str">
            <v>小川香料㈱</v>
          </cell>
        </row>
        <row r="259">
          <cell r="B259">
            <v>10055469</v>
          </cell>
          <cell r="C259" t="str">
            <v>ﾆｸｽﾞｸ油　15kg</v>
          </cell>
          <cell r="D259">
            <v>14000</v>
          </cell>
          <cell r="E259" t="str">
            <v>小川香料㈱</v>
          </cell>
        </row>
        <row r="260">
          <cell r="B260">
            <v>10055471</v>
          </cell>
          <cell r="C260" t="str">
            <v>局方　ﾕｰｶﾘ油</v>
          </cell>
          <cell r="D260">
            <v>1800</v>
          </cell>
          <cell r="E260" t="str">
            <v>日本ﾃﾙﾍﾞﾝ化学㈱</v>
          </cell>
        </row>
        <row r="261">
          <cell r="B261">
            <v>10055475</v>
          </cell>
          <cell r="C261" t="str">
            <v>SO-10　ﾓﾉﾚｲﾝ酸ｿﾙﾋﾞﾀﾝ(薬添規)</v>
          </cell>
          <cell r="D261">
            <v>800</v>
          </cell>
          <cell r="E261" t="str">
            <v>日光ｹﾐｶﾙｽﾞ㈱</v>
          </cell>
        </row>
        <row r="262">
          <cell r="B262">
            <v>10055691</v>
          </cell>
          <cell r="C262" t="str">
            <v>BHTｼﾞﾌﾞﾁﾙﾋﾄﾞﾛｷｼﾄﾙｴﾝ</v>
          </cell>
          <cell r="D262">
            <v>1450</v>
          </cell>
          <cell r="E262" t="str">
            <v>三栄化工㈱</v>
          </cell>
        </row>
        <row r="263">
          <cell r="B263">
            <v>10056525</v>
          </cell>
          <cell r="C263" t="str">
            <v>ﾒﾁﾙﾍｽﾍﾟﾘｼﾞﾝ（食添)　10ｋｇ</v>
          </cell>
          <cell r="D263">
            <v>18000</v>
          </cell>
          <cell r="E263" t="str">
            <v>日本ﾊﾞﾙｸ薬品㈱</v>
          </cell>
        </row>
        <row r="264">
          <cell r="B264">
            <v>10056527</v>
          </cell>
          <cell r="C264" t="str">
            <v>葉酸（食添)　1000ｇ</v>
          </cell>
          <cell r="D264">
            <v>26000</v>
          </cell>
          <cell r="E264" t="str">
            <v>日本ﾊﾞﾙｸ薬品㈱</v>
          </cell>
        </row>
        <row r="265">
          <cell r="B265">
            <v>10056529</v>
          </cell>
          <cell r="C265" t="str">
            <v>ﾋﾞｵﾁﾝ（医薬品製造用）ﾒﾙｸ　100ｇ</v>
          </cell>
          <cell r="D265">
            <v>2000</v>
          </cell>
          <cell r="E265" t="str">
            <v>日本ﾊﾞﾙｸ薬品㈱</v>
          </cell>
        </row>
        <row r="266">
          <cell r="B266">
            <v>10056531</v>
          </cell>
          <cell r="C266" t="str">
            <v>ﾄﾞﾗｲﾋﾞﾀﾐﾝＤ3　10万IU/g　GFP　5000g</v>
          </cell>
          <cell r="D266">
            <v>5500</v>
          </cell>
          <cell r="E266" t="str">
            <v>五協産業㈱</v>
          </cell>
        </row>
        <row r="267">
          <cell r="B267">
            <v>10056533</v>
          </cell>
          <cell r="C267" t="str">
            <v>ﾋﾞﾀﾐﾝB12　1000倍散（食添）海外品　2500ｇ</v>
          </cell>
          <cell r="D267">
            <v>6300</v>
          </cell>
          <cell r="E267" t="str">
            <v>五協産業㈱</v>
          </cell>
        </row>
        <row r="268">
          <cell r="B268">
            <v>10056535</v>
          </cell>
          <cell r="C268" t="str">
            <v>ﾋﾞﾀﾐﾝK2 0.2%乳化　1000ｇ</v>
          </cell>
          <cell r="D268">
            <v>69000</v>
          </cell>
          <cell r="E268" t="str">
            <v>ｲﾜｷ㈱大阪支社</v>
          </cell>
        </row>
        <row r="269">
          <cell r="B269">
            <v>10056549</v>
          </cell>
          <cell r="C269" t="str">
            <v>ﾘｰﾁ501ｿﾘｭｰｼｮﾝ</v>
          </cell>
          <cell r="D269">
            <v>1080</v>
          </cell>
          <cell r="E269" t="str">
            <v>ｲﾜｷ㈱大阪支社</v>
          </cell>
        </row>
        <row r="270">
          <cell r="B270">
            <v>10056553</v>
          </cell>
          <cell r="C270" t="str">
            <v>ｳｺﾝ熱水抽出物　10ｋｇ</v>
          </cell>
          <cell r="D270">
            <v>10000</v>
          </cell>
          <cell r="E270" t="str">
            <v>ｲﾜｷ㈱大阪支社</v>
          </cell>
        </row>
        <row r="271">
          <cell r="B271">
            <v>10056555</v>
          </cell>
          <cell r="C271" t="str">
            <v>ｳｺﾝｴｷｽﾊﾟｳﾀﾞｰET　10ｋｇ</v>
          </cell>
          <cell r="D271">
            <v>18000</v>
          </cell>
          <cell r="E271" t="str">
            <v>五協産業㈱</v>
          </cell>
        </row>
        <row r="272">
          <cell r="B272">
            <v>10056659</v>
          </cell>
          <cell r="C272" t="str">
            <v>ｸﾞﾘﾁﾙﾘﾁﾝ酸ﾆｶﾘｳﾑ洗眼薬用(丸善)</v>
          </cell>
          <cell r="D272">
            <v>44000</v>
          </cell>
          <cell r="E272" t="str">
            <v>ｲﾜｷ㈱大阪支社</v>
          </cell>
        </row>
        <row r="273">
          <cell r="B273">
            <v>10056661</v>
          </cell>
          <cell r="C273" t="str">
            <v>ﾏﾚｲﾝ酸ｸﾛﾙﾌｪﾆﾗﾐﾝ ｱｲﾎﾞﾝ用</v>
          </cell>
          <cell r="D273">
            <v>13300</v>
          </cell>
          <cell r="E273" t="str">
            <v>丸紅ｹﾐｯｸｽ㈱富山出張所</v>
          </cell>
        </row>
        <row r="274">
          <cell r="B274">
            <v>10056665</v>
          </cell>
          <cell r="C274" t="str">
            <v>水酸化ﾅﾄﾘｳﾑ　0.5ｋｇ</v>
          </cell>
          <cell r="D274">
            <v>2400</v>
          </cell>
          <cell r="E274" t="str">
            <v>不二化学薬品㈱</v>
          </cell>
        </row>
        <row r="275">
          <cell r="B275">
            <v>10056667</v>
          </cell>
          <cell r="C275" t="str">
            <v>酢酸ﾄｺﾌｪﾛｰﾙ(日本薬局方)</v>
          </cell>
          <cell r="D275">
            <v>7200</v>
          </cell>
          <cell r="E275" t="str">
            <v>岩瀬ｺｽﾌｧ㈱</v>
          </cell>
        </row>
        <row r="276">
          <cell r="B276">
            <v>10056669</v>
          </cell>
          <cell r="C276" t="str">
            <v>ｴﾃﾞﾄ酸ﾅﾄﾘｳﾑ(EDTAｸﾚﾜｯﾄN</v>
          </cell>
          <cell r="D276">
            <v>1700</v>
          </cell>
          <cell r="E276" t="str">
            <v>長瀬産業㈱</v>
          </cell>
        </row>
        <row r="277">
          <cell r="B277">
            <v>10056701</v>
          </cell>
          <cell r="C277" t="str">
            <v>ﾋﾄﾞﾛｷｼﾌﾟﾛﾋﾟﾙｾﾙﾛｰｽ</v>
          </cell>
          <cell r="D277">
            <v>3950</v>
          </cell>
          <cell r="E277" t="str">
            <v>日本ﾊﾞﾙｸ薬品㈱</v>
          </cell>
        </row>
        <row r="278">
          <cell r="B278">
            <v>10056703</v>
          </cell>
          <cell r="C278" t="str">
            <v>銅ｸﾛﾛﾌｨﾘﾝﾅﾄﾘｳﾑ</v>
          </cell>
          <cell r="D278">
            <v>29000</v>
          </cell>
          <cell r="E278" t="str">
            <v>繁和産業㈱</v>
          </cell>
        </row>
        <row r="279">
          <cell r="B279">
            <v>10056819</v>
          </cell>
          <cell r="C279" t="str">
            <v>ｶﾞﾙﾆｼｱﾊﾟｳﾀﾞｰCR　10ｋｇ</v>
          </cell>
          <cell r="D279">
            <v>6950</v>
          </cell>
          <cell r="E279" t="str">
            <v>日本ﾊﾞﾙｸ薬品㈱</v>
          </cell>
        </row>
        <row r="280">
          <cell r="B280">
            <v>10056871</v>
          </cell>
          <cell r="C280" t="str">
            <v>PW-125(固形ﾊﾟﾗﾌｨﾝ)</v>
          </cell>
          <cell r="D280">
            <v>420</v>
          </cell>
          <cell r="E280" t="str">
            <v>稲畑産業㈱</v>
          </cell>
        </row>
        <row r="281">
          <cell r="B281">
            <v>10056875</v>
          </cell>
          <cell r="C281" t="str">
            <v>ﾌｨﾙﾄﾝB50/100</v>
          </cell>
          <cell r="D281">
            <v>2000</v>
          </cell>
          <cell r="E281" t="str">
            <v>稲畑産業㈱</v>
          </cell>
        </row>
        <row r="282">
          <cell r="B282">
            <v>10056891</v>
          </cell>
          <cell r="C282" t="str">
            <v>EXCEL151203</v>
          </cell>
          <cell r="D282">
            <v>5000</v>
          </cell>
          <cell r="E282" t="str">
            <v>日本ﾌｨﾙﾒﾆｯﾋ㈱</v>
          </cell>
        </row>
        <row r="283">
          <cell r="B283">
            <v>10056893</v>
          </cell>
          <cell r="C283" t="str">
            <v>MCｽﾃｱﾘﾝｻﾝ</v>
          </cell>
          <cell r="D283">
            <v>500</v>
          </cell>
          <cell r="E283" t="str">
            <v>川研ﾌｧｲﾝｹﾐｶﾙ㈱</v>
          </cell>
        </row>
        <row r="284">
          <cell r="B284">
            <v>10056895</v>
          </cell>
          <cell r="C284" t="str">
            <v>VEEGUMｸﾞﾗﾆｭｰ</v>
          </cell>
          <cell r="D284">
            <v>2550</v>
          </cell>
          <cell r="E284" t="str">
            <v>日本ﾊﾞﾙｸ薬品㈱</v>
          </cell>
        </row>
        <row r="285">
          <cell r="B285">
            <v>10056979</v>
          </cell>
          <cell r="C285" t="str">
            <v>TEA(ﾄﾘｴﾉｰﾙ)99</v>
          </cell>
          <cell r="D285">
            <v>260</v>
          </cell>
          <cell r="E285" t="str">
            <v>稲畑産業㈱</v>
          </cell>
        </row>
        <row r="286">
          <cell r="B286">
            <v>10056983</v>
          </cell>
          <cell r="C286" t="str">
            <v>PINEAPPLE　C　TIC/D-01.234　180Kg</v>
          </cell>
          <cell r="D286">
            <v>1800</v>
          </cell>
          <cell r="E286" t="str">
            <v>高砂香料工業㈱</v>
          </cell>
        </row>
        <row r="287">
          <cell r="B287">
            <v>10057023</v>
          </cell>
          <cell r="C287" t="str">
            <v>TROPICAL　OCEAN　159311B　180KG</v>
          </cell>
          <cell r="D287">
            <v>2500</v>
          </cell>
          <cell r="E287" t="str">
            <v>日本ﾌｨﾙﾒﾆｯﾋ㈱</v>
          </cell>
        </row>
        <row r="288">
          <cell r="B288">
            <v>10057163</v>
          </cell>
          <cell r="C288" t="str">
            <v>ｺﾝﾄﾞﾛｲﾁﾝ硫酸ﾅﾄﾘｳﾑ</v>
          </cell>
          <cell r="D288">
            <v>94000</v>
          </cell>
          <cell r="E288" t="str">
            <v>ｲﾜｷ㈱大阪支社</v>
          </cell>
        </row>
        <row r="289">
          <cell r="B289">
            <v>10057169</v>
          </cell>
          <cell r="C289" t="str">
            <v>ﾌﾞﾁﾙﾊﾟﾗﾍﾞﾝ</v>
          </cell>
          <cell r="D289">
            <v>1800</v>
          </cell>
          <cell r="E289" t="str">
            <v>稲畑産業㈱</v>
          </cell>
        </row>
        <row r="290">
          <cell r="B290">
            <v>10057175</v>
          </cell>
          <cell r="C290" t="str">
            <v>ﾗｯｸｸﾞﾚｰｽ　10E-S　15kg</v>
          </cell>
          <cell r="D290">
            <v>1785</v>
          </cell>
          <cell r="E290" t="str">
            <v>稲畑産業㈱</v>
          </cell>
        </row>
        <row r="291">
          <cell r="B291">
            <v>10057175</v>
          </cell>
          <cell r="C291" t="str">
            <v>ﾗｯｸｸﾞﾚｰｽ10E　15kg</v>
          </cell>
          <cell r="D291">
            <v>44000</v>
          </cell>
          <cell r="E291" t="str">
            <v>ｲﾜｷ㈱大阪支社</v>
          </cell>
        </row>
        <row r="292">
          <cell r="B292">
            <v>10057193</v>
          </cell>
          <cell r="C292" t="str">
            <v>純ｸﾞﾘﾁﾐﾝ　1000ｇ</v>
          </cell>
          <cell r="D292">
            <v>27000</v>
          </cell>
          <cell r="E292" t="str">
            <v>ｲﾜｷ㈱大阪支社</v>
          </cell>
        </row>
        <row r="293">
          <cell r="B293">
            <v>10058073</v>
          </cell>
          <cell r="C293" t="str">
            <v>ｱﾋﾞｾﾙFD-301　25ｋｇ</v>
          </cell>
          <cell r="D293">
            <v>870</v>
          </cell>
          <cell r="E293" t="str">
            <v>長瀬産業㈱</v>
          </cell>
        </row>
        <row r="294">
          <cell r="B294">
            <v>10058075</v>
          </cell>
          <cell r="C294" t="str">
            <v>ｺﾝﾄﾞﾛｲﾁﾝSCS40　10ｋｇ</v>
          </cell>
          <cell r="D294">
            <v>14000</v>
          </cell>
          <cell r="E294" t="str">
            <v>ｲﾜｷ㈱大阪支社</v>
          </cell>
        </row>
        <row r="295">
          <cell r="B295">
            <v>10058189</v>
          </cell>
          <cell r="C295" t="str">
            <v>STRAWBERRY　TEA　TF-20831　180KG</v>
          </cell>
          <cell r="D295">
            <v>2000</v>
          </cell>
          <cell r="E295" t="str">
            <v>ｱｲ・ｴﾌ・ｴﾌ日本㈱</v>
          </cell>
        </row>
        <row r="296">
          <cell r="B296">
            <v>10058193</v>
          </cell>
          <cell r="C296" t="str">
            <v>PINK　GRAPEFRUIT　J516097　180kg</v>
          </cell>
          <cell r="D296">
            <v>2000</v>
          </cell>
          <cell r="E296" t="str">
            <v>ｸｴｽﾄ　Ｉ・Ｊ・㈱</v>
          </cell>
        </row>
        <row r="297">
          <cell r="B297">
            <v>10058195</v>
          </cell>
          <cell r="C297" t="str">
            <v>ｼﾘｺﾝ SH5505　18ｋｇ</v>
          </cell>
          <cell r="D297">
            <v>1650</v>
          </cell>
          <cell r="E297" t="str">
            <v>稲畑産業㈱</v>
          </cell>
        </row>
        <row r="298">
          <cell r="B298">
            <v>10058205</v>
          </cell>
          <cell r="C298" t="str">
            <v>EMF YELLOW 3G　18ｋｇ</v>
          </cell>
          <cell r="D298">
            <v>1300</v>
          </cell>
          <cell r="E298" t="str">
            <v>㈱大共</v>
          </cell>
        </row>
        <row r="299">
          <cell r="B299">
            <v>10058315</v>
          </cell>
          <cell r="C299" t="str">
            <v>ｱﾗﾝﾄｲﾝ</v>
          </cell>
          <cell r="D299">
            <v>3700</v>
          </cell>
          <cell r="E299" t="str">
            <v>日本ﾊﾞﾙｸ薬品㈱</v>
          </cell>
        </row>
        <row r="300">
          <cell r="B300">
            <v>10058441</v>
          </cell>
          <cell r="C300" t="str">
            <v>TPｶﾙﾅﾊﾞ1号ﾊﾟｳﾀﾞｰ(食添)　20ｋｇ</v>
          </cell>
          <cell r="D300">
            <v>1100</v>
          </cell>
          <cell r="E300" t="str">
            <v>稲畑産業㈱</v>
          </cell>
        </row>
        <row r="301">
          <cell r="B301">
            <v>10058501</v>
          </cell>
          <cell r="C301" t="str">
            <v>局方　濃ｸﾞﾘｾﾘﾝ　250KG</v>
          </cell>
          <cell r="D301">
            <v>185</v>
          </cell>
          <cell r="E301" t="str">
            <v>稲畑産業㈱</v>
          </cell>
        </row>
        <row r="302">
          <cell r="B302">
            <v>10058557</v>
          </cell>
          <cell r="C302" t="str">
            <v>Mint　TP8513</v>
          </cell>
          <cell r="D302">
            <v>3000</v>
          </cell>
          <cell r="E302" t="str">
            <v>ｸｴｽﾄ　I・Ｊ・㈱</v>
          </cell>
        </row>
        <row r="303">
          <cell r="B303">
            <v>10058689</v>
          </cell>
          <cell r="C303" t="str">
            <v>薄荷特油</v>
          </cell>
          <cell r="D303">
            <v>3000</v>
          </cell>
          <cell r="E303" t="str">
            <v>長岡実業㈱</v>
          </cell>
        </row>
        <row r="304">
          <cell r="B304">
            <v>10058691</v>
          </cell>
          <cell r="C304" t="str">
            <v>ﾋﾉｷﾁｵｰﾙ</v>
          </cell>
          <cell r="D304">
            <v>130000</v>
          </cell>
          <cell r="E304" t="str">
            <v>高砂香料工業㈱</v>
          </cell>
        </row>
        <row r="305">
          <cell r="B305">
            <v>10058693</v>
          </cell>
          <cell r="C305" t="str">
            <v>酪酸ﾘﾎﾞﾌﾗﾋﾞﾝ</v>
          </cell>
          <cell r="D305">
            <v>26000</v>
          </cell>
          <cell r="E305" t="str">
            <v>日本ﾊﾞﾙｸ薬品㈱</v>
          </cell>
        </row>
        <row r="306">
          <cell r="B306">
            <v>10058695</v>
          </cell>
          <cell r="C306" t="str">
            <v>ｷｼﾘﾂﾄXC</v>
          </cell>
          <cell r="D306">
            <v>1800</v>
          </cell>
          <cell r="E306" t="str">
            <v>長瀬産業㈱</v>
          </cell>
        </row>
        <row r="307">
          <cell r="B307">
            <v>10058697</v>
          </cell>
          <cell r="C307" t="str">
            <v>塩酸ﾋﾟﾘﾄﾞｷｼﾝ</v>
          </cell>
          <cell r="D307">
            <v>7500</v>
          </cell>
          <cell r="E307" t="str">
            <v>日本ﾊﾞﾙｸ薬品㈱</v>
          </cell>
        </row>
        <row r="308">
          <cell r="B308">
            <v>10058699</v>
          </cell>
          <cell r="C308" t="str">
            <v>D-ｸﾞﾙｺｻﾐﾝ塩酸塩GM　20ｋｇ</v>
          </cell>
          <cell r="D308">
            <v>3500</v>
          </cell>
          <cell r="E308" t="str">
            <v>ﾕﾆｷｽ㈱</v>
          </cell>
        </row>
        <row r="309">
          <cell r="B309">
            <v>10058701</v>
          </cell>
          <cell r="C309" t="str">
            <v>ﾎﾟﾘｿﾙﾍﾞｰﾄ80　TW-120V</v>
          </cell>
          <cell r="D309">
            <v>710</v>
          </cell>
          <cell r="E309" t="str">
            <v>長瀬産業㈱</v>
          </cell>
        </row>
        <row r="310">
          <cell r="B310">
            <v>10058703</v>
          </cell>
          <cell r="C310" t="str">
            <v>ｷｼﾘﾂﾄP</v>
          </cell>
          <cell r="D310">
            <v>1900</v>
          </cell>
          <cell r="E310" t="str">
            <v>長瀬産業㈱</v>
          </cell>
        </row>
        <row r="311">
          <cell r="B311">
            <v>10058705</v>
          </cell>
          <cell r="C311" t="str">
            <v>ｼﾖｳﾖｳｱｸｾﾝﾄBL16259</v>
          </cell>
          <cell r="D311">
            <v>12300</v>
          </cell>
          <cell r="E311" t="str">
            <v>小川香料㈱</v>
          </cell>
        </row>
        <row r="312">
          <cell r="B312">
            <v>10058707</v>
          </cell>
          <cell r="C312" t="str">
            <v>ｸﾗﾌﾞﾐﾝS　15ｋｇ</v>
          </cell>
          <cell r="D312">
            <v>4500</v>
          </cell>
          <cell r="E312" t="str">
            <v>ｲﾜｷ㈱大阪支社</v>
          </cell>
        </row>
        <row r="313">
          <cell r="B313">
            <v>10058709</v>
          </cell>
          <cell r="C313" t="str">
            <v>日食ｱﾙｽﾀｰH　20ｋｇ</v>
          </cell>
          <cell r="D313">
            <v>390</v>
          </cell>
          <cell r="E313" t="str">
            <v>長瀬産業㈱</v>
          </cell>
        </row>
        <row r="314">
          <cell r="B314">
            <v>10058713</v>
          </cell>
          <cell r="C314" t="str">
            <v>ﾃﾞﾋﾞﾙｽｸﾛｰ乾燥ｴｷｽF　20ｋｇ</v>
          </cell>
          <cell r="D314">
            <v>11200</v>
          </cell>
          <cell r="E314" t="str">
            <v>ｱｽｸ薬品㈱</v>
          </cell>
        </row>
        <row r="315">
          <cell r="B315">
            <v>10058733</v>
          </cell>
          <cell r="C315" t="str">
            <v>Zein DP　5ｋｇ</v>
          </cell>
          <cell r="D315">
            <v>8100</v>
          </cell>
          <cell r="E315" t="str">
            <v>CBC㈱</v>
          </cell>
        </row>
        <row r="316">
          <cell r="B316">
            <v>10058735</v>
          </cell>
          <cell r="C316" t="str">
            <v>L-ｱｽｺﾙﾋﾞﾝ酸ﾌｧｲﾝﾊﾟｳﾀﾞｰ　25ｋｇ</v>
          </cell>
          <cell r="D316">
            <v>1600</v>
          </cell>
          <cell r="E316" t="str">
            <v>五協産業㈱</v>
          </cell>
        </row>
        <row r="317">
          <cell r="B317">
            <v>10058781</v>
          </cell>
          <cell r="C317" t="str">
            <v>ｄｌ-ｶﾝﾌﾙ</v>
          </cell>
          <cell r="D317">
            <v>750</v>
          </cell>
          <cell r="E317" t="str">
            <v>長岡実業㈱</v>
          </cell>
        </row>
        <row r="318">
          <cell r="B318">
            <v>10058785</v>
          </cell>
          <cell r="C318" t="str">
            <v>ﾎﾟﾘｵｷｼｴﾁﾚﾝ硬化ﾋﾏｼ油60</v>
          </cell>
          <cell r="D318">
            <v>860</v>
          </cell>
          <cell r="E318" t="str">
            <v>日光ｹﾐｶﾙｽﾞ㈱</v>
          </cell>
        </row>
        <row r="319">
          <cell r="B319">
            <v>10058787</v>
          </cell>
          <cell r="C319" t="str">
            <v>L-ﾒﾝﾄｰﾙ</v>
          </cell>
          <cell r="D319">
            <v>2600</v>
          </cell>
          <cell r="E319" t="str">
            <v>長岡実業㈱</v>
          </cell>
        </row>
        <row r="320">
          <cell r="B320">
            <v>10058803</v>
          </cell>
          <cell r="C320" t="str">
            <v>1.3ﾌﾞﾁﾚﾝｸﾞﾘｺｰﾙ</v>
          </cell>
          <cell r="D320">
            <v>490</v>
          </cell>
          <cell r="E320" t="str">
            <v>ｲﾜｷ㈱大阪支社</v>
          </cell>
        </row>
        <row r="321">
          <cell r="B321">
            <v>10058809</v>
          </cell>
          <cell r="C321" t="str">
            <v>ｱｽｺﾙﾋﾞﾝ酸(100ﾒｯｼｭ)</v>
          </cell>
          <cell r="D321">
            <v>1710</v>
          </cell>
          <cell r="E321" t="str">
            <v>日本ﾊﾞﾙｸ薬品㈱</v>
          </cell>
        </row>
        <row r="322">
          <cell r="B322">
            <v>10058811</v>
          </cell>
          <cell r="C322" t="str">
            <v>ｺﾊｸ酸ｄ-α-ﾄｺﾌｪﾛｰﾙ</v>
          </cell>
          <cell r="D322">
            <v>22000</v>
          </cell>
          <cell r="E322" t="str">
            <v>日本ﾊﾞﾙｸ薬品㈱</v>
          </cell>
        </row>
        <row r="323">
          <cell r="B323">
            <v>10058813</v>
          </cell>
          <cell r="C323" t="str">
            <v>ｷﾚｽﾄF-CA</v>
          </cell>
          <cell r="D323">
            <v>4000</v>
          </cell>
          <cell r="E323" t="str">
            <v>高砂香料工業㈱</v>
          </cell>
        </row>
        <row r="324">
          <cell r="B324">
            <v>10058815</v>
          </cell>
          <cell r="C324" t="str">
            <v>ﾎﾟﾘﾌﾟﾗｽﾄﾞﾝXL</v>
          </cell>
          <cell r="D324">
            <v>5000</v>
          </cell>
          <cell r="E324" t="str">
            <v>ｲﾜｷ㈱大阪支社</v>
          </cell>
        </row>
        <row r="325">
          <cell r="B325">
            <v>10058869</v>
          </cell>
          <cell r="C325" t="str">
            <v>局方　濃ｸﾞﾘｾﾘﾝ　22KG</v>
          </cell>
          <cell r="D325">
            <v>215</v>
          </cell>
          <cell r="E325" t="str">
            <v>稲畑産業㈱</v>
          </cell>
        </row>
        <row r="326">
          <cell r="B326">
            <v>10058871</v>
          </cell>
          <cell r="C326" t="str">
            <v>ｽﾀﾋﾞﾘｰｾﾞ　QM</v>
          </cell>
          <cell r="D326">
            <v>3500</v>
          </cell>
          <cell r="E326" t="str">
            <v>稲畑産業㈱</v>
          </cell>
        </row>
        <row r="327">
          <cell r="B327">
            <v>10058873</v>
          </cell>
          <cell r="C327" t="str">
            <v>乾燥水酸化ｱﾙﾐﾆｳﾑｹﾞﾙ　S-100　ﾊｯﾌﾟ剤用</v>
          </cell>
          <cell r="D327">
            <v>890</v>
          </cell>
          <cell r="E327" t="str">
            <v>ｲﾜｷ㈱大阪支社</v>
          </cell>
        </row>
        <row r="328">
          <cell r="B328">
            <v>10058875</v>
          </cell>
          <cell r="C328" t="str">
            <v>ｱｸｱﾘｯｸ　IH-L</v>
          </cell>
          <cell r="D328">
            <v>630</v>
          </cell>
          <cell r="E328" t="str">
            <v>㈱ﾄｰﾒﾝ</v>
          </cell>
        </row>
        <row r="329">
          <cell r="B329">
            <v>10058877</v>
          </cell>
          <cell r="C329" t="str">
            <v>ｺﾞｰｾﾉｰﾙ　EG-40</v>
          </cell>
          <cell r="D329">
            <v>795</v>
          </cell>
          <cell r="E329" t="str">
            <v>日本合成産業㈱</v>
          </cell>
        </row>
        <row r="330">
          <cell r="B330">
            <v>10058879</v>
          </cell>
          <cell r="C330" t="str">
            <v>L-ｼｽﾃｲﾝ</v>
          </cell>
          <cell r="D330">
            <v>7000</v>
          </cell>
          <cell r="E330" t="str">
            <v>㈱味の素ﾀｶﾗｺｰﾎﾟﾚｰｼｮﾝ</v>
          </cell>
        </row>
        <row r="331">
          <cell r="B331">
            <v>10058881</v>
          </cell>
          <cell r="C331" t="str">
            <v>ｱｽﾊﾟﾙﾃｰﾙ</v>
          </cell>
          <cell r="D331">
            <v>10500</v>
          </cell>
          <cell r="E331" t="str">
            <v>㈱味の素ﾀｶﾗｺｰﾎﾟﾚｰｼｮﾝ</v>
          </cell>
        </row>
        <row r="332">
          <cell r="B332">
            <v>10058883</v>
          </cell>
          <cell r="C332" t="str">
            <v>ｸｴﾝ酸</v>
          </cell>
          <cell r="D332">
            <v>450</v>
          </cell>
          <cell r="E332" t="str">
            <v>ｲﾜｷ㈱大阪支社</v>
          </cell>
        </row>
        <row r="333">
          <cell r="B333">
            <v>10058885</v>
          </cell>
          <cell r="C333" t="str">
            <v>ｼﾞﾌﾟﾛﾋﾟﾚﾝｸﾞﾘｺｰﾙ</v>
          </cell>
          <cell r="D333">
            <v>195</v>
          </cell>
          <cell r="E333" t="str">
            <v>稲畑産業㈱</v>
          </cell>
        </row>
        <row r="334">
          <cell r="B334">
            <v>10058887</v>
          </cell>
          <cell r="C334" t="str">
            <v>ﾊﾟﾅｶﾔｸ-N</v>
          </cell>
          <cell r="D334">
            <v>600</v>
          </cell>
          <cell r="E334" t="str">
            <v>日本ﾊﾞﾙｸ薬品㈱</v>
          </cell>
        </row>
        <row r="335">
          <cell r="B335">
            <v>10058889</v>
          </cell>
          <cell r="C335" t="str">
            <v>ｱﾋﾞｾﾙPH-302(結晶ｾﾙﾛｰｽ)</v>
          </cell>
          <cell r="D335">
            <v>1030</v>
          </cell>
          <cell r="E335" t="str">
            <v>日本ﾊﾞﾙｸ薬品㈱</v>
          </cell>
        </row>
        <row r="336">
          <cell r="B336">
            <v>10058919</v>
          </cell>
          <cell r="C336" t="str">
            <v>1.3-ﾌﾞﾁﾚﾝｸﾞﾘｺｰﾙ</v>
          </cell>
          <cell r="D336">
            <v>480</v>
          </cell>
          <cell r="E336" t="str">
            <v>岩瀬ｺｽﾌｧ㈱</v>
          </cell>
        </row>
        <row r="337">
          <cell r="B337">
            <v>10058921</v>
          </cell>
          <cell r="C337" t="str">
            <v>ｾﾛｹﾞﾝP-815C</v>
          </cell>
          <cell r="D337">
            <v>480</v>
          </cell>
          <cell r="E337" t="str">
            <v>第一工業製薬㈱</v>
          </cell>
        </row>
        <row r="338">
          <cell r="B338">
            <v>10058997</v>
          </cell>
          <cell r="C338" t="str">
            <v>L-酒石酸20M</v>
          </cell>
          <cell r="D338">
            <v>895</v>
          </cell>
          <cell r="E338" t="str">
            <v>五協産業㈱</v>
          </cell>
        </row>
        <row r="339">
          <cell r="B339">
            <v>10059083</v>
          </cell>
          <cell r="C339" t="str">
            <v>ﾆｯｺｰﾙ　EF-TOP</v>
          </cell>
          <cell r="D339">
            <v>22700</v>
          </cell>
          <cell r="E339" t="str">
            <v>日光ｹﾐｶﾙｽﾞ㈱</v>
          </cell>
        </row>
        <row r="340">
          <cell r="B340">
            <v>10059321</v>
          </cell>
          <cell r="C340" t="str">
            <v>黄色4号（ﾕﾆｯﾄ）</v>
          </cell>
          <cell r="D340">
            <v>4820</v>
          </cell>
          <cell r="E340" t="str">
            <v>日本ﾊﾞﾙｸ薬品㈱</v>
          </cell>
        </row>
        <row r="341">
          <cell r="B341">
            <v>10059511</v>
          </cell>
          <cell r="C341" t="str">
            <v>EMF BLUE 2R　15KG</v>
          </cell>
          <cell r="D341">
            <v>1400</v>
          </cell>
          <cell r="E341" t="str">
            <v>㈱大共</v>
          </cell>
        </row>
        <row r="342">
          <cell r="B342">
            <v>10059665</v>
          </cell>
          <cell r="C342" t="str">
            <v>ﾗｲﾑ　AR28008　180kg</v>
          </cell>
          <cell r="D342">
            <v>1800</v>
          </cell>
          <cell r="E342" t="str">
            <v>小川香料㈱</v>
          </cell>
        </row>
        <row r="343">
          <cell r="B343">
            <v>10059805</v>
          </cell>
          <cell r="C343" t="str">
            <v>ﾖｳ素</v>
          </cell>
          <cell r="D343">
            <v>4000</v>
          </cell>
          <cell r="E343" t="str">
            <v>ｲﾜｷ㈱大阪支社</v>
          </cell>
        </row>
        <row r="344">
          <cell r="B344">
            <v>10059807</v>
          </cell>
          <cell r="C344" t="str">
            <v>ﾎﾟﾋﾟﾄﾞﾝﾖｰﾄﾞ</v>
          </cell>
          <cell r="D344">
            <v>3900</v>
          </cell>
          <cell r="E344" t="str">
            <v>稲畑産業㈱</v>
          </cell>
        </row>
        <row r="345">
          <cell r="B345">
            <v>10059809</v>
          </cell>
          <cell r="C345" t="str">
            <v>ﾊﾞﾆﾗKS-1054</v>
          </cell>
          <cell r="D345">
            <v>7500</v>
          </cell>
          <cell r="E345" t="str">
            <v>稲畑香料㈱</v>
          </cell>
        </row>
        <row r="346">
          <cell r="B346">
            <v>10059813</v>
          </cell>
          <cell r="C346" t="str">
            <v>ｽﾄﾛﾍﾞﾘｰKS-912</v>
          </cell>
          <cell r="D346">
            <v>5</v>
          </cell>
          <cell r="E346" t="str">
            <v>稲畑香料㈱</v>
          </cell>
        </row>
        <row r="347">
          <cell r="B347">
            <v>10059815</v>
          </cell>
          <cell r="C347" t="str">
            <v>l-ﾒﾝﾄｰﾙ</v>
          </cell>
          <cell r="D347">
            <v>2600</v>
          </cell>
          <cell r="E347" t="str">
            <v>長岡実業㈱</v>
          </cell>
        </row>
        <row r="348">
          <cell r="B348">
            <v>10059939</v>
          </cell>
          <cell r="C348" t="str">
            <v>ｱｼｭﾜｶﾞﾝﾀﾞﾊﾟｳﾀﾞｰ　10kg</v>
          </cell>
          <cell r="D348">
            <v>13000</v>
          </cell>
          <cell r="E348" t="str">
            <v>日本新薬㈱</v>
          </cell>
        </row>
        <row r="349">
          <cell r="B349">
            <v>10059941</v>
          </cell>
          <cell r="C349" t="str">
            <v>ﾘﾝ酸三ｶﾙｼｳﾑ　10kg</v>
          </cell>
          <cell r="D349">
            <v>600</v>
          </cell>
          <cell r="E349" t="str">
            <v>ｲﾜｷ㈱大阪支社</v>
          </cell>
        </row>
        <row r="350">
          <cell r="B350">
            <v>10059945</v>
          </cell>
          <cell r="C350" t="str">
            <v>ｿﾌｫﾝ　1kg</v>
          </cell>
          <cell r="D350">
            <v>35000</v>
          </cell>
          <cell r="E350" t="str">
            <v>白鳥薬品㈱</v>
          </cell>
        </row>
        <row r="351">
          <cell r="B351">
            <v>10059947</v>
          </cell>
          <cell r="C351" t="str">
            <v>茶の素　16kg</v>
          </cell>
          <cell r="D351">
            <v>5300</v>
          </cell>
          <cell r="E351" t="str">
            <v>白鳥薬品㈱</v>
          </cell>
        </row>
        <row r="352">
          <cell r="B352">
            <v>10060075</v>
          </cell>
          <cell r="C352" t="str">
            <v>ﾐﾝﾄｵｲﾙType55　15kg</v>
          </cell>
          <cell r="D352">
            <v>1900</v>
          </cell>
          <cell r="E352" t="str">
            <v>長岡実業㈱</v>
          </cell>
        </row>
        <row r="353">
          <cell r="B353">
            <v>10060465</v>
          </cell>
          <cell r="C353" t="str">
            <v>EMF BLUE HGB　15KG</v>
          </cell>
          <cell r="D353">
            <v>1830</v>
          </cell>
          <cell r="E353" t="str">
            <v>㈱大共</v>
          </cell>
        </row>
        <row r="354">
          <cell r="B354">
            <v>10060467</v>
          </cell>
          <cell r="C354" t="str">
            <v>ｵﾚﾝｼﾞ　AR35156　180kg</v>
          </cell>
          <cell r="D354">
            <v>1800</v>
          </cell>
          <cell r="E354" t="str">
            <v>小川香料㈱</v>
          </cell>
        </row>
        <row r="355">
          <cell r="B355">
            <v>10060469</v>
          </cell>
          <cell r="C355" t="str">
            <v>SOAP　AB　7416　180kg</v>
          </cell>
          <cell r="D355">
            <v>1800</v>
          </cell>
          <cell r="E355" t="str">
            <v>塩野香料㈱</v>
          </cell>
        </row>
        <row r="356">
          <cell r="B356">
            <v>10060471</v>
          </cell>
          <cell r="C356" t="str">
            <v>ORANGE　DANCES　159239L　180kg</v>
          </cell>
          <cell r="D356">
            <v>2000</v>
          </cell>
          <cell r="E356" t="str">
            <v>日本ﾌｨﾙﾒﾆｯﾋ㈱</v>
          </cell>
        </row>
        <row r="357">
          <cell r="B357">
            <v>10060475</v>
          </cell>
          <cell r="C357" t="str">
            <v>R-206S　16kg</v>
          </cell>
          <cell r="D357">
            <v>300</v>
          </cell>
          <cell r="E357" t="str">
            <v>青本油脂工業㈱</v>
          </cell>
        </row>
        <row r="358">
          <cell r="B358">
            <v>10060477</v>
          </cell>
          <cell r="C358" t="str">
            <v>R-206S　10ｔ</v>
          </cell>
          <cell r="D358">
            <v>265</v>
          </cell>
          <cell r="E358" t="str">
            <v>青本油脂工業㈱</v>
          </cell>
        </row>
        <row r="359">
          <cell r="B359">
            <v>10060643</v>
          </cell>
          <cell r="C359" t="str">
            <v>ﾏｶ粉末　2kg</v>
          </cell>
          <cell r="D359">
            <v>5800</v>
          </cell>
          <cell r="E359" t="str">
            <v>ﾌｧｰﾏﾃｯｸ㈱</v>
          </cell>
        </row>
        <row r="360">
          <cell r="B360">
            <v>10060929</v>
          </cell>
          <cell r="C360" t="str">
            <v>黄色407号　5ｋｇ</v>
          </cell>
          <cell r="D360">
            <v>19500</v>
          </cell>
          <cell r="E360" t="str">
            <v>日本ﾊﾞﾙｸ薬品㈱</v>
          </cell>
        </row>
        <row r="361">
          <cell r="B361">
            <v>10061195</v>
          </cell>
          <cell r="C361" t="str">
            <v>ﾆｺﾁﾝ酸ｱﾐﾄﾞ　20Kg</v>
          </cell>
          <cell r="D361">
            <v>1600</v>
          </cell>
          <cell r="E361" t="str">
            <v>DSMﾆｭｰﾄﾘｼｮﾝｼﾞｬﾊﾟﾝ</v>
          </cell>
        </row>
        <row r="362">
          <cell r="B362">
            <v>10061197</v>
          </cell>
          <cell r="C362" t="str">
            <v>ﾋﾟﾘﾄﾞｷｼﾝ塩酸塩（VB6）20Kg</v>
          </cell>
          <cell r="D362">
            <v>4500</v>
          </cell>
          <cell r="E362" t="str">
            <v>DSMﾆｭｰﾄﾘｼｮﾝｼﾞｬﾊﾟﾝ</v>
          </cell>
        </row>
        <row r="363">
          <cell r="B363">
            <v>10061199</v>
          </cell>
          <cell r="C363" t="str">
            <v>葉酸　1000g</v>
          </cell>
          <cell r="D363">
            <v>14</v>
          </cell>
          <cell r="E363" t="str">
            <v>DSMﾆｭｰﾄﾘｼｮﾝｼﾞｬﾊﾟﾝ</v>
          </cell>
        </row>
        <row r="364">
          <cell r="B364">
            <v>10061201</v>
          </cell>
          <cell r="C364" t="str">
            <v>ﾁｱﾐﾝ塩酸塩（VB1）20Kg</v>
          </cell>
          <cell r="D364">
            <v>4300</v>
          </cell>
          <cell r="E364" t="str">
            <v>DSMﾆｭｰﾄﾘｼｮﾝｼﾞｬﾊﾟﾝ</v>
          </cell>
        </row>
        <row r="365">
          <cell r="B365">
            <v>10061203</v>
          </cell>
          <cell r="C365" t="str">
            <v>ﾘﾎﾞﾌﾗﾋﾞﾝ（VB2）10Kg</v>
          </cell>
          <cell r="D365">
            <v>10000</v>
          </cell>
          <cell r="E365" t="str">
            <v>理研ﾋﾞﾀﾐﾝ㈱</v>
          </cell>
        </row>
        <row r="366">
          <cell r="B366">
            <v>10061205</v>
          </cell>
          <cell r="C366" t="str">
            <v>ﾌﾟﾚﾐｯｸｽﾀｲﾌﾟﾋﾞｵﾁﾝ1%　5Kg</v>
          </cell>
          <cell r="D366">
            <v>12000</v>
          </cell>
          <cell r="E366" t="str">
            <v>DSMﾆｭｰﾄﾘｼｮﾝｼﾞｬﾊﾟﾝ</v>
          </cell>
        </row>
        <row r="367">
          <cell r="B367">
            <v>10062077</v>
          </cell>
          <cell r="C367" t="str">
            <v>99度特定ｱﾙｺｰﾙ　14.2kg</v>
          </cell>
          <cell r="D367">
            <v>1370</v>
          </cell>
          <cell r="E367" t="str">
            <v>ｺﾆｼ㈱</v>
          </cell>
        </row>
        <row r="368">
          <cell r="B368">
            <v>10062567</v>
          </cell>
          <cell r="C368" t="str">
            <v>ｄｌ-ｶﾝﾌﾙ（一般用）</v>
          </cell>
          <cell r="D368">
            <v>750</v>
          </cell>
          <cell r="E368" t="str">
            <v>長岡実業㈱</v>
          </cell>
        </row>
        <row r="369">
          <cell r="B369">
            <v>10062665</v>
          </cell>
          <cell r="C369" t="str">
            <v>茶の素　7kg</v>
          </cell>
          <cell r="D369">
            <v>5300</v>
          </cell>
          <cell r="E369" t="str">
            <v>白鳥薬品㈱</v>
          </cell>
        </row>
        <row r="370">
          <cell r="B370">
            <v>10062667</v>
          </cell>
          <cell r="C370" t="str">
            <v>ソフォン　5kg</v>
          </cell>
          <cell r="D370">
            <v>35000</v>
          </cell>
          <cell r="E370" t="str">
            <v>白鳥薬品㈱</v>
          </cell>
        </row>
        <row r="371">
          <cell r="B371">
            <v>10059091</v>
          </cell>
          <cell r="C371" t="str">
            <v>ｶｰﾌﾟﾚｯｸｽ#80（ﾕﾆｯﾄ）</v>
          </cell>
          <cell r="D371">
            <v>334</v>
          </cell>
          <cell r="E371" t="str">
            <v>ｲﾜｷ㈱大阪支社</v>
          </cell>
        </row>
        <row r="372">
          <cell r="B372">
            <v>10063775</v>
          </cell>
          <cell r="C372" t="str">
            <v>ﾛｰｽﾞﾋｯﾌﾟ　AR39271　15kg</v>
          </cell>
          <cell r="D372">
            <v>2000</v>
          </cell>
          <cell r="E372" t="str">
            <v>小川香料㈱</v>
          </cell>
        </row>
        <row r="373">
          <cell r="B373">
            <v>10059947</v>
          </cell>
          <cell r="C373" t="str">
            <v>茶の素　16kg</v>
          </cell>
          <cell r="D373">
            <v>5300</v>
          </cell>
          <cell r="E373" t="str">
            <v>白鳥薬品㈱</v>
          </cell>
        </row>
        <row r="374">
          <cell r="B374">
            <v>10060075</v>
          </cell>
          <cell r="C374" t="str">
            <v>ﾐﾝﾄｵｲﾙType55　15kg</v>
          </cell>
          <cell r="D374">
            <v>1900</v>
          </cell>
          <cell r="E374" t="str">
            <v>長岡実業㈱</v>
          </cell>
        </row>
        <row r="375">
          <cell r="B375">
            <v>10060465</v>
          </cell>
          <cell r="C375" t="str">
            <v>EMF BLUE HGB　15KG</v>
          </cell>
          <cell r="D375">
            <v>1830</v>
          </cell>
          <cell r="E375" t="str">
            <v>㈱大共</v>
          </cell>
        </row>
        <row r="376">
          <cell r="B376">
            <v>10060467</v>
          </cell>
          <cell r="C376" t="str">
            <v>ｵﾚﾝｼﾞ　AR35156　180kg</v>
          </cell>
          <cell r="D376">
            <v>1800</v>
          </cell>
          <cell r="E376" t="str">
            <v>小川香料㈱</v>
          </cell>
        </row>
        <row r="377">
          <cell r="B377">
            <v>10060469</v>
          </cell>
          <cell r="C377" t="str">
            <v>SOAP　AB　7416　180kg</v>
          </cell>
          <cell r="D377">
            <v>1800</v>
          </cell>
          <cell r="E377" t="str">
            <v>塩野香料㈱</v>
          </cell>
        </row>
        <row r="378">
          <cell r="B378">
            <v>10060471</v>
          </cell>
          <cell r="C378" t="str">
            <v>ORANGE　DANCES　159239L　180kg</v>
          </cell>
          <cell r="D378">
            <v>2000</v>
          </cell>
          <cell r="E378" t="str">
            <v>日本ﾌｨﾙﾒﾆｯﾋ㈱</v>
          </cell>
        </row>
        <row r="379">
          <cell r="B379">
            <v>10060475</v>
          </cell>
          <cell r="C379" t="str">
            <v>R-206S　16kg</v>
          </cell>
          <cell r="D379">
            <v>300</v>
          </cell>
          <cell r="E379" t="str">
            <v>青本油脂工業㈱</v>
          </cell>
        </row>
        <row r="380">
          <cell r="B380">
            <v>10060477</v>
          </cell>
          <cell r="C380" t="str">
            <v>R-206S　10ｔ</v>
          </cell>
          <cell r="D380">
            <v>268.5</v>
          </cell>
          <cell r="E380" t="str">
            <v>青本油脂工業㈱</v>
          </cell>
        </row>
        <row r="381">
          <cell r="B381">
            <v>10060643</v>
          </cell>
          <cell r="C381" t="str">
            <v>ﾏｶ粉末　2kg</v>
          </cell>
          <cell r="D381">
            <v>5800</v>
          </cell>
          <cell r="E381" t="str">
            <v>ﾌｧｰﾏﾃｯｸ㈱</v>
          </cell>
        </row>
        <row r="382">
          <cell r="B382">
            <v>10060929</v>
          </cell>
          <cell r="C382" t="str">
            <v>黄色407号　5ｋｇ</v>
          </cell>
          <cell r="D382">
            <v>19500</v>
          </cell>
          <cell r="E382" t="str">
            <v>日本ﾊﾞﾙｸ薬品㈱</v>
          </cell>
        </row>
        <row r="383">
          <cell r="B383">
            <v>10061195</v>
          </cell>
          <cell r="C383" t="str">
            <v>ﾆｺﾁﾝ酸ｱﾐﾄﾞ　20Kg</v>
          </cell>
          <cell r="D383">
            <v>1600</v>
          </cell>
          <cell r="E383" t="str">
            <v>DSMﾆｭｰﾄﾘｼｮﾝｼﾞｬﾊﾟﾝ</v>
          </cell>
        </row>
        <row r="384">
          <cell r="B384">
            <v>10061197</v>
          </cell>
          <cell r="C384" t="str">
            <v>ﾋﾟﾘﾄﾞｷｼﾝ塩酸塩（VB6）20Kg</v>
          </cell>
          <cell r="D384">
            <v>4500</v>
          </cell>
          <cell r="E384" t="str">
            <v>DSMﾆｭｰﾄﾘｼｮﾝｼﾞｬﾊﾟﾝ</v>
          </cell>
        </row>
        <row r="385">
          <cell r="B385">
            <v>10061199</v>
          </cell>
          <cell r="C385" t="str">
            <v>葉酸　1000g</v>
          </cell>
          <cell r="D385">
            <v>14</v>
          </cell>
          <cell r="E385" t="str">
            <v>DSMﾆｭｰﾄﾘｼｮﾝｼﾞｬﾊﾟﾝ</v>
          </cell>
        </row>
        <row r="386">
          <cell r="B386">
            <v>10061201</v>
          </cell>
          <cell r="C386" t="str">
            <v>ﾁｱﾐﾝ塩酸塩（VB1）20Kg</v>
          </cell>
          <cell r="D386">
            <v>4300</v>
          </cell>
          <cell r="E386" t="str">
            <v>DSMﾆｭｰﾄﾘｼｮﾝｼﾞｬﾊﾟﾝ</v>
          </cell>
        </row>
        <row r="387">
          <cell r="B387">
            <v>10061203</v>
          </cell>
          <cell r="C387" t="str">
            <v>ﾘﾎﾞﾌﾗﾋﾞﾝ（VB2）10Kg</v>
          </cell>
          <cell r="D387">
            <v>10000</v>
          </cell>
          <cell r="E387" t="str">
            <v>理研ﾋﾞﾀﾐﾝ㈱</v>
          </cell>
        </row>
        <row r="388">
          <cell r="B388">
            <v>10061205</v>
          </cell>
          <cell r="C388" t="str">
            <v>ﾌﾟﾚﾐｯｸｽﾀｲﾌﾟﾋﾞｵﾁﾝ1%　5Kg</v>
          </cell>
          <cell r="D388">
            <v>12000</v>
          </cell>
          <cell r="E388" t="str">
            <v>DSMﾆｭｰﾄﾘｼｮﾝｼﾞｬﾊﾟﾝ</v>
          </cell>
        </row>
        <row r="389">
          <cell r="B389">
            <v>10061221</v>
          </cell>
          <cell r="C389" t="str">
            <v>黄色203号</v>
          </cell>
          <cell r="D389">
            <v>31000</v>
          </cell>
          <cell r="E389" t="str">
            <v>長瀬産業㈱</v>
          </cell>
        </row>
        <row r="390">
          <cell r="B390">
            <v>10062077</v>
          </cell>
          <cell r="C390" t="str">
            <v>99度特定ｱﾙｺｰﾙ　14.2kg</v>
          </cell>
          <cell r="D390">
            <v>1370</v>
          </cell>
          <cell r="E390" t="str">
            <v>ｺﾆｼ㈱</v>
          </cell>
        </row>
        <row r="391">
          <cell r="B391">
            <v>10062567</v>
          </cell>
          <cell r="C391" t="str">
            <v>ｄｌ-ｶﾝﾌﾙ（一般用）</v>
          </cell>
          <cell r="D391">
            <v>750</v>
          </cell>
          <cell r="E391" t="str">
            <v>長岡実業㈱</v>
          </cell>
        </row>
        <row r="392">
          <cell r="B392">
            <v>10062665</v>
          </cell>
          <cell r="C392" t="str">
            <v>茶の素　7kg</v>
          </cell>
          <cell r="D392">
            <v>5300</v>
          </cell>
          <cell r="E392" t="str">
            <v>白鳥薬品㈱</v>
          </cell>
        </row>
        <row r="393">
          <cell r="B393">
            <v>10062667</v>
          </cell>
          <cell r="C393" t="str">
            <v>ソフォン　5kg</v>
          </cell>
          <cell r="D393">
            <v>35000</v>
          </cell>
          <cell r="E393" t="str">
            <v>白鳥薬品㈱</v>
          </cell>
        </row>
        <row r="394">
          <cell r="B394">
            <v>10063727</v>
          </cell>
          <cell r="C394" t="str">
            <v>T．FLORAL　98110　180kg</v>
          </cell>
          <cell r="D394">
            <v>1700</v>
          </cell>
          <cell r="E394" t="str">
            <v>稲畑香料㈱</v>
          </cell>
        </row>
        <row r="395">
          <cell r="B395">
            <v>10063775</v>
          </cell>
          <cell r="C395" t="str">
            <v>ﾛｰｽﾞﾋｯﾌﾟ　AR39271　15kg</v>
          </cell>
          <cell r="D395">
            <v>2000</v>
          </cell>
          <cell r="E395" t="str">
            <v>小川香料㈱</v>
          </cell>
        </row>
        <row r="396">
          <cell r="B396">
            <v>10063835</v>
          </cell>
          <cell r="C396" t="str">
            <v>ﾘﾝｺﾞ酸S（ﾌｿｳ）25kg</v>
          </cell>
          <cell r="D396">
            <v>315</v>
          </cell>
          <cell r="E396" t="str">
            <v>稲畑産業㈱</v>
          </cell>
        </row>
        <row r="397">
          <cell r="B397">
            <v>10063887</v>
          </cell>
          <cell r="C397" t="str">
            <v>Blue　Lime　151790　180KG</v>
          </cell>
          <cell r="D397">
            <v>1500</v>
          </cell>
          <cell r="E397" t="str">
            <v>日本ﾌｨﾙﾒﾆｯﾋ㈱</v>
          </cell>
        </row>
        <row r="398">
          <cell r="B398">
            <v>10063891</v>
          </cell>
          <cell r="C398" t="str">
            <v>ﾌﾛｰﾗﾙｿｰﾌﾟ　KWT-3425　180KG</v>
          </cell>
          <cell r="D398">
            <v>1500</v>
          </cell>
          <cell r="E398" t="str">
            <v>長谷川香料㈱　大阪支店</v>
          </cell>
        </row>
        <row r="399">
          <cell r="B399">
            <v>10063903</v>
          </cell>
          <cell r="C399" t="str">
            <v>ﾉｲｹﾞﾝ　LP-100　18KG</v>
          </cell>
          <cell r="D399">
            <v>310</v>
          </cell>
          <cell r="E399" t="str">
            <v>第一工業製薬㈱</v>
          </cell>
        </row>
        <row r="400">
          <cell r="B400">
            <v>10063919</v>
          </cell>
          <cell r="C400" t="str">
            <v>ELEGANT　J514999　180kg</v>
          </cell>
          <cell r="D400">
            <v>1500</v>
          </cell>
          <cell r="E400" t="str">
            <v>ｸｴｽﾄI・J・㈱</v>
          </cell>
        </row>
        <row r="401">
          <cell r="B401">
            <v>10063969</v>
          </cell>
          <cell r="C401" t="str">
            <v>DEOATAK　P1-G　C-27001　10KG</v>
          </cell>
          <cell r="D401">
            <v>6072</v>
          </cell>
          <cell r="E401" t="str">
            <v>高砂香料工業㈱</v>
          </cell>
        </row>
        <row r="402">
          <cell r="B402">
            <v>10063991</v>
          </cell>
          <cell r="C402" t="str">
            <v>塩化ｾﾁﾙﾋﾟﾘｼﾞｳﾑ　（CPC）（ﾀﾌ）</v>
          </cell>
          <cell r="D402">
            <v>6800</v>
          </cell>
          <cell r="E402" t="str">
            <v>不二化学薬品㈱</v>
          </cell>
        </row>
        <row r="403">
          <cell r="B403">
            <v>10063993</v>
          </cell>
          <cell r="C403" t="str">
            <v>SPEAMINT　KB-2235T　200kg</v>
          </cell>
          <cell r="D403">
            <v>4950</v>
          </cell>
          <cell r="E403" t="str">
            <v>日本ﾌｨﾙﾒﾆｯﾋ㈱</v>
          </cell>
        </row>
        <row r="404">
          <cell r="B404">
            <v>10064049</v>
          </cell>
          <cell r="C404" t="str">
            <v>白色ﾜｾﾘﾝ１S</v>
          </cell>
          <cell r="D404">
            <v>400</v>
          </cell>
          <cell r="E404" t="str">
            <v>島貿易㈱</v>
          </cell>
        </row>
        <row r="405">
          <cell r="B405">
            <v>10064069</v>
          </cell>
          <cell r="C405" t="str">
            <v>TINUVIN　571　20KG</v>
          </cell>
          <cell r="D405">
            <v>6500</v>
          </cell>
          <cell r="E405" t="str">
            <v>稲畑産業㈱</v>
          </cell>
        </row>
        <row r="406">
          <cell r="B406">
            <v>10064071</v>
          </cell>
          <cell r="C406" t="str">
            <v>VARIFAST　BLUE　1603</v>
          </cell>
          <cell r="D406">
            <v>16500</v>
          </cell>
          <cell r="E406" t="str">
            <v>稲畑産業㈱</v>
          </cell>
        </row>
        <row r="407">
          <cell r="B407">
            <v>10064073</v>
          </cell>
          <cell r="C407" t="str">
            <v>LANASOL　RED　B（10KG）</v>
          </cell>
          <cell r="D407">
            <v>6000</v>
          </cell>
          <cell r="E407" t="str">
            <v>長瀬産業㈱</v>
          </cell>
        </row>
        <row r="408">
          <cell r="B408">
            <v>10064091</v>
          </cell>
          <cell r="C408" t="str">
            <v>ﾊｲﾃﾉｰﾙ325L　18kg</v>
          </cell>
          <cell r="D408">
            <v>153</v>
          </cell>
          <cell r="E408" t="str">
            <v>第一工業製薬㈱</v>
          </cell>
        </row>
        <row r="409">
          <cell r="B409">
            <v>10064507</v>
          </cell>
          <cell r="C409" t="str">
            <v>ﾛｰｽﾞﾋｯﾌﾟ　AR39859　180kg</v>
          </cell>
          <cell r="D409">
            <v>2000</v>
          </cell>
          <cell r="E409" t="str">
            <v>小川香料㈱</v>
          </cell>
        </row>
        <row r="410">
          <cell r="B410">
            <v>10061607</v>
          </cell>
          <cell r="C410" t="str">
            <v>ｼｬｸﾔｸｴｷｽ　A</v>
          </cell>
          <cell r="D410">
            <v>6000</v>
          </cell>
          <cell r="E410" t="str">
            <v>ｲﾜｷ㈱大阪支社</v>
          </cell>
        </row>
        <row r="411">
          <cell r="B411">
            <v>10061827</v>
          </cell>
          <cell r="C411" t="str">
            <v>局方ｴﾀﾉｰﾙ95%</v>
          </cell>
          <cell r="D411">
            <v>1099</v>
          </cell>
          <cell r="E411" t="str">
            <v>ｺﾆｼ㈱</v>
          </cell>
        </row>
        <row r="412">
          <cell r="B412">
            <v>10061829</v>
          </cell>
          <cell r="C412" t="str">
            <v>L-ﾒﾝﾄｰﾙ</v>
          </cell>
          <cell r="D412">
            <v>2600</v>
          </cell>
          <cell r="E412" t="str">
            <v>長岡実業㈱</v>
          </cell>
        </row>
        <row r="413">
          <cell r="B413">
            <v>10064603</v>
          </cell>
          <cell r="C413" t="str">
            <v>RS.MOON　KB　4066　180ｋｇ</v>
          </cell>
          <cell r="D413">
            <v>1700</v>
          </cell>
          <cell r="E413" t="str">
            <v>稲畑香料㈱</v>
          </cell>
        </row>
        <row r="414">
          <cell r="B414">
            <v>10064343</v>
          </cell>
          <cell r="C414" t="str">
            <v>硝酸ｵｷｼｺﾅｿﾞｰﾙ</v>
          </cell>
          <cell r="D414">
            <v>70000</v>
          </cell>
          <cell r="E414" t="str">
            <v>稲畑産業㈱</v>
          </cell>
        </row>
        <row r="415">
          <cell r="B415">
            <v>10064345</v>
          </cell>
          <cell r="C415" t="str">
            <v>ｸﾛﾀﾐﾄﾝ</v>
          </cell>
          <cell r="D415">
            <v>3380</v>
          </cell>
          <cell r="E415" t="str">
            <v>稲畑産業㈱</v>
          </cell>
        </row>
        <row r="416">
          <cell r="B416">
            <v>10064347</v>
          </cell>
          <cell r="C416" t="str">
            <v>炭酸ﾌﾟﾛﾋﾟﾚﾝ</v>
          </cell>
          <cell r="D416">
            <v>900</v>
          </cell>
          <cell r="E416" t="str">
            <v>日光ｹﾐｶﾙｽﾞ㈱</v>
          </cell>
        </row>
        <row r="417">
          <cell r="B417">
            <v>10064961</v>
          </cell>
          <cell r="C417" t="str">
            <v>ｼﾞﾌﾞﾁﾙﾋﾄﾞﾛｷｼﾄﾙｴﾝ</v>
          </cell>
          <cell r="D417">
            <v>1450</v>
          </cell>
          <cell r="E417" t="str">
            <v>三栄化工㈱</v>
          </cell>
        </row>
        <row r="418">
          <cell r="B418">
            <v>10064403</v>
          </cell>
          <cell r="C418" t="str">
            <v>無水ｴﾀﾉｰﾙ</v>
          </cell>
          <cell r="D418">
            <v>1100</v>
          </cell>
          <cell r="E418" t="str">
            <v>ｺﾆｼ㈱</v>
          </cell>
        </row>
        <row r="419">
          <cell r="B419">
            <v>10064891</v>
          </cell>
          <cell r="C419" t="str">
            <v>酸化ﾁﾀﾝ</v>
          </cell>
          <cell r="D419">
            <v>1100</v>
          </cell>
          <cell r="E419" t="str">
            <v>繁和産業㈱</v>
          </cell>
        </row>
        <row r="420">
          <cell r="B420">
            <v>10059507</v>
          </cell>
          <cell r="C420" t="str">
            <v>YUKI　AB7418　180KG</v>
          </cell>
          <cell r="D420">
            <v>1700</v>
          </cell>
          <cell r="E420" t="str">
            <v>塩野香料㈱</v>
          </cell>
        </row>
        <row r="421">
          <cell r="B421">
            <v>10065991</v>
          </cell>
          <cell r="C421" t="str">
            <v>TUKLIMIS　1480　180kg</v>
          </cell>
          <cell r="D421">
            <v>1300</v>
          </cell>
          <cell r="E421" t="str">
            <v>塩野香料㈱</v>
          </cell>
        </row>
        <row r="422">
          <cell r="B422">
            <v>10065993</v>
          </cell>
          <cell r="C422" t="str">
            <v>TUKLIMIS　1922　180kg</v>
          </cell>
          <cell r="D422">
            <v>1300</v>
          </cell>
          <cell r="E422" t="str">
            <v>塩野香料㈱</v>
          </cell>
        </row>
        <row r="423">
          <cell r="B423">
            <v>10065995</v>
          </cell>
          <cell r="C423" t="str">
            <v>YKS-YM　4271</v>
          </cell>
          <cell r="D423">
            <v>2500</v>
          </cell>
          <cell r="E423" t="str">
            <v>油脂製品㈱</v>
          </cell>
        </row>
        <row r="424">
          <cell r="B424">
            <v>10064341</v>
          </cell>
          <cell r="C424" t="str">
            <v>ﾋﾞｵﾁﾝ</v>
          </cell>
          <cell r="D424">
            <v>1600000</v>
          </cell>
          <cell r="E424" t="str">
            <v>繁和産業㈱</v>
          </cell>
        </row>
        <row r="425">
          <cell r="B425">
            <v>10065989</v>
          </cell>
          <cell r="C425" t="str">
            <v>ﾎﾜｲﾄｼﾞｬｽﾐﾝ　AR40005　180kg</v>
          </cell>
          <cell r="D425">
            <v>1800</v>
          </cell>
          <cell r="E425" t="str">
            <v>小川香料㈱</v>
          </cell>
        </row>
        <row r="426">
          <cell r="B426">
            <v>10054957</v>
          </cell>
          <cell r="C426" t="str">
            <v>SAKURA　AB　7058</v>
          </cell>
          <cell r="D426">
            <v>2000</v>
          </cell>
          <cell r="E426" t="str">
            <v>塩野香料㈱</v>
          </cell>
        </row>
        <row r="427">
          <cell r="B427">
            <v>10008819</v>
          </cell>
          <cell r="C427" t="str">
            <v>BARQUAT　MS-100</v>
          </cell>
          <cell r="D427">
            <v>3500</v>
          </cell>
          <cell r="E427" t="str">
            <v>ﾛﾝｻﾞｼﾞｬﾊﾟﾝ㈱</v>
          </cell>
        </row>
        <row r="428">
          <cell r="B428">
            <v>10024331</v>
          </cell>
          <cell r="C428" t="str">
            <v>ｿﾙﾋﾞｯﾄ　DP-50M　20KG</v>
          </cell>
          <cell r="D428">
            <v>350</v>
          </cell>
          <cell r="E428" t="str">
            <v>長瀬産業㈱</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Aコープ)"/>
      <sheetName val="表紙 (ジェムコ)"/>
      <sheetName val="６ヶ月計画書"/>
      <sheetName val="３ヶ月計画書(前半)"/>
      <sheetName val="３ヶ月計画書_前半_"/>
      <sheetName val="マスター"/>
      <sheetName val="9月"/>
      <sheetName val="個人データ"/>
      <sheetName val="ﾌﾟﾚｾﾞﾝ資"/>
      <sheetName val="10.20-11.12"/>
      <sheetName val="98春見積"/>
      <sheetName val="基本cvs動向"/>
      <sheetName val="MARCH"/>
      <sheetName val="ｷﾞﾌﾄ"/>
      <sheetName val="55胃腸薬"/>
      <sheetName val="#REF!"/>
      <sheetName val="note"/>
      <sheetName val="表紙_(ジェムコ)"/>
      <sheetName val="10_20-11_12"/>
      <sheetName val="3ヶ月計画書(前半)"/>
      <sheetName val="tenso"/>
      <sheetName val="(参)個店"/>
      <sheetName val="rd9501v"/>
      <sheetName val="rd9505a"/>
      <sheetName val="#REF"/>
      <sheetName val="Sheet1"/>
      <sheetName val="POS Info"/>
      <sheetName val="SGA&amp;F"/>
      <sheetName val="Cost of Goods Manu"/>
      <sheetName val="DATA"/>
      <sheetName val="クロス昨年"/>
      <sheetName val="クロス売上"/>
      <sheetName val="入力用"/>
    </sheetNames>
    <sheetDataSet>
      <sheetData sheetId="0"/>
      <sheetData sheetId="1"/>
      <sheetData sheetId="2"/>
      <sheetData sheetId="3">
        <row r="15">
          <cell r="C15">
            <v>300</v>
          </cell>
          <cell r="E15">
            <v>250</v>
          </cell>
          <cell r="G15">
            <v>150</v>
          </cell>
          <cell r="I15">
            <v>136</v>
          </cell>
          <cell r="K15">
            <v>150</v>
          </cell>
          <cell r="M15">
            <v>161</v>
          </cell>
        </row>
        <row r="16">
          <cell r="C16">
            <v>100</v>
          </cell>
          <cell r="E16">
            <v>90</v>
          </cell>
          <cell r="G16">
            <v>250</v>
          </cell>
          <cell r="I16">
            <v>184</v>
          </cell>
          <cell r="K16">
            <v>200</v>
          </cell>
          <cell r="M16">
            <v>247</v>
          </cell>
        </row>
        <row r="17">
          <cell r="C17">
            <v>200</v>
          </cell>
          <cell r="E17">
            <v>120</v>
          </cell>
          <cell r="G17">
            <v>100</v>
          </cell>
          <cell r="I17">
            <v>217</v>
          </cell>
          <cell r="K17">
            <v>100</v>
          </cell>
          <cell r="M17">
            <v>328</v>
          </cell>
        </row>
        <row r="18">
          <cell r="C18">
            <v>200</v>
          </cell>
          <cell r="E18">
            <v>201</v>
          </cell>
          <cell r="G18">
            <v>3000</v>
          </cell>
          <cell r="I18">
            <v>1128</v>
          </cell>
          <cell r="K18">
            <v>1000</v>
          </cell>
          <cell r="M18">
            <v>1292</v>
          </cell>
        </row>
        <row r="19">
          <cell r="C19">
            <v>50</v>
          </cell>
          <cell r="E19">
            <v>46</v>
          </cell>
          <cell r="G19">
            <v>500</v>
          </cell>
          <cell r="I19">
            <v>144</v>
          </cell>
          <cell r="K19">
            <v>300</v>
          </cell>
          <cell r="M19">
            <v>196</v>
          </cell>
        </row>
        <row r="20">
          <cell r="C20">
            <v>200</v>
          </cell>
          <cell r="E20">
            <v>191</v>
          </cell>
          <cell r="G20">
            <v>320</v>
          </cell>
          <cell r="I20">
            <v>42</v>
          </cell>
          <cell r="K20">
            <v>144</v>
          </cell>
          <cell r="M20">
            <v>311</v>
          </cell>
        </row>
        <row r="21">
          <cell r="C21">
            <v>1200</v>
          </cell>
          <cell r="E21">
            <v>1456</v>
          </cell>
          <cell r="G21">
            <v>60</v>
          </cell>
          <cell r="I21">
            <v>75</v>
          </cell>
          <cell r="K21">
            <v>100</v>
          </cell>
          <cell r="M21">
            <v>144</v>
          </cell>
        </row>
        <row r="22">
          <cell r="C22">
            <v>200</v>
          </cell>
          <cell r="E22">
            <v>150</v>
          </cell>
          <cell r="G22">
            <v>200</v>
          </cell>
          <cell r="I22">
            <v>203</v>
          </cell>
          <cell r="K22">
            <v>200</v>
          </cell>
          <cell r="M22">
            <v>223</v>
          </cell>
        </row>
        <row r="23">
          <cell r="C23">
            <v>60</v>
          </cell>
          <cell r="E23">
            <v>144</v>
          </cell>
          <cell r="G23">
            <v>1000</v>
          </cell>
          <cell r="I23">
            <v>2129</v>
          </cell>
          <cell r="K23">
            <v>1000</v>
          </cell>
          <cell r="M23">
            <v>1505</v>
          </cell>
        </row>
        <row r="24">
          <cell r="C24">
            <v>200</v>
          </cell>
          <cell r="E24">
            <v>230</v>
          </cell>
          <cell r="G24">
            <v>264</v>
          </cell>
          <cell r="I24">
            <v>60</v>
          </cell>
          <cell r="K24">
            <v>140</v>
          </cell>
          <cell r="M24">
            <v>54</v>
          </cell>
        </row>
        <row r="25">
          <cell r="C25">
            <v>200</v>
          </cell>
          <cell r="E25">
            <v>184</v>
          </cell>
          <cell r="G25">
            <v>200</v>
          </cell>
          <cell r="I25">
            <v>87</v>
          </cell>
          <cell r="K25">
            <v>600</v>
          </cell>
          <cell r="M25">
            <v>268</v>
          </cell>
        </row>
        <row r="26">
          <cell r="C26">
            <v>200</v>
          </cell>
          <cell r="E26">
            <v>148</v>
          </cell>
          <cell r="G26">
            <v>360</v>
          </cell>
          <cell r="I26">
            <v>166</v>
          </cell>
          <cell r="K26">
            <v>100</v>
          </cell>
          <cell r="M26">
            <v>412</v>
          </cell>
        </row>
        <row r="27">
          <cell r="M27">
            <v>581</v>
          </cell>
        </row>
        <row r="28">
          <cell r="M28">
            <v>131</v>
          </cell>
        </row>
        <row r="30">
          <cell r="C30">
            <v>960</v>
          </cell>
          <cell r="E30">
            <v>920</v>
          </cell>
          <cell r="G30">
            <v>2500</v>
          </cell>
          <cell r="I30">
            <v>1279</v>
          </cell>
          <cell r="K30">
            <v>1300</v>
          </cell>
          <cell r="M30">
            <v>2055</v>
          </cell>
        </row>
        <row r="32">
          <cell r="C32">
            <v>465</v>
          </cell>
          <cell r="G32">
            <v>124</v>
          </cell>
          <cell r="K32">
            <v>420</v>
          </cell>
        </row>
        <row r="33">
          <cell r="C33">
            <v>213</v>
          </cell>
          <cell r="G33">
            <v>121</v>
          </cell>
          <cell r="K33">
            <v>120</v>
          </cell>
        </row>
        <row r="34">
          <cell r="C34">
            <v>246</v>
          </cell>
          <cell r="G34">
            <v>242</v>
          </cell>
          <cell r="K34">
            <v>171</v>
          </cell>
        </row>
        <row r="35">
          <cell r="C35">
            <v>430</v>
          </cell>
          <cell r="G35">
            <v>129</v>
          </cell>
          <cell r="K35">
            <v>804</v>
          </cell>
        </row>
        <row r="36">
          <cell r="C36">
            <v>284</v>
          </cell>
          <cell r="G36">
            <v>3600</v>
          </cell>
          <cell r="K36">
            <v>102</v>
          </cell>
        </row>
        <row r="37">
          <cell r="C37">
            <v>278</v>
          </cell>
          <cell r="G37">
            <v>526</v>
          </cell>
          <cell r="K37">
            <v>263</v>
          </cell>
        </row>
        <row r="38">
          <cell r="C38">
            <v>2050</v>
          </cell>
          <cell r="G38">
            <v>430</v>
          </cell>
          <cell r="K38">
            <v>960</v>
          </cell>
        </row>
        <row r="39">
          <cell r="C39">
            <v>183</v>
          </cell>
          <cell r="G39">
            <v>5300</v>
          </cell>
          <cell r="K39">
            <v>190</v>
          </cell>
        </row>
        <row r="40">
          <cell r="G40">
            <v>1116</v>
          </cell>
        </row>
        <row r="41">
          <cell r="C41">
            <v>1090</v>
          </cell>
          <cell r="G41">
            <v>2050</v>
          </cell>
          <cell r="K41">
            <v>1160</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不具合発生"/>
      <sheetName val="資材Ｍ"/>
      <sheetName val="発生場所・報告者"/>
      <sheetName val="書式 "/>
    </sheetNames>
    <sheetDataSet>
      <sheetData sheetId="0" refreshError="1"/>
      <sheetData sheetId="1">
        <row r="1">
          <cell r="A1" t="str">
            <v>コード</v>
          </cell>
          <cell r="C1" t="str">
            <v>仕入先コード１</v>
          </cell>
        </row>
        <row r="2">
          <cell r="A2" t="str">
            <v>11202</v>
          </cell>
        </row>
        <row r="3">
          <cell r="A3" t="str">
            <v>11208</v>
          </cell>
        </row>
        <row r="4">
          <cell r="A4" t="str">
            <v>11209</v>
          </cell>
        </row>
        <row r="5">
          <cell r="A5" t="str">
            <v>24112</v>
          </cell>
        </row>
        <row r="6">
          <cell r="A6" t="str">
            <v>20247</v>
          </cell>
        </row>
        <row r="7">
          <cell r="A7" t="str">
            <v>20248</v>
          </cell>
        </row>
        <row r="8">
          <cell r="A8" t="str">
            <v>10968</v>
          </cell>
        </row>
        <row r="9">
          <cell r="A9" t="str">
            <v>10970</v>
          </cell>
        </row>
        <row r="10">
          <cell r="A10" t="str">
            <v>11004</v>
          </cell>
        </row>
        <row r="11">
          <cell r="A11" t="str">
            <v>11005</v>
          </cell>
        </row>
        <row r="12">
          <cell r="A12" t="str">
            <v>11006</v>
          </cell>
        </row>
        <row r="13">
          <cell r="A13" t="str">
            <v>11008</v>
          </cell>
        </row>
        <row r="14">
          <cell r="A14" t="str">
            <v>11010</v>
          </cell>
        </row>
        <row r="15">
          <cell r="A15" t="str">
            <v>11036</v>
          </cell>
        </row>
        <row r="16">
          <cell r="A16" t="str">
            <v>11038</v>
          </cell>
        </row>
        <row r="17">
          <cell r="A17" t="str">
            <v>11039</v>
          </cell>
        </row>
        <row r="18">
          <cell r="A18" t="str">
            <v>11040</v>
          </cell>
        </row>
        <row r="19">
          <cell r="A19" t="str">
            <v>11043</v>
          </cell>
        </row>
        <row r="20">
          <cell r="A20" t="str">
            <v>11045</v>
          </cell>
        </row>
        <row r="21">
          <cell r="A21" t="str">
            <v>11046</v>
          </cell>
        </row>
        <row r="22">
          <cell r="A22" t="str">
            <v>11047</v>
          </cell>
        </row>
        <row r="23">
          <cell r="A23" t="str">
            <v>11051</v>
          </cell>
        </row>
        <row r="24">
          <cell r="A24" t="str">
            <v>11053</v>
          </cell>
        </row>
        <row r="25">
          <cell r="A25" t="str">
            <v>11055</v>
          </cell>
        </row>
        <row r="26">
          <cell r="A26" t="str">
            <v>24133</v>
          </cell>
        </row>
        <row r="27">
          <cell r="A27" t="str">
            <v>24184</v>
          </cell>
        </row>
        <row r="28">
          <cell r="A28" t="str">
            <v>25314</v>
          </cell>
        </row>
        <row r="29">
          <cell r="A29" t="str">
            <v>11081</v>
          </cell>
        </row>
        <row r="30">
          <cell r="A30" t="str">
            <v>25346</v>
          </cell>
        </row>
        <row r="31">
          <cell r="A31" t="str">
            <v>10809</v>
          </cell>
        </row>
        <row r="32">
          <cell r="A32" t="str">
            <v>10167</v>
          </cell>
        </row>
        <row r="33">
          <cell r="A33" t="str">
            <v>10176</v>
          </cell>
        </row>
        <row r="34">
          <cell r="A34" t="str">
            <v>10181</v>
          </cell>
        </row>
        <row r="35">
          <cell r="A35" t="str">
            <v>10182</v>
          </cell>
        </row>
        <row r="36">
          <cell r="A36" t="str">
            <v>10190</v>
          </cell>
        </row>
        <row r="37">
          <cell r="A37" t="str">
            <v>10194</v>
          </cell>
        </row>
        <row r="38">
          <cell r="A38" t="str">
            <v>10197</v>
          </cell>
        </row>
        <row r="39">
          <cell r="A39" t="str">
            <v>10502</v>
          </cell>
        </row>
        <row r="40">
          <cell r="A40" t="str">
            <v>10503</v>
          </cell>
        </row>
        <row r="41">
          <cell r="A41" t="str">
            <v>11404</v>
          </cell>
        </row>
        <row r="42">
          <cell r="A42" t="str">
            <v>11405</v>
          </cell>
        </row>
        <row r="43">
          <cell r="A43" t="str">
            <v>11407</v>
          </cell>
        </row>
        <row r="44">
          <cell r="A44" t="str">
            <v>11426</v>
          </cell>
        </row>
        <row r="45">
          <cell r="A45" t="str">
            <v>11427</v>
          </cell>
        </row>
        <row r="46">
          <cell r="A46" t="str">
            <v>11504</v>
          </cell>
        </row>
        <row r="47">
          <cell r="A47" t="str">
            <v>11513</v>
          </cell>
        </row>
        <row r="48">
          <cell r="A48" t="str">
            <v>11517</v>
          </cell>
        </row>
        <row r="49">
          <cell r="A49" t="str">
            <v>11518</v>
          </cell>
        </row>
        <row r="50">
          <cell r="A50" t="str">
            <v>11519</v>
          </cell>
        </row>
        <row r="51">
          <cell r="A51" t="str">
            <v>11520</v>
          </cell>
        </row>
        <row r="52">
          <cell r="A52" t="str">
            <v>11521</v>
          </cell>
        </row>
        <row r="53">
          <cell r="A53" t="str">
            <v>11524</v>
          </cell>
        </row>
        <row r="54">
          <cell r="A54" t="str">
            <v>11527</v>
          </cell>
        </row>
        <row r="55">
          <cell r="A55" t="str">
            <v>11528</v>
          </cell>
        </row>
        <row r="56">
          <cell r="A56" t="str">
            <v>11041</v>
          </cell>
        </row>
        <row r="57">
          <cell r="A57" t="str">
            <v>11042</v>
          </cell>
        </row>
        <row r="58">
          <cell r="A58" t="str">
            <v>11044</v>
          </cell>
        </row>
        <row r="59">
          <cell r="A59" t="str">
            <v>11048</v>
          </cell>
        </row>
        <row r="60">
          <cell r="A60" t="str">
            <v>11049</v>
          </cell>
        </row>
        <row r="61">
          <cell r="A61" t="str">
            <v>11050</v>
          </cell>
        </row>
        <row r="62">
          <cell r="A62" t="str">
            <v>11054</v>
          </cell>
        </row>
        <row r="63">
          <cell r="A63" t="str">
            <v>11057</v>
          </cell>
        </row>
        <row r="64">
          <cell r="A64" t="str">
            <v>11058</v>
          </cell>
        </row>
        <row r="65">
          <cell r="A65" t="str">
            <v>11059</v>
          </cell>
        </row>
        <row r="66">
          <cell r="A66" t="str">
            <v>21573</v>
          </cell>
        </row>
        <row r="67">
          <cell r="A67" t="str">
            <v>21574</v>
          </cell>
        </row>
        <row r="68">
          <cell r="A68" t="str">
            <v>21589</v>
          </cell>
        </row>
        <row r="69">
          <cell r="A69" t="str">
            <v>21590</v>
          </cell>
        </row>
        <row r="70">
          <cell r="A70" t="str">
            <v>21715</v>
          </cell>
        </row>
        <row r="71">
          <cell r="A71" t="str">
            <v>21716</v>
          </cell>
        </row>
        <row r="72">
          <cell r="A72" t="str">
            <v>23716</v>
          </cell>
        </row>
        <row r="73">
          <cell r="A73" t="str">
            <v>23872</v>
          </cell>
        </row>
        <row r="74">
          <cell r="A74" t="str">
            <v>23873</v>
          </cell>
        </row>
        <row r="75">
          <cell r="A75" t="str">
            <v>24203</v>
          </cell>
        </row>
        <row r="76">
          <cell r="A76" t="str">
            <v>24204</v>
          </cell>
        </row>
        <row r="77">
          <cell r="A77" t="str">
            <v>24215</v>
          </cell>
        </row>
        <row r="78">
          <cell r="A78" t="str">
            <v>24216</v>
          </cell>
        </row>
        <row r="79">
          <cell r="A79" t="str">
            <v>24222</v>
          </cell>
        </row>
        <row r="80">
          <cell r="A80" t="str">
            <v>24233</v>
          </cell>
        </row>
        <row r="81">
          <cell r="A81" t="str">
            <v>24237</v>
          </cell>
        </row>
        <row r="82">
          <cell r="A82" t="str">
            <v>24241</v>
          </cell>
        </row>
        <row r="83">
          <cell r="A83" t="str">
            <v>24252</v>
          </cell>
        </row>
        <row r="84">
          <cell r="A84" t="str">
            <v>24257</v>
          </cell>
        </row>
        <row r="85">
          <cell r="A85" t="str">
            <v>24265</v>
          </cell>
        </row>
        <row r="86">
          <cell r="A86" t="str">
            <v>24273</v>
          </cell>
        </row>
        <row r="87">
          <cell r="A87" t="str">
            <v>24274</v>
          </cell>
        </row>
        <row r="88">
          <cell r="A88" t="str">
            <v>11077</v>
          </cell>
        </row>
        <row r="89">
          <cell r="A89" t="str">
            <v>24289</v>
          </cell>
        </row>
        <row r="90">
          <cell r="A90" t="str">
            <v>25248</v>
          </cell>
        </row>
        <row r="91">
          <cell r="A91" t="str">
            <v>25249</v>
          </cell>
        </row>
        <row r="92">
          <cell r="A92" t="str">
            <v>24292</v>
          </cell>
        </row>
        <row r="93">
          <cell r="A93" t="str">
            <v>24342</v>
          </cell>
        </row>
        <row r="94">
          <cell r="A94" t="str">
            <v>25602</v>
          </cell>
        </row>
        <row r="95">
          <cell r="A95" t="str">
            <v>25604</v>
          </cell>
        </row>
        <row r="96">
          <cell r="A96" t="str">
            <v>11079</v>
          </cell>
        </row>
        <row r="97">
          <cell r="A97" t="str">
            <v>25258</v>
          </cell>
        </row>
        <row r="98">
          <cell r="A98" t="str">
            <v>11080</v>
          </cell>
        </row>
        <row r="99">
          <cell r="A99" t="str">
            <v>25609</v>
          </cell>
        </row>
        <row r="100">
          <cell r="A100" t="str">
            <v>25610</v>
          </cell>
        </row>
        <row r="101">
          <cell r="A101" t="str">
            <v>25260</v>
          </cell>
        </row>
        <row r="102">
          <cell r="A102" t="str">
            <v>25261</v>
          </cell>
        </row>
        <row r="103">
          <cell r="A103" t="str">
            <v>25262</v>
          </cell>
        </row>
        <row r="104">
          <cell r="A104" t="str">
            <v>25263</v>
          </cell>
        </row>
        <row r="105">
          <cell r="A105" t="str">
            <v>25614</v>
          </cell>
        </row>
        <row r="106">
          <cell r="A106" t="str">
            <v>25617</v>
          </cell>
        </row>
        <row r="107">
          <cell r="A107" t="str">
            <v>25619</v>
          </cell>
        </row>
        <row r="108">
          <cell r="A108" t="str">
            <v>11502</v>
          </cell>
        </row>
        <row r="109">
          <cell r="A109" t="str">
            <v>11510</v>
          </cell>
        </row>
        <row r="110">
          <cell r="A110" t="str">
            <v>11316</v>
          </cell>
        </row>
        <row r="111">
          <cell r="A111" t="str">
            <v>11334</v>
          </cell>
        </row>
        <row r="112">
          <cell r="A112" t="str">
            <v>10135</v>
          </cell>
        </row>
        <row r="113">
          <cell r="A113" t="str">
            <v>10137</v>
          </cell>
        </row>
        <row r="114">
          <cell r="A114" t="str">
            <v>10139</v>
          </cell>
        </row>
        <row r="115">
          <cell r="A115" t="str">
            <v>10140</v>
          </cell>
        </row>
        <row r="116">
          <cell r="A116" t="str">
            <v>10141</v>
          </cell>
        </row>
        <row r="117">
          <cell r="A117" t="str">
            <v>10142</v>
          </cell>
        </row>
        <row r="118">
          <cell r="A118" t="str">
            <v>10144</v>
          </cell>
        </row>
        <row r="119">
          <cell r="A119" t="str">
            <v>10145</v>
          </cell>
        </row>
        <row r="120">
          <cell r="A120" t="str">
            <v>10146</v>
          </cell>
        </row>
        <row r="121">
          <cell r="A121" t="str">
            <v>10147</v>
          </cell>
        </row>
        <row r="122">
          <cell r="A122" t="str">
            <v>10148</v>
          </cell>
        </row>
        <row r="123">
          <cell r="A123" t="str">
            <v>10150</v>
          </cell>
        </row>
        <row r="124">
          <cell r="A124" t="str">
            <v>10151</v>
          </cell>
        </row>
        <row r="125">
          <cell r="A125" t="str">
            <v>10152</v>
          </cell>
        </row>
        <row r="126">
          <cell r="A126" t="str">
            <v>10153</v>
          </cell>
        </row>
        <row r="127">
          <cell r="A127" t="str">
            <v>10154</v>
          </cell>
        </row>
        <row r="128">
          <cell r="A128" t="str">
            <v>10155</v>
          </cell>
        </row>
        <row r="129">
          <cell r="A129" t="str">
            <v>10158</v>
          </cell>
        </row>
        <row r="130">
          <cell r="A130" t="str">
            <v>10159</v>
          </cell>
        </row>
        <row r="131">
          <cell r="A131" t="str">
            <v>10160</v>
          </cell>
        </row>
        <row r="132">
          <cell r="A132" t="str">
            <v>10164</v>
          </cell>
        </row>
        <row r="133">
          <cell r="A133" t="str">
            <v>10169</v>
          </cell>
        </row>
        <row r="134">
          <cell r="A134" t="str">
            <v>10170</v>
          </cell>
        </row>
        <row r="135">
          <cell r="A135" t="str">
            <v>10171</v>
          </cell>
        </row>
        <row r="136">
          <cell r="A136" t="str">
            <v>10180</v>
          </cell>
        </row>
        <row r="137">
          <cell r="A137" t="str">
            <v>10235</v>
          </cell>
        </row>
        <row r="138">
          <cell r="A138" t="str">
            <v>10240</v>
          </cell>
        </row>
        <row r="139">
          <cell r="A139" t="str">
            <v>10403</v>
          </cell>
        </row>
        <row r="140">
          <cell r="A140" t="str">
            <v>10404</v>
          </cell>
        </row>
        <row r="141">
          <cell r="A141" t="str">
            <v>10411</v>
          </cell>
        </row>
        <row r="142">
          <cell r="A142" t="str">
            <v>10412</v>
          </cell>
        </row>
        <row r="143">
          <cell r="A143" t="str">
            <v>10430</v>
          </cell>
        </row>
        <row r="144">
          <cell r="A144" t="str">
            <v>10434</v>
          </cell>
        </row>
        <row r="145">
          <cell r="A145" t="str">
            <v>10435</v>
          </cell>
        </row>
        <row r="146">
          <cell r="A146" t="str">
            <v>10447</v>
          </cell>
        </row>
        <row r="147">
          <cell r="A147" t="str">
            <v>10450</v>
          </cell>
        </row>
        <row r="148">
          <cell r="A148" t="str">
            <v>10452</v>
          </cell>
        </row>
        <row r="149">
          <cell r="A149" t="str">
            <v>10453</v>
          </cell>
        </row>
        <row r="150">
          <cell r="A150" t="str">
            <v>10454</v>
          </cell>
        </row>
        <row r="151">
          <cell r="A151" t="str">
            <v>10455</v>
          </cell>
        </row>
        <row r="152">
          <cell r="A152" t="str">
            <v>10456</v>
          </cell>
        </row>
        <row r="153">
          <cell r="A153" t="str">
            <v>10458</v>
          </cell>
        </row>
        <row r="154">
          <cell r="A154" t="str">
            <v>10459</v>
          </cell>
        </row>
        <row r="155">
          <cell r="A155" t="str">
            <v>10461</v>
          </cell>
        </row>
        <row r="156">
          <cell r="A156" t="str">
            <v>10462</v>
          </cell>
        </row>
        <row r="157">
          <cell r="A157" t="str">
            <v>10464</v>
          </cell>
        </row>
        <row r="158">
          <cell r="A158" t="str">
            <v>10465</v>
          </cell>
        </row>
        <row r="159">
          <cell r="A159" t="str">
            <v>10466</v>
          </cell>
        </row>
        <row r="160">
          <cell r="A160" t="str">
            <v>10518</v>
          </cell>
        </row>
        <row r="161">
          <cell r="A161" t="str">
            <v>23263</v>
          </cell>
        </row>
        <row r="162">
          <cell r="A162" t="str">
            <v>23264</v>
          </cell>
        </row>
        <row r="163">
          <cell r="A163" t="str">
            <v>10960</v>
          </cell>
        </row>
        <row r="164">
          <cell r="A164" t="str">
            <v>10962</v>
          </cell>
        </row>
        <row r="165">
          <cell r="A165" t="str">
            <v>11018</v>
          </cell>
        </row>
        <row r="166">
          <cell r="A166" t="str">
            <v>20229</v>
          </cell>
        </row>
        <row r="167">
          <cell r="A167" t="str">
            <v>21395</v>
          </cell>
        </row>
        <row r="168">
          <cell r="A168" t="str">
            <v>21436</v>
          </cell>
        </row>
        <row r="169">
          <cell r="A169" t="str">
            <v>21460</v>
          </cell>
        </row>
        <row r="170">
          <cell r="A170" t="str">
            <v>21493</v>
          </cell>
        </row>
        <row r="171">
          <cell r="A171" t="str">
            <v>21494</v>
          </cell>
        </row>
        <row r="172">
          <cell r="A172" t="str">
            <v>21495</v>
          </cell>
        </row>
        <row r="173">
          <cell r="A173" t="str">
            <v>21496</v>
          </cell>
        </row>
        <row r="174">
          <cell r="A174" t="str">
            <v>21497</v>
          </cell>
        </row>
        <row r="175">
          <cell r="A175" t="str">
            <v>21498</v>
          </cell>
        </row>
        <row r="176">
          <cell r="A176" t="str">
            <v>21499</v>
          </cell>
        </row>
        <row r="177">
          <cell r="A177" t="str">
            <v>23321</v>
          </cell>
        </row>
        <row r="178">
          <cell r="A178" t="str">
            <v>23329</v>
          </cell>
        </row>
        <row r="179">
          <cell r="A179" t="str">
            <v>23383</v>
          </cell>
        </row>
        <row r="180">
          <cell r="A180" t="str">
            <v>23435</v>
          </cell>
        </row>
        <row r="181">
          <cell r="A181" t="str">
            <v>23436</v>
          </cell>
        </row>
        <row r="182">
          <cell r="A182" t="str">
            <v>23470</v>
          </cell>
        </row>
        <row r="183">
          <cell r="A183" t="str">
            <v>23471</v>
          </cell>
        </row>
        <row r="184">
          <cell r="A184" t="str">
            <v>23472</v>
          </cell>
        </row>
        <row r="185">
          <cell r="A185" t="str">
            <v>23473</v>
          </cell>
        </row>
        <row r="186">
          <cell r="A186" t="str">
            <v>23474</v>
          </cell>
        </row>
        <row r="187">
          <cell r="A187" t="str">
            <v>23475</v>
          </cell>
        </row>
        <row r="188">
          <cell r="A188" t="str">
            <v>23476</v>
          </cell>
        </row>
        <row r="189">
          <cell r="A189" t="str">
            <v>23477</v>
          </cell>
        </row>
        <row r="190">
          <cell r="A190" t="str">
            <v>23478</v>
          </cell>
        </row>
        <row r="191">
          <cell r="A191" t="str">
            <v>25003</v>
          </cell>
        </row>
        <row r="192">
          <cell r="A192" t="str">
            <v>25004</v>
          </cell>
        </row>
        <row r="193">
          <cell r="A193" t="str">
            <v>25007</v>
          </cell>
        </row>
        <row r="194">
          <cell r="A194" t="str">
            <v>25013</v>
          </cell>
        </row>
        <row r="195">
          <cell r="A195" t="str">
            <v>23012</v>
          </cell>
        </row>
        <row r="196">
          <cell r="A196" t="str">
            <v>23112</v>
          </cell>
        </row>
        <row r="197">
          <cell r="A197" t="str">
            <v>23127</v>
          </cell>
        </row>
        <row r="198">
          <cell r="A198" t="str">
            <v>23131</v>
          </cell>
        </row>
        <row r="199">
          <cell r="A199" t="str">
            <v>23149</v>
          </cell>
        </row>
        <row r="200">
          <cell r="A200" t="str">
            <v>23150</v>
          </cell>
        </row>
        <row r="201">
          <cell r="A201" t="str">
            <v>23165</v>
          </cell>
        </row>
        <row r="202">
          <cell r="A202" t="str">
            <v>23197</v>
          </cell>
        </row>
        <row r="203">
          <cell r="A203" t="str">
            <v>23201</v>
          </cell>
        </row>
        <row r="204">
          <cell r="A204" t="str">
            <v>23205</v>
          </cell>
        </row>
        <row r="205">
          <cell r="A205" t="str">
            <v>23228</v>
          </cell>
        </row>
        <row r="206">
          <cell r="A206" t="str">
            <v>23275</v>
          </cell>
        </row>
        <row r="207">
          <cell r="A207" t="str">
            <v>23277</v>
          </cell>
        </row>
        <row r="208">
          <cell r="A208" t="str">
            <v>23312</v>
          </cell>
        </row>
        <row r="209">
          <cell r="A209" t="str">
            <v>10807</v>
          </cell>
        </row>
        <row r="210">
          <cell r="A210" t="str">
            <v>21418</v>
          </cell>
        </row>
        <row r="211">
          <cell r="A211" t="str">
            <v>11293</v>
          </cell>
        </row>
        <row r="212">
          <cell r="A212" t="str">
            <v>11299</v>
          </cell>
        </row>
        <row r="213">
          <cell r="A213" t="str">
            <v>11321</v>
          </cell>
        </row>
        <row r="214">
          <cell r="A214" t="str">
            <v>22941</v>
          </cell>
        </row>
        <row r="215">
          <cell r="A215" t="str">
            <v>21459</v>
          </cell>
        </row>
        <row r="216">
          <cell r="A216" t="str">
            <v>23384</v>
          </cell>
        </row>
        <row r="217">
          <cell r="A217" t="str">
            <v>24136</v>
          </cell>
        </row>
        <row r="218">
          <cell r="A218" t="str">
            <v>25058</v>
          </cell>
        </row>
        <row r="219">
          <cell r="A219" t="str">
            <v>11060</v>
          </cell>
        </row>
        <row r="220">
          <cell r="A220" t="str">
            <v>25040</v>
          </cell>
        </row>
        <row r="221">
          <cell r="A221" t="str">
            <v>25042</v>
          </cell>
        </row>
        <row r="222">
          <cell r="A222" t="str">
            <v>25321</v>
          </cell>
        </row>
        <row r="223">
          <cell r="A223" t="str">
            <v>25344</v>
          </cell>
        </row>
        <row r="224">
          <cell r="A224" t="str">
            <v>25347</v>
          </cell>
        </row>
        <row r="225">
          <cell r="A225" t="str">
            <v>10939</v>
          </cell>
        </row>
        <row r="226">
          <cell r="A226" t="str">
            <v>10952</v>
          </cell>
        </row>
        <row r="227">
          <cell r="A227" t="str">
            <v>11140</v>
          </cell>
        </row>
        <row r="228">
          <cell r="A228" t="str">
            <v>11141</v>
          </cell>
        </row>
        <row r="229">
          <cell r="A229" t="str">
            <v>11143</v>
          </cell>
        </row>
        <row r="230">
          <cell r="A230" t="str">
            <v>11144</v>
          </cell>
        </row>
        <row r="231">
          <cell r="A231" t="str">
            <v>11145</v>
          </cell>
        </row>
        <row r="232">
          <cell r="A232" t="str">
            <v>11147</v>
          </cell>
        </row>
        <row r="233">
          <cell r="A233" t="str">
            <v>11148</v>
          </cell>
        </row>
        <row r="234">
          <cell r="A234" t="str">
            <v>11152</v>
          </cell>
        </row>
        <row r="235">
          <cell r="A235" t="str">
            <v>11155</v>
          </cell>
        </row>
        <row r="236">
          <cell r="A236" t="str">
            <v>11156</v>
          </cell>
        </row>
        <row r="237">
          <cell r="A237" t="str">
            <v>11158</v>
          </cell>
        </row>
        <row r="238">
          <cell r="A238" t="str">
            <v>11159</v>
          </cell>
        </row>
        <row r="239">
          <cell r="A239" t="str">
            <v>11160</v>
          </cell>
        </row>
        <row r="240">
          <cell r="A240" t="str">
            <v>11163</v>
          </cell>
        </row>
        <row r="241">
          <cell r="A241" t="str">
            <v>11500</v>
          </cell>
        </row>
        <row r="242">
          <cell r="A242" t="str">
            <v>11501</v>
          </cell>
        </row>
        <row r="243">
          <cell r="A243" t="str">
            <v>21506</v>
          </cell>
        </row>
        <row r="244">
          <cell r="A244" t="str">
            <v>21510</v>
          </cell>
        </row>
        <row r="245">
          <cell r="A245" t="str">
            <v>21538</v>
          </cell>
        </row>
        <row r="246">
          <cell r="A246" t="str">
            <v>21561</v>
          </cell>
        </row>
        <row r="247">
          <cell r="A247" t="str">
            <v>21575</v>
          </cell>
        </row>
        <row r="248">
          <cell r="A248" t="str">
            <v>21578</v>
          </cell>
        </row>
        <row r="249">
          <cell r="A249" t="str">
            <v>21591</v>
          </cell>
        </row>
        <row r="250">
          <cell r="A250" t="str">
            <v>21592</v>
          </cell>
        </row>
        <row r="251">
          <cell r="A251" t="str">
            <v>21726</v>
          </cell>
        </row>
        <row r="252">
          <cell r="A252" t="str">
            <v>21737</v>
          </cell>
        </row>
        <row r="253">
          <cell r="A253" t="str">
            <v>21738</v>
          </cell>
        </row>
        <row r="254">
          <cell r="A254" t="str">
            <v>21741</v>
          </cell>
        </row>
        <row r="255">
          <cell r="A255" t="str">
            <v>24224</v>
          </cell>
        </row>
        <row r="256">
          <cell r="A256" t="str">
            <v>24243</v>
          </cell>
        </row>
        <row r="257">
          <cell r="A257" t="str">
            <v>25309</v>
          </cell>
        </row>
        <row r="258">
          <cell r="A258" t="str">
            <v>21745</v>
          </cell>
        </row>
        <row r="259">
          <cell r="A259" t="str">
            <v>11167</v>
          </cell>
        </row>
        <row r="260">
          <cell r="A260" t="str">
            <v>11168</v>
          </cell>
        </row>
        <row r="261">
          <cell r="A261" t="str">
            <v>11169</v>
          </cell>
        </row>
        <row r="262">
          <cell r="A262" t="str">
            <v>21752</v>
          </cell>
        </row>
        <row r="263">
          <cell r="A263" t="str">
            <v>21756</v>
          </cell>
        </row>
        <row r="264">
          <cell r="A264" t="str">
            <v>21759</v>
          </cell>
        </row>
        <row r="265">
          <cell r="A265" t="str">
            <v>11170</v>
          </cell>
        </row>
        <row r="266">
          <cell r="A266" t="str">
            <v>11171</v>
          </cell>
        </row>
        <row r="267">
          <cell r="A267" t="str">
            <v>11172</v>
          </cell>
        </row>
        <row r="268">
          <cell r="A268" t="str">
            <v>11173</v>
          </cell>
        </row>
        <row r="269">
          <cell r="A269" t="str">
            <v>21768</v>
          </cell>
        </row>
        <row r="270">
          <cell r="A270" t="str">
            <v>21775</v>
          </cell>
        </row>
        <row r="271">
          <cell r="A271" t="str">
            <v>11174</v>
          </cell>
        </row>
        <row r="272">
          <cell r="A272" t="str">
            <v>24294</v>
          </cell>
        </row>
        <row r="273">
          <cell r="A273" t="str">
            <v>21781</v>
          </cell>
        </row>
        <row r="274">
          <cell r="A274" t="str">
            <v>21782</v>
          </cell>
        </row>
        <row r="275">
          <cell r="A275" t="str">
            <v>11176</v>
          </cell>
        </row>
        <row r="276">
          <cell r="A276" t="str">
            <v>11177</v>
          </cell>
        </row>
        <row r="277">
          <cell r="A277" t="str">
            <v>11178</v>
          </cell>
        </row>
        <row r="278">
          <cell r="A278" t="str">
            <v>21788</v>
          </cell>
        </row>
        <row r="279">
          <cell r="A279" t="str">
            <v>21789</v>
          </cell>
        </row>
        <row r="280">
          <cell r="A280" t="str">
            <v>21790</v>
          </cell>
        </row>
        <row r="281">
          <cell r="A281" t="str">
            <v>11179</v>
          </cell>
        </row>
        <row r="282">
          <cell r="A282" t="str">
            <v>25606</v>
          </cell>
        </row>
        <row r="283">
          <cell r="A283" t="str">
            <v>11182</v>
          </cell>
        </row>
        <row r="284">
          <cell r="A284" t="str">
            <v>11183</v>
          </cell>
        </row>
        <row r="285">
          <cell r="A285" t="str">
            <v>11184</v>
          </cell>
        </row>
        <row r="286">
          <cell r="A286" t="str">
            <v>11185</v>
          </cell>
        </row>
        <row r="287">
          <cell r="A287" t="str">
            <v>21803</v>
          </cell>
        </row>
        <row r="288">
          <cell r="A288" t="str">
            <v>21804</v>
          </cell>
        </row>
        <row r="289">
          <cell r="A289" t="str">
            <v>21805</v>
          </cell>
        </row>
        <row r="290">
          <cell r="A290" t="str">
            <v>21806</v>
          </cell>
        </row>
        <row r="291">
          <cell r="A291" t="str">
            <v>21811</v>
          </cell>
        </row>
        <row r="292">
          <cell r="A292" t="str">
            <v>11187</v>
          </cell>
        </row>
        <row r="293">
          <cell r="A293" t="str">
            <v>21813</v>
          </cell>
        </row>
        <row r="294">
          <cell r="A294" t="str">
            <v>21819</v>
          </cell>
        </row>
        <row r="295">
          <cell r="A295" t="str">
            <v>21820</v>
          </cell>
        </row>
        <row r="296">
          <cell r="A296" t="str">
            <v>21821</v>
          </cell>
        </row>
        <row r="297">
          <cell r="A297" t="str">
            <v>21822</v>
          </cell>
        </row>
        <row r="298">
          <cell r="A298" t="str">
            <v>23826</v>
          </cell>
        </row>
        <row r="299">
          <cell r="A299" t="str">
            <v>23907</v>
          </cell>
        </row>
        <row r="300">
          <cell r="A300" t="str">
            <v>23912</v>
          </cell>
        </row>
        <row r="301">
          <cell r="A301" t="str">
            <v>23988</v>
          </cell>
        </row>
        <row r="302">
          <cell r="A302" t="str">
            <v>25305</v>
          </cell>
        </row>
        <row r="303">
          <cell r="A303" t="str">
            <v>25306</v>
          </cell>
        </row>
        <row r="304">
          <cell r="A304" t="str">
            <v>25307</v>
          </cell>
        </row>
        <row r="305">
          <cell r="A305" t="str">
            <v>24057</v>
          </cell>
        </row>
        <row r="306">
          <cell r="A306" t="str">
            <v>24428</v>
          </cell>
        </row>
        <row r="307">
          <cell r="A307" t="str">
            <v>24569</v>
          </cell>
        </row>
        <row r="308">
          <cell r="A308" t="str">
            <v>11287</v>
          </cell>
        </row>
        <row r="309">
          <cell r="A309" t="str">
            <v>10149</v>
          </cell>
        </row>
        <row r="310">
          <cell r="A310" t="str">
            <v>10161</v>
          </cell>
        </row>
        <row r="311">
          <cell r="A311" t="str">
            <v>10174</v>
          </cell>
        </row>
        <row r="312">
          <cell r="A312" t="str">
            <v>10183</v>
          </cell>
        </row>
        <row r="313">
          <cell r="A313" t="str">
            <v>10959</v>
          </cell>
        </row>
        <row r="314">
          <cell r="A314" t="str">
            <v>10977</v>
          </cell>
        </row>
        <row r="315">
          <cell r="A315" t="str">
            <v>10978</v>
          </cell>
        </row>
        <row r="316">
          <cell r="A316" t="str">
            <v>10986</v>
          </cell>
        </row>
        <row r="317">
          <cell r="A317" t="str">
            <v>10987</v>
          </cell>
        </row>
        <row r="318">
          <cell r="A318" t="str">
            <v>11071</v>
          </cell>
        </row>
        <row r="319">
          <cell r="A319" t="str">
            <v>11072</v>
          </cell>
        </row>
        <row r="320">
          <cell r="A320" t="str">
            <v>11075</v>
          </cell>
        </row>
        <row r="321">
          <cell r="A321" t="str">
            <v>11076</v>
          </cell>
        </row>
        <row r="322">
          <cell r="A322" t="str">
            <v>11078</v>
          </cell>
        </row>
        <row r="323">
          <cell r="A323" t="str">
            <v>11451</v>
          </cell>
        </row>
        <row r="324">
          <cell r="A324" t="str">
            <v>11452</v>
          </cell>
        </row>
        <row r="325">
          <cell r="A325" t="str">
            <v>10740</v>
          </cell>
        </row>
        <row r="326">
          <cell r="A326" t="str">
            <v>10741</v>
          </cell>
        </row>
        <row r="327">
          <cell r="A327" t="str">
            <v>10742</v>
          </cell>
        </row>
        <row r="328">
          <cell r="A328" t="str">
            <v>10983</v>
          </cell>
        </row>
        <row r="329">
          <cell r="A329" t="str">
            <v>20152</v>
          </cell>
        </row>
        <row r="330">
          <cell r="A330" t="str">
            <v>20153</v>
          </cell>
        </row>
        <row r="331">
          <cell r="A331" t="str">
            <v>20170</v>
          </cell>
        </row>
        <row r="332">
          <cell r="A332" t="str">
            <v>20175</v>
          </cell>
        </row>
        <row r="333">
          <cell r="A333" t="str">
            <v>20177</v>
          </cell>
        </row>
        <row r="334">
          <cell r="A334" t="str">
            <v>20178</v>
          </cell>
        </row>
        <row r="335">
          <cell r="A335" t="str">
            <v>20185</v>
          </cell>
        </row>
        <row r="336">
          <cell r="A336" t="str">
            <v>20188</v>
          </cell>
        </row>
        <row r="337">
          <cell r="A337" t="str">
            <v>20191</v>
          </cell>
        </row>
        <row r="338">
          <cell r="A338" t="str">
            <v>20194</v>
          </cell>
        </row>
        <row r="339">
          <cell r="A339" t="str">
            <v>20195</v>
          </cell>
        </row>
        <row r="340">
          <cell r="A340" t="str">
            <v>20197</v>
          </cell>
        </row>
        <row r="341">
          <cell r="A341" t="str">
            <v>20198</v>
          </cell>
        </row>
        <row r="342">
          <cell r="A342" t="str">
            <v>20220</v>
          </cell>
        </row>
        <row r="343">
          <cell r="A343" t="str">
            <v>20221</v>
          </cell>
        </row>
        <row r="344">
          <cell r="A344" t="str">
            <v>20261</v>
          </cell>
        </row>
        <row r="345">
          <cell r="A345" t="str">
            <v>20502</v>
          </cell>
        </row>
        <row r="346">
          <cell r="A346" t="str">
            <v>20815</v>
          </cell>
        </row>
        <row r="347">
          <cell r="A347" t="str">
            <v>20821</v>
          </cell>
        </row>
        <row r="348">
          <cell r="A348" t="str">
            <v>20831</v>
          </cell>
        </row>
        <row r="349">
          <cell r="A349" t="str">
            <v>20840</v>
          </cell>
        </row>
        <row r="350">
          <cell r="A350" t="str">
            <v>20843</v>
          </cell>
        </row>
        <row r="351">
          <cell r="A351" t="str">
            <v>20870</v>
          </cell>
        </row>
        <row r="352">
          <cell r="A352" t="str">
            <v>20875</v>
          </cell>
        </row>
        <row r="353">
          <cell r="A353" t="str">
            <v>20884</v>
          </cell>
        </row>
        <row r="354">
          <cell r="A354" t="str">
            <v>20894</v>
          </cell>
        </row>
        <row r="355">
          <cell r="A355" t="str">
            <v>20895</v>
          </cell>
        </row>
        <row r="356">
          <cell r="A356" t="str">
            <v>20897</v>
          </cell>
        </row>
        <row r="357">
          <cell r="A357" t="str">
            <v>21000</v>
          </cell>
        </row>
        <row r="358">
          <cell r="A358" t="str">
            <v>21001</v>
          </cell>
        </row>
        <row r="359">
          <cell r="A359" t="str">
            <v>21002</v>
          </cell>
        </row>
        <row r="360">
          <cell r="A360" t="str">
            <v>21003</v>
          </cell>
        </row>
        <row r="361">
          <cell r="A361" t="str">
            <v>21008</v>
          </cell>
        </row>
        <row r="362">
          <cell r="A362" t="str">
            <v>21013</v>
          </cell>
        </row>
        <row r="363">
          <cell r="A363" t="str">
            <v>21014</v>
          </cell>
        </row>
        <row r="364">
          <cell r="A364" t="str">
            <v>21015</v>
          </cell>
        </row>
        <row r="365">
          <cell r="A365" t="str">
            <v>21018</v>
          </cell>
        </row>
        <row r="366">
          <cell r="A366" t="str">
            <v>21026</v>
          </cell>
        </row>
        <row r="367">
          <cell r="A367" t="str">
            <v>21027</v>
          </cell>
        </row>
        <row r="368">
          <cell r="A368" t="str">
            <v>21030</v>
          </cell>
        </row>
        <row r="369">
          <cell r="A369" t="str">
            <v>21036</v>
          </cell>
        </row>
        <row r="370">
          <cell r="A370" t="str">
            <v>21040</v>
          </cell>
        </row>
        <row r="371">
          <cell r="A371" t="str">
            <v>21041</v>
          </cell>
        </row>
        <row r="372">
          <cell r="A372" t="str">
            <v>21046</v>
          </cell>
        </row>
        <row r="373">
          <cell r="A373" t="str">
            <v>21049</v>
          </cell>
        </row>
        <row r="374">
          <cell r="A374" t="str">
            <v>21050</v>
          </cell>
        </row>
        <row r="375">
          <cell r="A375" t="str">
            <v>21054</v>
          </cell>
        </row>
        <row r="376">
          <cell r="A376" t="str">
            <v>21055</v>
          </cell>
        </row>
        <row r="377">
          <cell r="A377" t="str">
            <v>21056</v>
          </cell>
        </row>
        <row r="378">
          <cell r="A378" t="str">
            <v>21057</v>
          </cell>
        </row>
        <row r="379">
          <cell r="A379" t="str">
            <v>21058</v>
          </cell>
        </row>
        <row r="380">
          <cell r="A380" t="str">
            <v>21059</v>
          </cell>
        </row>
        <row r="381">
          <cell r="A381" t="str">
            <v>21060</v>
          </cell>
        </row>
        <row r="382">
          <cell r="A382" t="str">
            <v>21061</v>
          </cell>
        </row>
        <row r="383">
          <cell r="A383" t="str">
            <v>21062</v>
          </cell>
        </row>
        <row r="384">
          <cell r="A384" t="str">
            <v>21063</v>
          </cell>
        </row>
        <row r="385">
          <cell r="A385" t="str">
            <v>21064</v>
          </cell>
        </row>
        <row r="386">
          <cell r="A386" t="str">
            <v>21065</v>
          </cell>
        </row>
        <row r="387">
          <cell r="A387" t="str">
            <v>21066</v>
          </cell>
        </row>
        <row r="388">
          <cell r="A388" t="str">
            <v>21067</v>
          </cell>
        </row>
        <row r="389">
          <cell r="A389" t="str">
            <v>21078</v>
          </cell>
        </row>
        <row r="390">
          <cell r="A390" t="str">
            <v>21079</v>
          </cell>
        </row>
        <row r="391">
          <cell r="A391" t="str">
            <v>21089</v>
          </cell>
        </row>
        <row r="392">
          <cell r="A392" t="str">
            <v>21090</v>
          </cell>
        </row>
        <row r="393">
          <cell r="A393" t="str">
            <v>21091</v>
          </cell>
        </row>
        <row r="394">
          <cell r="A394" t="str">
            <v>21093</v>
          </cell>
        </row>
        <row r="395">
          <cell r="A395" t="str">
            <v>21094</v>
          </cell>
        </row>
        <row r="396">
          <cell r="A396" t="str">
            <v>21095</v>
          </cell>
        </row>
        <row r="397">
          <cell r="A397" t="str">
            <v>21096</v>
          </cell>
        </row>
        <row r="398">
          <cell r="A398" t="str">
            <v>21100</v>
          </cell>
        </row>
        <row r="399">
          <cell r="A399" t="str">
            <v>21104</v>
          </cell>
        </row>
        <row r="400">
          <cell r="A400" t="str">
            <v>21108</v>
          </cell>
        </row>
        <row r="401">
          <cell r="A401" t="str">
            <v>21109</v>
          </cell>
        </row>
        <row r="402">
          <cell r="A402" t="str">
            <v>21112</v>
          </cell>
        </row>
        <row r="403">
          <cell r="A403" t="str">
            <v>21113</v>
          </cell>
        </row>
        <row r="404">
          <cell r="A404" t="str">
            <v>21123</v>
          </cell>
        </row>
        <row r="405">
          <cell r="A405" t="str">
            <v>21125</v>
          </cell>
        </row>
        <row r="406">
          <cell r="A406" t="str">
            <v>21126</v>
          </cell>
        </row>
        <row r="407">
          <cell r="A407" t="str">
            <v>21127</v>
          </cell>
        </row>
        <row r="408">
          <cell r="A408" t="str">
            <v>21128</v>
          </cell>
        </row>
        <row r="409">
          <cell r="A409" t="str">
            <v>21130</v>
          </cell>
        </row>
        <row r="410">
          <cell r="A410" t="str">
            <v>21131</v>
          </cell>
        </row>
        <row r="411">
          <cell r="A411" t="str">
            <v>21132</v>
          </cell>
        </row>
        <row r="412">
          <cell r="A412" t="str">
            <v>21134</v>
          </cell>
        </row>
        <row r="413">
          <cell r="A413" t="str">
            <v>21135</v>
          </cell>
        </row>
        <row r="414">
          <cell r="A414" t="str">
            <v>21136</v>
          </cell>
        </row>
        <row r="415">
          <cell r="A415" t="str">
            <v>21137</v>
          </cell>
        </row>
        <row r="416">
          <cell r="A416" t="str">
            <v>21138</v>
          </cell>
        </row>
        <row r="417">
          <cell r="A417" t="str">
            <v>21141</v>
          </cell>
        </row>
        <row r="418">
          <cell r="A418" t="str">
            <v>21142</v>
          </cell>
        </row>
        <row r="419">
          <cell r="A419" t="str">
            <v>21143</v>
          </cell>
        </row>
        <row r="420">
          <cell r="A420" t="str">
            <v>21144</v>
          </cell>
        </row>
        <row r="421">
          <cell r="A421" t="str">
            <v>21145</v>
          </cell>
        </row>
        <row r="422">
          <cell r="A422" t="str">
            <v>21148</v>
          </cell>
        </row>
        <row r="423">
          <cell r="A423" t="str">
            <v>21150</v>
          </cell>
        </row>
        <row r="424">
          <cell r="A424" t="str">
            <v>21151</v>
          </cell>
        </row>
        <row r="425">
          <cell r="A425" t="str">
            <v>21152</v>
          </cell>
        </row>
        <row r="426">
          <cell r="A426" t="str">
            <v>21156</v>
          </cell>
        </row>
        <row r="427">
          <cell r="A427" t="str">
            <v>21157</v>
          </cell>
        </row>
        <row r="428">
          <cell r="A428" t="str">
            <v>21158</v>
          </cell>
        </row>
        <row r="429">
          <cell r="A429" t="str">
            <v>21159</v>
          </cell>
        </row>
        <row r="430">
          <cell r="A430" t="str">
            <v>21161</v>
          </cell>
        </row>
        <row r="431">
          <cell r="A431" t="str">
            <v>21168</v>
          </cell>
        </row>
        <row r="432">
          <cell r="A432" t="str">
            <v>21170</v>
          </cell>
        </row>
        <row r="433">
          <cell r="A433" t="str">
            <v>21171</v>
          </cell>
        </row>
        <row r="434">
          <cell r="A434" t="str">
            <v>21172</v>
          </cell>
        </row>
        <row r="435">
          <cell r="A435" t="str">
            <v>21173</v>
          </cell>
        </row>
        <row r="436">
          <cell r="A436" t="str">
            <v>21176</v>
          </cell>
        </row>
        <row r="437">
          <cell r="A437" t="str">
            <v>21180</v>
          </cell>
        </row>
        <row r="438">
          <cell r="A438" t="str">
            <v>21183</v>
          </cell>
        </row>
        <row r="439">
          <cell r="A439" t="str">
            <v>21187</v>
          </cell>
        </row>
        <row r="440">
          <cell r="A440" t="str">
            <v>21190</v>
          </cell>
        </row>
        <row r="441">
          <cell r="A441" t="str">
            <v>21193</v>
          </cell>
        </row>
        <row r="442">
          <cell r="A442" t="str">
            <v>21197</v>
          </cell>
        </row>
        <row r="443">
          <cell r="A443" t="str">
            <v>21200</v>
          </cell>
        </row>
        <row r="444">
          <cell r="A444" t="str">
            <v>21201</v>
          </cell>
        </row>
        <row r="445">
          <cell r="A445" t="str">
            <v>21203</v>
          </cell>
        </row>
        <row r="446">
          <cell r="A446" t="str">
            <v>21204</v>
          </cell>
        </row>
        <row r="447">
          <cell r="A447" t="str">
            <v>21205</v>
          </cell>
        </row>
        <row r="448">
          <cell r="A448" t="str">
            <v>21207</v>
          </cell>
        </row>
        <row r="449">
          <cell r="A449" t="str">
            <v>21209</v>
          </cell>
        </row>
        <row r="450">
          <cell r="A450" t="str">
            <v>21210</v>
          </cell>
        </row>
        <row r="451">
          <cell r="A451" t="str">
            <v>21211</v>
          </cell>
        </row>
        <row r="452">
          <cell r="A452" t="str">
            <v>21217</v>
          </cell>
        </row>
        <row r="453">
          <cell r="A453" t="str">
            <v>21221</v>
          </cell>
        </row>
        <row r="454">
          <cell r="A454" t="str">
            <v>21229</v>
          </cell>
        </row>
        <row r="455">
          <cell r="A455" t="str">
            <v>21232</v>
          </cell>
        </row>
        <row r="456">
          <cell r="A456" t="str">
            <v>21234</v>
          </cell>
        </row>
        <row r="457">
          <cell r="A457" t="str">
            <v>21243</v>
          </cell>
        </row>
        <row r="458">
          <cell r="A458" t="str">
            <v>21244</v>
          </cell>
        </row>
        <row r="459">
          <cell r="A459" t="str">
            <v>21248</v>
          </cell>
        </row>
        <row r="460">
          <cell r="A460" t="str">
            <v>21251</v>
          </cell>
        </row>
        <row r="461">
          <cell r="A461" t="str">
            <v>21252</v>
          </cell>
        </row>
        <row r="462">
          <cell r="A462" t="str">
            <v>21253</v>
          </cell>
        </row>
        <row r="463">
          <cell r="A463" t="str">
            <v>21254</v>
          </cell>
        </row>
        <row r="464">
          <cell r="A464" t="str">
            <v>21256</v>
          </cell>
        </row>
        <row r="465">
          <cell r="A465" t="str">
            <v>21257</v>
          </cell>
        </row>
        <row r="466">
          <cell r="A466" t="str">
            <v>21259</v>
          </cell>
        </row>
        <row r="467">
          <cell r="A467" t="str">
            <v>21263</v>
          </cell>
        </row>
        <row r="468">
          <cell r="A468" t="str">
            <v>21266</v>
          </cell>
        </row>
        <row r="469">
          <cell r="A469" t="str">
            <v>21267</v>
          </cell>
        </row>
        <row r="470">
          <cell r="A470" t="str">
            <v>21268</v>
          </cell>
        </row>
        <row r="471">
          <cell r="A471" t="str">
            <v>21270</v>
          </cell>
        </row>
        <row r="472">
          <cell r="A472" t="str">
            <v>21271</v>
          </cell>
        </row>
        <row r="473">
          <cell r="A473" t="str">
            <v>21272</v>
          </cell>
        </row>
        <row r="474">
          <cell r="A474" t="str">
            <v>21273</v>
          </cell>
        </row>
        <row r="475">
          <cell r="A475" t="str">
            <v>21276</v>
          </cell>
        </row>
        <row r="476">
          <cell r="A476" t="str">
            <v>21277</v>
          </cell>
        </row>
        <row r="477">
          <cell r="A477" t="str">
            <v>21278</v>
          </cell>
        </row>
        <row r="478">
          <cell r="A478" t="str">
            <v>21279</v>
          </cell>
        </row>
        <row r="479">
          <cell r="A479" t="str">
            <v>21280</v>
          </cell>
        </row>
        <row r="480">
          <cell r="A480" t="str">
            <v>21282</v>
          </cell>
        </row>
        <row r="481">
          <cell r="A481" t="str">
            <v>21285</v>
          </cell>
        </row>
        <row r="482">
          <cell r="A482" t="str">
            <v>21286</v>
          </cell>
        </row>
        <row r="483">
          <cell r="A483" t="str">
            <v>21288</v>
          </cell>
        </row>
        <row r="484">
          <cell r="A484" t="str">
            <v>21289</v>
          </cell>
        </row>
        <row r="485">
          <cell r="A485" t="str">
            <v>21290</v>
          </cell>
        </row>
        <row r="486">
          <cell r="A486" t="str">
            <v>21291</v>
          </cell>
        </row>
        <row r="487">
          <cell r="A487" t="str">
            <v>21292</v>
          </cell>
        </row>
        <row r="488">
          <cell r="A488" t="str">
            <v>21293</v>
          </cell>
        </row>
        <row r="489">
          <cell r="A489" t="str">
            <v>21295</v>
          </cell>
        </row>
        <row r="490">
          <cell r="A490" t="str">
            <v>21297</v>
          </cell>
        </row>
        <row r="491">
          <cell r="A491" t="str">
            <v>21300</v>
          </cell>
        </row>
        <row r="492">
          <cell r="A492" t="str">
            <v>21301</v>
          </cell>
        </row>
        <row r="493">
          <cell r="A493" t="str">
            <v>21302</v>
          </cell>
        </row>
        <row r="494">
          <cell r="A494" t="str">
            <v>21303</v>
          </cell>
        </row>
        <row r="495">
          <cell r="A495" t="str">
            <v>21304</v>
          </cell>
        </row>
        <row r="496">
          <cell r="A496" t="str">
            <v>21305</v>
          </cell>
        </row>
        <row r="497">
          <cell r="A497" t="str">
            <v>21306</v>
          </cell>
        </row>
        <row r="498">
          <cell r="A498" t="str">
            <v>21307</v>
          </cell>
        </row>
        <row r="499">
          <cell r="A499" t="str">
            <v>21308</v>
          </cell>
        </row>
        <row r="500">
          <cell r="A500" t="str">
            <v>21309</v>
          </cell>
        </row>
        <row r="501">
          <cell r="A501" t="str">
            <v>21310</v>
          </cell>
        </row>
        <row r="502">
          <cell r="A502" t="str">
            <v>21311</v>
          </cell>
        </row>
        <row r="503">
          <cell r="A503" t="str">
            <v>21314</v>
          </cell>
        </row>
        <row r="504">
          <cell r="A504" t="str">
            <v>21315</v>
          </cell>
        </row>
        <row r="505">
          <cell r="A505" t="str">
            <v>21316</v>
          </cell>
        </row>
        <row r="506">
          <cell r="A506" t="str">
            <v>21318</v>
          </cell>
        </row>
        <row r="507">
          <cell r="A507" t="str">
            <v>21319</v>
          </cell>
        </row>
        <row r="508">
          <cell r="A508" t="str">
            <v>21320</v>
          </cell>
        </row>
        <row r="509">
          <cell r="A509" t="str">
            <v>21321</v>
          </cell>
        </row>
        <row r="510">
          <cell r="A510" t="str">
            <v>21322</v>
          </cell>
        </row>
        <row r="511">
          <cell r="A511" t="str">
            <v>21324</v>
          </cell>
        </row>
        <row r="512">
          <cell r="A512" t="str">
            <v>21325</v>
          </cell>
        </row>
        <row r="513">
          <cell r="A513" t="str">
            <v>21326</v>
          </cell>
        </row>
        <row r="514">
          <cell r="A514" t="str">
            <v>21327</v>
          </cell>
        </row>
        <row r="515">
          <cell r="A515" t="str">
            <v>21329</v>
          </cell>
        </row>
        <row r="516">
          <cell r="A516" t="str">
            <v>21330</v>
          </cell>
        </row>
        <row r="517">
          <cell r="A517" t="str">
            <v>21331</v>
          </cell>
        </row>
        <row r="518">
          <cell r="A518" t="str">
            <v>21332</v>
          </cell>
        </row>
        <row r="519">
          <cell r="A519" t="str">
            <v>21333</v>
          </cell>
        </row>
        <row r="520">
          <cell r="A520" t="str">
            <v>21334</v>
          </cell>
        </row>
        <row r="521">
          <cell r="A521" t="str">
            <v>21335</v>
          </cell>
        </row>
        <row r="522">
          <cell r="A522" t="str">
            <v>21336</v>
          </cell>
        </row>
        <row r="523">
          <cell r="A523" t="str">
            <v>21337</v>
          </cell>
        </row>
        <row r="524">
          <cell r="A524" t="str">
            <v>21338</v>
          </cell>
        </row>
        <row r="525">
          <cell r="A525" t="str">
            <v>21339</v>
          </cell>
        </row>
        <row r="526">
          <cell r="A526" t="str">
            <v>21340</v>
          </cell>
        </row>
        <row r="527">
          <cell r="A527" t="str">
            <v>21342</v>
          </cell>
        </row>
        <row r="528">
          <cell r="A528" t="str">
            <v>21343</v>
          </cell>
        </row>
        <row r="529">
          <cell r="A529" t="str">
            <v>21344</v>
          </cell>
        </row>
        <row r="530">
          <cell r="A530" t="str">
            <v>21345</v>
          </cell>
        </row>
        <row r="531">
          <cell r="A531" t="str">
            <v>21346</v>
          </cell>
        </row>
        <row r="532">
          <cell r="A532" t="str">
            <v>21348</v>
          </cell>
        </row>
        <row r="533">
          <cell r="A533" t="str">
            <v>21349</v>
          </cell>
        </row>
        <row r="534">
          <cell r="A534" t="str">
            <v>21350</v>
          </cell>
        </row>
        <row r="535">
          <cell r="A535" t="str">
            <v>21351</v>
          </cell>
        </row>
        <row r="536">
          <cell r="A536" t="str">
            <v>21352</v>
          </cell>
        </row>
        <row r="537">
          <cell r="A537" t="str">
            <v>21354</v>
          </cell>
        </row>
        <row r="538">
          <cell r="A538" t="str">
            <v>21355</v>
          </cell>
        </row>
        <row r="539">
          <cell r="A539" t="str">
            <v>21356</v>
          </cell>
        </row>
        <row r="540">
          <cell r="A540" t="str">
            <v>21357</v>
          </cell>
        </row>
        <row r="541">
          <cell r="A541" t="str">
            <v>21358</v>
          </cell>
        </row>
        <row r="542">
          <cell r="A542" t="str">
            <v>21359</v>
          </cell>
        </row>
        <row r="543">
          <cell r="A543" t="str">
            <v>21361</v>
          </cell>
        </row>
        <row r="544">
          <cell r="A544" t="str">
            <v>21362</v>
          </cell>
        </row>
        <row r="545">
          <cell r="A545" t="str">
            <v>21363</v>
          </cell>
        </row>
        <row r="546">
          <cell r="A546" t="str">
            <v>21364</v>
          </cell>
        </row>
        <row r="547">
          <cell r="A547" t="str">
            <v>21366</v>
          </cell>
        </row>
        <row r="548">
          <cell r="A548" t="str">
            <v>21371</v>
          </cell>
        </row>
        <row r="549">
          <cell r="A549" t="str">
            <v>21372</v>
          </cell>
        </row>
        <row r="550">
          <cell r="A550" t="str">
            <v>21373</v>
          </cell>
        </row>
        <row r="551">
          <cell r="A551" t="str">
            <v>21376</v>
          </cell>
        </row>
        <row r="552">
          <cell r="A552" t="str">
            <v>21377</v>
          </cell>
        </row>
        <row r="553">
          <cell r="A553" t="str">
            <v>21378</v>
          </cell>
        </row>
        <row r="554">
          <cell r="A554" t="str">
            <v>21379</v>
          </cell>
        </row>
        <row r="555">
          <cell r="A555" t="str">
            <v>21380</v>
          </cell>
        </row>
        <row r="556">
          <cell r="A556" t="str">
            <v>21381</v>
          </cell>
        </row>
        <row r="557">
          <cell r="A557" t="str">
            <v>21382</v>
          </cell>
        </row>
        <row r="558">
          <cell r="A558" t="str">
            <v>21383</v>
          </cell>
        </row>
        <row r="559">
          <cell r="A559" t="str">
            <v>21385</v>
          </cell>
        </row>
        <row r="560">
          <cell r="A560" t="str">
            <v>21386</v>
          </cell>
        </row>
        <row r="561">
          <cell r="A561" t="str">
            <v>21387</v>
          </cell>
        </row>
        <row r="562">
          <cell r="A562" t="str">
            <v>21388</v>
          </cell>
        </row>
        <row r="563">
          <cell r="A563" t="str">
            <v>21389</v>
          </cell>
        </row>
        <row r="564">
          <cell r="A564" t="str">
            <v>21390</v>
          </cell>
        </row>
        <row r="565">
          <cell r="A565" t="str">
            <v>21391</v>
          </cell>
        </row>
        <row r="566">
          <cell r="A566" t="str">
            <v>21392</v>
          </cell>
        </row>
        <row r="567">
          <cell r="A567" t="str">
            <v>21393</v>
          </cell>
        </row>
        <row r="568">
          <cell r="A568" t="str">
            <v>21394</v>
          </cell>
        </row>
        <row r="569">
          <cell r="A569" t="str">
            <v>21398</v>
          </cell>
        </row>
        <row r="570">
          <cell r="A570" t="str">
            <v>21399</v>
          </cell>
        </row>
        <row r="571">
          <cell r="A571" t="str">
            <v>21400</v>
          </cell>
        </row>
        <row r="572">
          <cell r="A572" t="str">
            <v>21401</v>
          </cell>
        </row>
        <row r="573">
          <cell r="A573" t="str">
            <v>21402</v>
          </cell>
        </row>
        <row r="574">
          <cell r="A574" t="str">
            <v>21403</v>
          </cell>
        </row>
        <row r="575">
          <cell r="A575" t="str">
            <v>21404</v>
          </cell>
        </row>
        <row r="576">
          <cell r="A576" t="str">
            <v>21416</v>
          </cell>
        </row>
        <row r="577">
          <cell r="A577" t="str">
            <v>21417</v>
          </cell>
        </row>
        <row r="578">
          <cell r="A578" t="str">
            <v>21419</v>
          </cell>
        </row>
        <row r="579">
          <cell r="A579" t="str">
            <v>21420</v>
          </cell>
        </row>
        <row r="580">
          <cell r="A580" t="str">
            <v>21421</v>
          </cell>
        </row>
        <row r="581">
          <cell r="A581" t="str">
            <v>21422</v>
          </cell>
        </row>
        <row r="582">
          <cell r="A582" t="str">
            <v>21423</v>
          </cell>
        </row>
        <row r="583">
          <cell r="A583" t="str">
            <v>21424</v>
          </cell>
        </row>
        <row r="584">
          <cell r="A584" t="str">
            <v>21425</v>
          </cell>
        </row>
        <row r="585">
          <cell r="A585" t="str">
            <v>21428</v>
          </cell>
        </row>
        <row r="586">
          <cell r="A586" t="str">
            <v>21429</v>
          </cell>
        </row>
        <row r="587">
          <cell r="A587" t="str">
            <v>21430</v>
          </cell>
        </row>
        <row r="588">
          <cell r="A588" t="str">
            <v>21431</v>
          </cell>
        </row>
        <row r="589">
          <cell r="A589" t="str">
            <v>21432</v>
          </cell>
        </row>
        <row r="590">
          <cell r="A590" t="str">
            <v>21433</v>
          </cell>
        </row>
        <row r="591">
          <cell r="A591" t="str">
            <v>21434</v>
          </cell>
        </row>
        <row r="592">
          <cell r="A592" t="str">
            <v>21435</v>
          </cell>
        </row>
        <row r="593">
          <cell r="A593" t="str">
            <v>21437</v>
          </cell>
        </row>
        <row r="594">
          <cell r="A594" t="str">
            <v>21439</v>
          </cell>
        </row>
        <row r="595">
          <cell r="A595" t="str">
            <v>21440</v>
          </cell>
        </row>
        <row r="596">
          <cell r="A596" t="str">
            <v>21442</v>
          </cell>
        </row>
        <row r="597">
          <cell r="A597" t="str">
            <v>21443</v>
          </cell>
        </row>
        <row r="598">
          <cell r="A598" t="str">
            <v>21444</v>
          </cell>
        </row>
        <row r="599">
          <cell r="A599" t="str">
            <v>21446</v>
          </cell>
        </row>
        <row r="600">
          <cell r="A600" t="str">
            <v>21447</v>
          </cell>
        </row>
        <row r="601">
          <cell r="A601" t="str">
            <v>21448</v>
          </cell>
        </row>
        <row r="602">
          <cell r="A602" t="str">
            <v>21449</v>
          </cell>
        </row>
        <row r="603">
          <cell r="A603" t="str">
            <v>21451</v>
          </cell>
        </row>
        <row r="604">
          <cell r="A604" t="str">
            <v>21452</v>
          </cell>
        </row>
        <row r="605">
          <cell r="A605" t="str">
            <v>21454</v>
          </cell>
        </row>
        <row r="606">
          <cell r="A606" t="str">
            <v>21458</v>
          </cell>
        </row>
        <row r="607">
          <cell r="A607" t="str">
            <v>21461</v>
          </cell>
        </row>
        <row r="608">
          <cell r="A608" t="str">
            <v>21462</v>
          </cell>
        </row>
        <row r="609">
          <cell r="A609" t="str">
            <v>21466</v>
          </cell>
        </row>
        <row r="610">
          <cell r="A610" t="str">
            <v>21467</v>
          </cell>
        </row>
        <row r="611">
          <cell r="A611" t="str">
            <v>21468</v>
          </cell>
        </row>
        <row r="612">
          <cell r="A612" t="str">
            <v>21470</v>
          </cell>
        </row>
        <row r="613">
          <cell r="A613" t="str">
            <v>21471</v>
          </cell>
        </row>
        <row r="614">
          <cell r="A614" t="str">
            <v>21472</v>
          </cell>
        </row>
        <row r="615">
          <cell r="A615" t="str">
            <v>21473</v>
          </cell>
        </row>
        <row r="616">
          <cell r="A616" t="str">
            <v>21474</v>
          </cell>
        </row>
        <row r="617">
          <cell r="A617" t="str">
            <v>21476</v>
          </cell>
        </row>
        <row r="618">
          <cell r="A618" t="str">
            <v>21477</v>
          </cell>
        </row>
        <row r="619">
          <cell r="A619" t="str">
            <v>21478</v>
          </cell>
        </row>
        <row r="620">
          <cell r="A620" t="str">
            <v>21479</v>
          </cell>
        </row>
        <row r="621">
          <cell r="A621" t="str">
            <v>21480</v>
          </cell>
        </row>
        <row r="622">
          <cell r="A622" t="str">
            <v>21481</v>
          </cell>
        </row>
        <row r="623">
          <cell r="A623" t="str">
            <v>21482</v>
          </cell>
        </row>
        <row r="624">
          <cell r="A624" t="str">
            <v>21484</v>
          </cell>
        </row>
        <row r="625">
          <cell r="A625" t="str">
            <v>21485</v>
          </cell>
        </row>
        <row r="626">
          <cell r="A626" t="str">
            <v>21487</v>
          </cell>
        </row>
        <row r="627">
          <cell r="A627" t="str">
            <v>21490</v>
          </cell>
        </row>
        <row r="628">
          <cell r="A628" t="str">
            <v>21491</v>
          </cell>
        </row>
        <row r="629">
          <cell r="A629" t="str">
            <v>21501</v>
          </cell>
        </row>
        <row r="630">
          <cell r="A630" t="str">
            <v>21502</v>
          </cell>
        </row>
        <row r="631">
          <cell r="A631" t="str">
            <v>21503</v>
          </cell>
        </row>
        <row r="632">
          <cell r="A632" t="str">
            <v>21504</v>
          </cell>
        </row>
        <row r="633">
          <cell r="A633" t="str">
            <v>21505</v>
          </cell>
        </row>
        <row r="634">
          <cell r="A634" t="str">
            <v>21507</v>
          </cell>
        </row>
        <row r="635">
          <cell r="A635" t="str">
            <v>21508</v>
          </cell>
        </row>
        <row r="636">
          <cell r="A636" t="str">
            <v>21509</v>
          </cell>
        </row>
        <row r="637">
          <cell r="A637" t="str">
            <v>21511</v>
          </cell>
        </row>
        <row r="638">
          <cell r="A638" t="str">
            <v>21512</v>
          </cell>
        </row>
        <row r="639">
          <cell r="A639" t="str">
            <v>21514</v>
          </cell>
        </row>
        <row r="640">
          <cell r="A640" t="str">
            <v>21515</v>
          </cell>
        </row>
        <row r="641">
          <cell r="A641" t="str">
            <v>21516</v>
          </cell>
        </row>
        <row r="642">
          <cell r="A642" t="str">
            <v>21517</v>
          </cell>
        </row>
        <row r="643">
          <cell r="A643" t="str">
            <v>21518</v>
          </cell>
        </row>
        <row r="644">
          <cell r="A644" t="str">
            <v>21522</v>
          </cell>
        </row>
        <row r="645">
          <cell r="A645" t="str">
            <v>21523</v>
          </cell>
        </row>
        <row r="646">
          <cell r="A646" t="str">
            <v>21524</v>
          </cell>
        </row>
        <row r="647">
          <cell r="A647" t="str">
            <v>21525</v>
          </cell>
        </row>
        <row r="648">
          <cell r="A648" t="str">
            <v>21526</v>
          </cell>
        </row>
        <row r="649">
          <cell r="A649" t="str">
            <v>21527</v>
          </cell>
        </row>
        <row r="650">
          <cell r="A650" t="str">
            <v>21528</v>
          </cell>
        </row>
        <row r="651">
          <cell r="A651" t="str">
            <v>21529</v>
          </cell>
        </row>
        <row r="652">
          <cell r="A652" t="str">
            <v>21530</v>
          </cell>
        </row>
        <row r="653">
          <cell r="A653" t="str">
            <v>21531</v>
          </cell>
        </row>
        <row r="654">
          <cell r="A654" t="str">
            <v>21532</v>
          </cell>
        </row>
        <row r="655">
          <cell r="A655" t="str">
            <v>21533</v>
          </cell>
        </row>
        <row r="656">
          <cell r="A656" t="str">
            <v>21534</v>
          </cell>
        </row>
        <row r="657">
          <cell r="A657" t="str">
            <v>21535</v>
          </cell>
        </row>
        <row r="658">
          <cell r="A658" t="str">
            <v>21536</v>
          </cell>
        </row>
        <row r="659">
          <cell r="A659" t="str">
            <v>21539</v>
          </cell>
        </row>
        <row r="660">
          <cell r="A660" t="str">
            <v>21540</v>
          </cell>
        </row>
        <row r="661">
          <cell r="A661" t="str">
            <v>21542</v>
          </cell>
        </row>
        <row r="662">
          <cell r="A662" t="str">
            <v>21543</v>
          </cell>
        </row>
        <row r="663">
          <cell r="A663" t="str">
            <v>21544</v>
          </cell>
        </row>
        <row r="664">
          <cell r="A664" t="str">
            <v>21545</v>
          </cell>
        </row>
        <row r="665">
          <cell r="A665" t="str">
            <v>21546</v>
          </cell>
        </row>
        <row r="666">
          <cell r="A666" t="str">
            <v>21547</v>
          </cell>
        </row>
        <row r="667">
          <cell r="A667" t="str">
            <v>21548</v>
          </cell>
        </row>
        <row r="668">
          <cell r="A668" t="str">
            <v>21549</v>
          </cell>
        </row>
        <row r="669">
          <cell r="A669" t="str">
            <v>21551</v>
          </cell>
        </row>
        <row r="670">
          <cell r="A670" t="str">
            <v>21553</v>
          </cell>
        </row>
        <row r="671">
          <cell r="A671" t="str">
            <v>21554</v>
          </cell>
        </row>
        <row r="672">
          <cell r="A672" t="str">
            <v>21555</v>
          </cell>
        </row>
        <row r="673">
          <cell r="A673" t="str">
            <v>21556</v>
          </cell>
        </row>
        <row r="674">
          <cell r="A674" t="str">
            <v>21557</v>
          </cell>
        </row>
        <row r="675">
          <cell r="A675" t="str">
            <v>21558</v>
          </cell>
        </row>
        <row r="676">
          <cell r="A676" t="str">
            <v>21559</v>
          </cell>
        </row>
        <row r="677">
          <cell r="A677" t="str">
            <v>21562</v>
          </cell>
        </row>
        <row r="678">
          <cell r="A678" t="str">
            <v>21563</v>
          </cell>
        </row>
        <row r="679">
          <cell r="A679" t="str">
            <v>21565</v>
          </cell>
        </row>
        <row r="680">
          <cell r="A680" t="str">
            <v>21566</v>
          </cell>
        </row>
        <row r="681">
          <cell r="A681" t="str">
            <v>21568</v>
          </cell>
        </row>
        <row r="682">
          <cell r="A682" t="str">
            <v>21569</v>
          </cell>
        </row>
        <row r="683">
          <cell r="A683" t="str">
            <v>21570</v>
          </cell>
        </row>
        <row r="684">
          <cell r="A684" t="str">
            <v>21571</v>
          </cell>
        </row>
        <row r="685">
          <cell r="A685" t="str">
            <v>21572</v>
          </cell>
        </row>
        <row r="686">
          <cell r="A686" t="str">
            <v>21583</v>
          </cell>
        </row>
        <row r="687">
          <cell r="A687" t="str">
            <v>21584</v>
          </cell>
        </row>
        <row r="688">
          <cell r="A688" t="str">
            <v>21585</v>
          </cell>
        </row>
        <row r="689">
          <cell r="A689" t="str">
            <v>21586</v>
          </cell>
        </row>
        <row r="690">
          <cell r="A690" t="str">
            <v>21587</v>
          </cell>
        </row>
        <row r="691">
          <cell r="A691" t="str">
            <v>21588</v>
          </cell>
        </row>
        <row r="692">
          <cell r="A692" t="str">
            <v>21598</v>
          </cell>
        </row>
        <row r="693">
          <cell r="A693" t="str">
            <v>21700</v>
          </cell>
        </row>
        <row r="694">
          <cell r="A694" t="str">
            <v>21701</v>
          </cell>
        </row>
        <row r="695">
          <cell r="A695" t="str">
            <v>21702</v>
          </cell>
        </row>
        <row r="696">
          <cell r="A696" t="str">
            <v>21703</v>
          </cell>
        </row>
        <row r="697">
          <cell r="A697" t="str">
            <v>21704</v>
          </cell>
        </row>
        <row r="698">
          <cell r="A698" t="str">
            <v>21705</v>
          </cell>
        </row>
        <row r="699">
          <cell r="A699" t="str">
            <v>21708</v>
          </cell>
        </row>
        <row r="700">
          <cell r="A700" t="str">
            <v>21709</v>
          </cell>
        </row>
        <row r="701">
          <cell r="A701" t="str">
            <v>21712</v>
          </cell>
        </row>
        <row r="702">
          <cell r="A702" t="str">
            <v>21713</v>
          </cell>
        </row>
        <row r="703">
          <cell r="A703" t="str">
            <v>21714</v>
          </cell>
        </row>
        <row r="704">
          <cell r="A704" t="str">
            <v>21717</v>
          </cell>
        </row>
        <row r="705">
          <cell r="A705" t="str">
            <v>21718</v>
          </cell>
        </row>
        <row r="706">
          <cell r="A706" t="str">
            <v>21719</v>
          </cell>
        </row>
        <row r="707">
          <cell r="A707" t="str">
            <v>21720</v>
          </cell>
        </row>
        <row r="708">
          <cell r="A708" t="str">
            <v>21721</v>
          </cell>
        </row>
        <row r="709">
          <cell r="A709" t="str">
            <v>21722</v>
          </cell>
        </row>
        <row r="710">
          <cell r="A710" t="str">
            <v>21723</v>
          </cell>
        </row>
        <row r="711">
          <cell r="A711" t="str">
            <v>21724</v>
          </cell>
        </row>
        <row r="712">
          <cell r="A712" t="str">
            <v>21731</v>
          </cell>
        </row>
        <row r="713">
          <cell r="A713" t="str">
            <v>21732</v>
          </cell>
        </row>
        <row r="714">
          <cell r="A714" t="str">
            <v>21734</v>
          </cell>
        </row>
        <row r="715">
          <cell r="A715" t="str">
            <v>24101</v>
          </cell>
        </row>
        <row r="716">
          <cell r="A716" t="str">
            <v>24102</v>
          </cell>
        </row>
        <row r="717">
          <cell r="A717" t="str">
            <v>24105</v>
          </cell>
        </row>
        <row r="718">
          <cell r="A718" t="str">
            <v>24107</v>
          </cell>
        </row>
        <row r="719">
          <cell r="A719" t="str">
            <v>24110</v>
          </cell>
        </row>
        <row r="720">
          <cell r="A720" t="str">
            <v>24113</v>
          </cell>
        </row>
        <row r="721">
          <cell r="A721" t="str">
            <v>24114</v>
          </cell>
        </row>
        <row r="722">
          <cell r="A722" t="str">
            <v>24115</v>
          </cell>
        </row>
        <row r="723">
          <cell r="A723" t="str">
            <v>24116</v>
          </cell>
        </row>
        <row r="724">
          <cell r="A724" t="str">
            <v>24117</v>
          </cell>
        </row>
        <row r="725">
          <cell r="A725" t="str">
            <v>24118</v>
          </cell>
        </row>
        <row r="726">
          <cell r="A726" t="str">
            <v>24119</v>
          </cell>
        </row>
        <row r="727">
          <cell r="A727" t="str">
            <v>24122</v>
          </cell>
        </row>
        <row r="728">
          <cell r="A728" t="str">
            <v>24123</v>
          </cell>
        </row>
        <row r="729">
          <cell r="A729" t="str">
            <v>24124</v>
          </cell>
        </row>
        <row r="730">
          <cell r="A730" t="str">
            <v>24125</v>
          </cell>
        </row>
        <row r="731">
          <cell r="A731" t="str">
            <v>24131</v>
          </cell>
        </row>
        <row r="732">
          <cell r="A732" t="str">
            <v>24138</v>
          </cell>
        </row>
        <row r="733">
          <cell r="A733" t="str">
            <v>24139</v>
          </cell>
        </row>
        <row r="734">
          <cell r="A734" t="str">
            <v>24142</v>
          </cell>
        </row>
        <row r="735">
          <cell r="A735" t="str">
            <v>24144</v>
          </cell>
        </row>
        <row r="736">
          <cell r="A736" t="str">
            <v>24145</v>
          </cell>
        </row>
        <row r="737">
          <cell r="A737" t="str">
            <v>24146</v>
          </cell>
        </row>
        <row r="738">
          <cell r="A738" t="str">
            <v>24147</v>
          </cell>
        </row>
        <row r="739">
          <cell r="A739" t="str">
            <v>24148</v>
          </cell>
        </row>
        <row r="740">
          <cell r="A740" t="str">
            <v>24149</v>
          </cell>
        </row>
        <row r="741">
          <cell r="A741" t="str">
            <v>24162</v>
          </cell>
        </row>
        <row r="742">
          <cell r="A742" t="str">
            <v>24163</v>
          </cell>
        </row>
        <row r="743">
          <cell r="A743" t="str">
            <v>24165</v>
          </cell>
        </row>
        <row r="744">
          <cell r="A744" t="str">
            <v>24166</v>
          </cell>
        </row>
        <row r="745">
          <cell r="A745" t="str">
            <v>24176</v>
          </cell>
        </row>
        <row r="746">
          <cell r="A746" t="str">
            <v>24177</v>
          </cell>
        </row>
        <row r="747">
          <cell r="A747" t="str">
            <v>24178</v>
          </cell>
        </row>
        <row r="748">
          <cell r="A748" t="str">
            <v>24179</v>
          </cell>
        </row>
        <row r="749">
          <cell r="A749" t="str">
            <v>24181</v>
          </cell>
        </row>
        <row r="750">
          <cell r="A750" t="str">
            <v>24202</v>
          </cell>
        </row>
        <row r="751">
          <cell r="A751" t="str">
            <v>24205</v>
          </cell>
        </row>
        <row r="752">
          <cell r="A752" t="str">
            <v>24225</v>
          </cell>
        </row>
        <row r="753">
          <cell r="A753" t="str">
            <v>24226</v>
          </cell>
        </row>
        <row r="754">
          <cell r="A754" t="str">
            <v>24229</v>
          </cell>
        </row>
        <row r="755">
          <cell r="A755" t="str">
            <v>24230</v>
          </cell>
        </row>
        <row r="756">
          <cell r="A756" t="str">
            <v>25400</v>
          </cell>
        </row>
        <row r="757">
          <cell r="A757" t="str">
            <v>24253</v>
          </cell>
        </row>
        <row r="758">
          <cell r="A758" t="str">
            <v>24254</v>
          </cell>
        </row>
        <row r="759">
          <cell r="A759" t="str">
            <v>21746</v>
          </cell>
        </row>
        <row r="760">
          <cell r="A760" t="str">
            <v>21747</v>
          </cell>
        </row>
        <row r="761">
          <cell r="A761" t="str">
            <v>21748</v>
          </cell>
        </row>
        <row r="762">
          <cell r="A762" t="str">
            <v>21749</v>
          </cell>
        </row>
        <row r="763">
          <cell r="A763" t="str">
            <v>21750</v>
          </cell>
        </row>
        <row r="764">
          <cell r="A764" t="str">
            <v>21751</v>
          </cell>
        </row>
        <row r="765">
          <cell r="A765" t="str">
            <v>21753</v>
          </cell>
        </row>
        <row r="766">
          <cell r="A766" t="str">
            <v>21763</v>
          </cell>
        </row>
        <row r="767">
          <cell r="A767" t="str">
            <v>21760</v>
          </cell>
        </row>
        <row r="768">
          <cell r="A768" t="str">
            <v>21761</v>
          </cell>
        </row>
        <row r="769">
          <cell r="A769" t="str">
            <v>21762</v>
          </cell>
        </row>
        <row r="770">
          <cell r="A770" t="str">
            <v>21764</v>
          </cell>
        </row>
        <row r="771">
          <cell r="A771" t="str">
            <v>21765</v>
          </cell>
        </row>
        <row r="772">
          <cell r="A772" t="str">
            <v>21766</v>
          </cell>
        </row>
        <row r="773">
          <cell r="A773" t="str">
            <v>21767</v>
          </cell>
        </row>
        <row r="774">
          <cell r="A774" t="str">
            <v>24269</v>
          </cell>
        </row>
        <row r="775">
          <cell r="A775" t="str">
            <v>24270</v>
          </cell>
        </row>
        <row r="776">
          <cell r="A776" t="str">
            <v>21770</v>
          </cell>
        </row>
        <row r="777">
          <cell r="A777" t="str">
            <v>21771</v>
          </cell>
        </row>
        <row r="778">
          <cell r="A778" t="str">
            <v>24279</v>
          </cell>
        </row>
        <row r="779">
          <cell r="A779" t="str">
            <v>21776</v>
          </cell>
        </row>
        <row r="780">
          <cell r="A780" t="str">
            <v>21777</v>
          </cell>
        </row>
        <row r="781">
          <cell r="A781" t="str">
            <v>21778</v>
          </cell>
        </row>
        <row r="782">
          <cell r="A782" t="str">
            <v>21779</v>
          </cell>
        </row>
        <row r="783">
          <cell r="A783" t="str">
            <v>21780</v>
          </cell>
        </row>
        <row r="784">
          <cell r="A784" t="str">
            <v>21783</v>
          </cell>
        </row>
        <row r="785">
          <cell r="A785" t="str">
            <v>21784</v>
          </cell>
        </row>
        <row r="786">
          <cell r="A786" t="str">
            <v>21785</v>
          </cell>
        </row>
        <row r="787">
          <cell r="A787" t="str">
            <v>21786</v>
          </cell>
        </row>
        <row r="788">
          <cell r="A788" t="str">
            <v>21787</v>
          </cell>
        </row>
        <row r="789">
          <cell r="A789" t="str">
            <v>21796</v>
          </cell>
        </row>
        <row r="790">
          <cell r="A790" t="str">
            <v>21797</v>
          </cell>
        </row>
        <row r="791">
          <cell r="A791" t="str">
            <v>21798</v>
          </cell>
        </row>
        <row r="792">
          <cell r="A792" t="str">
            <v>21799</v>
          </cell>
        </row>
        <row r="793">
          <cell r="A793" t="str">
            <v>21800</v>
          </cell>
        </row>
        <row r="794">
          <cell r="A794" t="str">
            <v>21801</v>
          </cell>
        </row>
        <row r="795">
          <cell r="A795" t="str">
            <v>21802</v>
          </cell>
        </row>
        <row r="796">
          <cell r="A796" t="str">
            <v>21807</v>
          </cell>
        </row>
        <row r="797">
          <cell r="A797" t="str">
            <v>21808</v>
          </cell>
        </row>
        <row r="798">
          <cell r="A798" t="str">
            <v>21809</v>
          </cell>
        </row>
        <row r="799">
          <cell r="A799" t="str">
            <v>21815</v>
          </cell>
        </row>
        <row r="800">
          <cell r="A800" t="str">
            <v>21816</v>
          </cell>
        </row>
        <row r="801">
          <cell r="A801" t="str">
            <v>21818</v>
          </cell>
        </row>
        <row r="802">
          <cell r="A802" t="str">
            <v>21824</v>
          </cell>
        </row>
        <row r="803">
          <cell r="A803" t="str">
            <v>21825</v>
          </cell>
        </row>
        <row r="804">
          <cell r="A804" t="str">
            <v>21826</v>
          </cell>
        </row>
        <row r="805">
          <cell r="A805" t="str">
            <v>21827</v>
          </cell>
        </row>
        <row r="806">
          <cell r="A806" t="str">
            <v>21828</v>
          </cell>
        </row>
        <row r="807">
          <cell r="A807" t="str">
            <v>21829</v>
          </cell>
        </row>
        <row r="808">
          <cell r="A808" t="str">
            <v>20817</v>
          </cell>
        </row>
        <row r="809">
          <cell r="A809" t="str">
            <v>20818</v>
          </cell>
        </row>
        <row r="810">
          <cell r="A810" t="str">
            <v>10906</v>
          </cell>
        </row>
        <row r="811">
          <cell r="A811" t="str">
            <v>11029</v>
          </cell>
        </row>
        <row r="812">
          <cell r="A812" t="str">
            <v>25020</v>
          </cell>
        </row>
        <row r="813">
          <cell r="A813" t="str">
            <v>23005</v>
          </cell>
        </row>
        <row r="814">
          <cell r="A814" t="str">
            <v>23008</v>
          </cell>
        </row>
        <row r="815">
          <cell r="A815" t="str">
            <v>23010</v>
          </cell>
        </row>
        <row r="816">
          <cell r="A816" t="str">
            <v>23015</v>
          </cell>
        </row>
        <row r="817">
          <cell r="A817" t="str">
            <v>23031</v>
          </cell>
        </row>
        <row r="818">
          <cell r="A818" t="str">
            <v>23032</v>
          </cell>
        </row>
        <row r="819">
          <cell r="A819" t="str">
            <v>23037</v>
          </cell>
        </row>
        <row r="820">
          <cell r="A820" t="str">
            <v>23088</v>
          </cell>
        </row>
        <row r="821">
          <cell r="A821" t="str">
            <v>10162</v>
          </cell>
        </row>
        <row r="822">
          <cell r="A822" t="str">
            <v>10477</v>
          </cell>
        </row>
        <row r="823">
          <cell r="A823" t="str">
            <v>10490</v>
          </cell>
        </row>
        <row r="824">
          <cell r="A824" t="str">
            <v>10506</v>
          </cell>
        </row>
        <row r="825">
          <cell r="A825" t="str">
            <v>10507</v>
          </cell>
        </row>
        <row r="826">
          <cell r="A826" t="str">
            <v>10508</v>
          </cell>
        </row>
        <row r="827">
          <cell r="A827" t="str">
            <v>10744</v>
          </cell>
        </row>
        <row r="828">
          <cell r="A828" t="str">
            <v>10910</v>
          </cell>
        </row>
        <row r="829">
          <cell r="A829" t="str">
            <v>10943</v>
          </cell>
        </row>
        <row r="830">
          <cell r="A830" t="str">
            <v>11127</v>
          </cell>
        </row>
        <row r="831">
          <cell r="A831" t="str">
            <v>11401</v>
          </cell>
        </row>
        <row r="832">
          <cell r="A832" t="str">
            <v>11410</v>
          </cell>
        </row>
        <row r="833">
          <cell r="A833" t="str">
            <v>11413</v>
          </cell>
        </row>
        <row r="834">
          <cell r="A834" t="str">
            <v>11417</v>
          </cell>
        </row>
        <row r="835">
          <cell r="A835" t="str">
            <v>11419</v>
          </cell>
        </row>
        <row r="836">
          <cell r="A836" t="str">
            <v>11420</v>
          </cell>
        </row>
        <row r="837">
          <cell r="A837" t="str">
            <v>11421</v>
          </cell>
        </row>
        <row r="838">
          <cell r="A838" t="str">
            <v>11422</v>
          </cell>
        </row>
        <row r="839">
          <cell r="A839" t="str">
            <v>11434</v>
          </cell>
        </row>
        <row r="840">
          <cell r="A840" t="str">
            <v>11435</v>
          </cell>
        </row>
        <row r="841">
          <cell r="A841" t="str">
            <v>11438</v>
          </cell>
        </row>
        <row r="842">
          <cell r="A842" t="str">
            <v>11441</v>
          </cell>
        </row>
        <row r="843">
          <cell r="A843" t="str">
            <v>11446</v>
          </cell>
        </row>
        <row r="844">
          <cell r="A844" t="str">
            <v>10349</v>
          </cell>
        </row>
        <row r="845">
          <cell r="A845" t="str">
            <v>11449</v>
          </cell>
        </row>
        <row r="846">
          <cell r="A846" t="str">
            <v>10976</v>
          </cell>
        </row>
        <row r="847">
          <cell r="A847" t="str">
            <v>10611</v>
          </cell>
        </row>
        <row r="848">
          <cell r="A848" t="str">
            <v>10612</v>
          </cell>
        </row>
        <row r="849">
          <cell r="A849" t="str">
            <v>10184</v>
          </cell>
        </row>
        <row r="850">
          <cell r="A850" t="str">
            <v>20501</v>
          </cell>
        </row>
        <row r="851">
          <cell r="A851" t="str">
            <v>10932</v>
          </cell>
        </row>
        <row r="852">
          <cell r="A852" t="str">
            <v>20241</v>
          </cell>
        </row>
        <row r="853">
          <cell r="A853" t="str">
            <v>20242</v>
          </cell>
        </row>
        <row r="854">
          <cell r="A854" t="str">
            <v>20974</v>
          </cell>
        </row>
        <row r="855">
          <cell r="A855" t="str">
            <v>21250</v>
          </cell>
        </row>
        <row r="856">
          <cell r="A856" t="str">
            <v>21662</v>
          </cell>
        </row>
        <row r="857">
          <cell r="A857" t="str">
            <v>21663</v>
          </cell>
        </row>
        <row r="858">
          <cell r="A858" t="str">
            <v>21664</v>
          </cell>
        </row>
        <row r="859">
          <cell r="A859" t="str">
            <v>21902</v>
          </cell>
        </row>
        <row r="860">
          <cell r="A860" t="str">
            <v>21908</v>
          </cell>
        </row>
        <row r="861">
          <cell r="A861" t="str">
            <v>21909</v>
          </cell>
        </row>
        <row r="862">
          <cell r="A862" t="str">
            <v>21913</v>
          </cell>
        </row>
        <row r="863">
          <cell r="A863" t="str">
            <v>21914</v>
          </cell>
        </row>
        <row r="864">
          <cell r="A864" t="str">
            <v>21919</v>
          </cell>
        </row>
        <row r="865">
          <cell r="A865" t="str">
            <v>21920</v>
          </cell>
        </row>
        <row r="866">
          <cell r="A866" t="str">
            <v>21922</v>
          </cell>
        </row>
        <row r="867">
          <cell r="A867" t="str">
            <v>21924</v>
          </cell>
        </row>
        <row r="868">
          <cell r="A868" t="str">
            <v>21925</v>
          </cell>
        </row>
        <row r="869">
          <cell r="A869" t="str">
            <v>21926</v>
          </cell>
        </row>
        <row r="870">
          <cell r="A870" t="str">
            <v>21927</v>
          </cell>
        </row>
        <row r="871">
          <cell r="A871" t="str">
            <v>21928</v>
          </cell>
        </row>
        <row r="872">
          <cell r="A872" t="str">
            <v>21932</v>
          </cell>
        </row>
        <row r="873">
          <cell r="A873" t="str">
            <v>21933</v>
          </cell>
        </row>
        <row r="874">
          <cell r="A874" t="str">
            <v>21934</v>
          </cell>
        </row>
        <row r="875">
          <cell r="A875" t="str">
            <v>21935</v>
          </cell>
        </row>
        <row r="876">
          <cell r="A876" t="str">
            <v>21936</v>
          </cell>
        </row>
        <row r="877">
          <cell r="A877" t="str">
            <v>21943</v>
          </cell>
        </row>
        <row r="878">
          <cell r="A878" t="str">
            <v>21959</v>
          </cell>
        </row>
        <row r="879">
          <cell r="A879" t="str">
            <v>21961</v>
          </cell>
        </row>
        <row r="880">
          <cell r="A880" t="str">
            <v>21965</v>
          </cell>
        </row>
        <row r="881">
          <cell r="A881" t="str">
            <v>21967</v>
          </cell>
        </row>
        <row r="882">
          <cell r="A882" t="str">
            <v>21969</v>
          </cell>
        </row>
        <row r="883">
          <cell r="A883" t="str">
            <v>21970</v>
          </cell>
        </row>
        <row r="884">
          <cell r="A884" t="str">
            <v>21971</v>
          </cell>
        </row>
        <row r="885">
          <cell r="A885" t="str">
            <v>21973</v>
          </cell>
        </row>
        <row r="886">
          <cell r="A886" t="str">
            <v>21975</v>
          </cell>
        </row>
        <row r="887">
          <cell r="A887" t="str">
            <v>21977</v>
          </cell>
        </row>
        <row r="888">
          <cell r="A888" t="str">
            <v>21978</v>
          </cell>
        </row>
        <row r="889">
          <cell r="A889" t="str">
            <v>21979</v>
          </cell>
        </row>
        <row r="890">
          <cell r="A890" t="str">
            <v>21980</v>
          </cell>
        </row>
        <row r="891">
          <cell r="A891" t="str">
            <v>21981</v>
          </cell>
        </row>
        <row r="892">
          <cell r="A892" t="str">
            <v>21984</v>
          </cell>
        </row>
        <row r="893">
          <cell r="A893" t="str">
            <v>21985</v>
          </cell>
        </row>
        <row r="894">
          <cell r="A894" t="str">
            <v>21986</v>
          </cell>
        </row>
        <row r="895">
          <cell r="A895" t="str">
            <v>21987</v>
          </cell>
        </row>
        <row r="896">
          <cell r="A896" t="str">
            <v>21988</v>
          </cell>
        </row>
        <row r="897">
          <cell r="A897" t="str">
            <v>21990</v>
          </cell>
        </row>
        <row r="898">
          <cell r="A898" t="str">
            <v>21991</v>
          </cell>
        </row>
        <row r="899">
          <cell r="A899" t="str">
            <v>21992</v>
          </cell>
        </row>
        <row r="900">
          <cell r="A900" t="str">
            <v>21993</v>
          </cell>
        </row>
        <row r="901">
          <cell r="A901" t="str">
            <v>21994</v>
          </cell>
        </row>
        <row r="902">
          <cell r="A902" t="str">
            <v>21995</v>
          </cell>
        </row>
        <row r="903">
          <cell r="A903" t="str">
            <v>21996</v>
          </cell>
        </row>
        <row r="904">
          <cell r="A904" t="str">
            <v>21999</v>
          </cell>
        </row>
        <row r="905">
          <cell r="A905" t="str">
            <v>22901</v>
          </cell>
        </row>
        <row r="906">
          <cell r="A906" t="str">
            <v>22903</v>
          </cell>
        </row>
        <row r="907">
          <cell r="A907" t="str">
            <v>22904</v>
          </cell>
        </row>
        <row r="908">
          <cell r="A908" t="str">
            <v>22905</v>
          </cell>
        </row>
        <row r="909">
          <cell r="A909" t="str">
            <v>22906</v>
          </cell>
        </row>
        <row r="910">
          <cell r="A910" t="str">
            <v>22907</v>
          </cell>
        </row>
        <row r="911">
          <cell r="A911" t="str">
            <v>22908</v>
          </cell>
        </row>
        <row r="912">
          <cell r="A912" t="str">
            <v>22911</v>
          </cell>
        </row>
        <row r="913">
          <cell r="A913" t="str">
            <v>22912</v>
          </cell>
        </row>
        <row r="914">
          <cell r="A914" t="str">
            <v>22913</v>
          </cell>
        </row>
        <row r="915">
          <cell r="A915" t="str">
            <v>22914</v>
          </cell>
        </row>
        <row r="916">
          <cell r="A916" t="str">
            <v>22915</v>
          </cell>
        </row>
        <row r="917">
          <cell r="A917" t="str">
            <v>22916</v>
          </cell>
        </row>
        <row r="918">
          <cell r="A918" t="str">
            <v>22917</v>
          </cell>
        </row>
        <row r="919">
          <cell r="A919" t="str">
            <v>22918</v>
          </cell>
        </row>
        <row r="920">
          <cell r="A920" t="str">
            <v>22919</v>
          </cell>
        </row>
        <row r="921">
          <cell r="A921" t="str">
            <v>22920</v>
          </cell>
        </row>
        <row r="922">
          <cell r="A922" t="str">
            <v>22921</v>
          </cell>
        </row>
        <row r="923">
          <cell r="A923" t="str">
            <v>22922</v>
          </cell>
        </row>
        <row r="924">
          <cell r="A924" t="str">
            <v>22923</v>
          </cell>
        </row>
        <row r="925">
          <cell r="A925" t="str">
            <v>22924</v>
          </cell>
        </row>
        <row r="926">
          <cell r="A926" t="str">
            <v>22925</v>
          </cell>
        </row>
        <row r="927">
          <cell r="A927" t="str">
            <v>22927</v>
          </cell>
        </row>
        <row r="928">
          <cell r="A928" t="str">
            <v>22929</v>
          </cell>
        </row>
        <row r="929">
          <cell r="A929" t="str">
            <v>22930</v>
          </cell>
        </row>
        <row r="930">
          <cell r="A930" t="str">
            <v>22931</v>
          </cell>
        </row>
        <row r="931">
          <cell r="A931" t="str">
            <v>22932</v>
          </cell>
        </row>
        <row r="932">
          <cell r="A932" t="str">
            <v>22935</v>
          </cell>
        </row>
        <row r="933">
          <cell r="A933" t="str">
            <v>22936</v>
          </cell>
        </row>
        <row r="934">
          <cell r="A934" t="str">
            <v>22937</v>
          </cell>
        </row>
        <row r="935">
          <cell r="A935" t="str">
            <v>22938</v>
          </cell>
        </row>
        <row r="936">
          <cell r="A936" t="str">
            <v>22939</v>
          </cell>
        </row>
        <row r="937">
          <cell r="A937" t="str">
            <v>22940</v>
          </cell>
        </row>
        <row r="938">
          <cell r="A938" t="str">
            <v>22942</v>
          </cell>
        </row>
        <row r="939">
          <cell r="A939" t="str">
            <v>22943</v>
          </cell>
        </row>
        <row r="940">
          <cell r="A940" t="str">
            <v>22944</v>
          </cell>
        </row>
        <row r="941">
          <cell r="A941" t="str">
            <v>22945</v>
          </cell>
        </row>
        <row r="942">
          <cell r="A942" t="str">
            <v>22948</v>
          </cell>
        </row>
        <row r="943">
          <cell r="A943" t="str">
            <v>22952</v>
          </cell>
        </row>
        <row r="944">
          <cell r="A944" t="str">
            <v>22953</v>
          </cell>
        </row>
        <row r="945">
          <cell r="A945" t="str">
            <v>22955</v>
          </cell>
        </row>
        <row r="946">
          <cell r="A946" t="str">
            <v>22958</v>
          </cell>
        </row>
        <row r="947">
          <cell r="A947" t="str">
            <v>22959</v>
          </cell>
        </row>
        <row r="948">
          <cell r="A948" t="str">
            <v>22960</v>
          </cell>
        </row>
        <row r="949">
          <cell r="A949" t="str">
            <v>22961</v>
          </cell>
        </row>
        <row r="950">
          <cell r="A950" t="str">
            <v>22967</v>
          </cell>
        </row>
        <row r="951">
          <cell r="A951" t="str">
            <v>22968</v>
          </cell>
        </row>
        <row r="952">
          <cell r="A952" t="str">
            <v>22969</v>
          </cell>
        </row>
        <row r="953">
          <cell r="A953" t="str">
            <v>22971</v>
          </cell>
        </row>
        <row r="954">
          <cell r="A954" t="str">
            <v>22972</v>
          </cell>
        </row>
        <row r="955">
          <cell r="A955" t="str">
            <v>22973</v>
          </cell>
        </row>
        <row r="956">
          <cell r="A956" t="str">
            <v>22977</v>
          </cell>
        </row>
        <row r="957">
          <cell r="A957" t="str">
            <v>22978</v>
          </cell>
        </row>
        <row r="958">
          <cell r="A958" t="str">
            <v>22979</v>
          </cell>
        </row>
        <row r="959">
          <cell r="A959" t="str">
            <v>22980</v>
          </cell>
        </row>
        <row r="960">
          <cell r="A960" t="str">
            <v>22981</v>
          </cell>
        </row>
        <row r="961">
          <cell r="A961" t="str">
            <v>22982</v>
          </cell>
        </row>
        <row r="962">
          <cell r="A962" t="str">
            <v>22984</v>
          </cell>
        </row>
        <row r="963">
          <cell r="A963" t="str">
            <v>22986</v>
          </cell>
        </row>
        <row r="964">
          <cell r="A964" t="str">
            <v>22987</v>
          </cell>
        </row>
        <row r="965">
          <cell r="A965" t="str">
            <v>22988</v>
          </cell>
        </row>
        <row r="966">
          <cell r="A966" t="str">
            <v>22990</v>
          </cell>
        </row>
        <row r="967">
          <cell r="A967" t="str">
            <v>22991</v>
          </cell>
        </row>
        <row r="968">
          <cell r="A968" t="str">
            <v>22992</v>
          </cell>
        </row>
        <row r="969">
          <cell r="A969" t="str">
            <v>22995</v>
          </cell>
        </row>
        <row r="970">
          <cell r="A970" t="str">
            <v>22996</v>
          </cell>
        </row>
        <row r="971">
          <cell r="A971" t="str">
            <v>22997</v>
          </cell>
        </row>
        <row r="972">
          <cell r="A972" t="str">
            <v>23000</v>
          </cell>
        </row>
        <row r="973">
          <cell r="A973" t="str">
            <v>23001</v>
          </cell>
        </row>
        <row r="974">
          <cell r="A974" t="str">
            <v>23002</v>
          </cell>
        </row>
        <row r="975">
          <cell r="A975" t="str">
            <v>23003</v>
          </cell>
        </row>
        <row r="976">
          <cell r="A976" t="str">
            <v>23006</v>
          </cell>
        </row>
        <row r="977">
          <cell r="A977" t="str">
            <v>23007</v>
          </cell>
        </row>
        <row r="978">
          <cell r="A978" t="str">
            <v>23009</v>
          </cell>
        </row>
        <row r="979">
          <cell r="A979" t="str">
            <v>23011</v>
          </cell>
        </row>
        <row r="980">
          <cell r="A980" t="str">
            <v>23017</v>
          </cell>
        </row>
        <row r="981">
          <cell r="A981" t="str">
            <v>23018</v>
          </cell>
        </row>
        <row r="982">
          <cell r="A982" t="str">
            <v>23019</v>
          </cell>
        </row>
        <row r="983">
          <cell r="A983" t="str">
            <v>23022</v>
          </cell>
        </row>
        <row r="984">
          <cell r="A984" t="str">
            <v>23023</v>
          </cell>
        </row>
        <row r="985">
          <cell r="A985" t="str">
            <v>23026</v>
          </cell>
        </row>
        <row r="986">
          <cell r="A986" t="str">
            <v>23027</v>
          </cell>
        </row>
        <row r="987">
          <cell r="A987" t="str">
            <v>23028</v>
          </cell>
        </row>
        <row r="988">
          <cell r="A988" t="str">
            <v>23029</v>
          </cell>
        </row>
        <row r="989">
          <cell r="A989" t="str">
            <v>23030</v>
          </cell>
        </row>
        <row r="990">
          <cell r="A990" t="str">
            <v>23033</v>
          </cell>
        </row>
        <row r="991">
          <cell r="A991" t="str">
            <v>23034</v>
          </cell>
        </row>
        <row r="992">
          <cell r="A992" t="str">
            <v>23036</v>
          </cell>
        </row>
        <row r="993">
          <cell r="A993" t="str">
            <v>23038</v>
          </cell>
        </row>
        <row r="994">
          <cell r="A994" t="str">
            <v>23039</v>
          </cell>
        </row>
        <row r="995">
          <cell r="A995" t="str">
            <v>23040</v>
          </cell>
        </row>
        <row r="996">
          <cell r="A996" t="str">
            <v>23041</v>
          </cell>
        </row>
        <row r="997">
          <cell r="A997" t="str">
            <v>23042</v>
          </cell>
        </row>
        <row r="998">
          <cell r="A998" t="str">
            <v>23043</v>
          </cell>
        </row>
        <row r="999">
          <cell r="A999" t="str">
            <v>23044</v>
          </cell>
        </row>
        <row r="1000">
          <cell r="A1000" t="str">
            <v>23045</v>
          </cell>
        </row>
        <row r="1001">
          <cell r="A1001" t="str">
            <v>23047</v>
          </cell>
        </row>
        <row r="1002">
          <cell r="A1002" t="str">
            <v>23049</v>
          </cell>
        </row>
        <row r="1003">
          <cell r="A1003" t="str">
            <v>23050</v>
          </cell>
        </row>
        <row r="1004">
          <cell r="A1004" t="str">
            <v>23051</v>
          </cell>
        </row>
        <row r="1005">
          <cell r="A1005" t="str">
            <v>23052</v>
          </cell>
        </row>
        <row r="1006">
          <cell r="A1006" t="str">
            <v>23053</v>
          </cell>
        </row>
        <row r="1007">
          <cell r="A1007" t="str">
            <v>23054</v>
          </cell>
        </row>
        <row r="1008">
          <cell r="A1008" t="str">
            <v>23056</v>
          </cell>
        </row>
        <row r="1009">
          <cell r="A1009" t="str">
            <v>23057</v>
          </cell>
        </row>
        <row r="1010">
          <cell r="A1010" t="str">
            <v>23058</v>
          </cell>
        </row>
        <row r="1011">
          <cell r="A1011" t="str">
            <v>23061</v>
          </cell>
        </row>
        <row r="1012">
          <cell r="A1012" t="str">
            <v>23062</v>
          </cell>
        </row>
        <row r="1013">
          <cell r="A1013" t="str">
            <v>23063</v>
          </cell>
        </row>
        <row r="1014">
          <cell r="A1014" t="str">
            <v>23064</v>
          </cell>
        </row>
        <row r="1015">
          <cell r="A1015" t="str">
            <v>23065</v>
          </cell>
        </row>
        <row r="1016">
          <cell r="A1016" t="str">
            <v>23067</v>
          </cell>
        </row>
        <row r="1017">
          <cell r="A1017" t="str">
            <v>23068</v>
          </cell>
        </row>
        <row r="1018">
          <cell r="A1018" t="str">
            <v>23069</v>
          </cell>
        </row>
        <row r="1019">
          <cell r="A1019" t="str">
            <v>23070</v>
          </cell>
        </row>
        <row r="1020">
          <cell r="A1020" t="str">
            <v>23072</v>
          </cell>
        </row>
        <row r="1021">
          <cell r="A1021" t="str">
            <v>23073</v>
          </cell>
        </row>
        <row r="1022">
          <cell r="A1022" t="str">
            <v>23074</v>
          </cell>
        </row>
        <row r="1023">
          <cell r="A1023" t="str">
            <v>23075</v>
          </cell>
        </row>
        <row r="1024">
          <cell r="A1024" t="str">
            <v>23076</v>
          </cell>
        </row>
        <row r="1025">
          <cell r="A1025" t="str">
            <v>23077</v>
          </cell>
        </row>
        <row r="1026">
          <cell r="A1026" t="str">
            <v>23078</v>
          </cell>
        </row>
        <row r="1027">
          <cell r="A1027" t="str">
            <v>23079</v>
          </cell>
        </row>
        <row r="1028">
          <cell r="A1028" t="str">
            <v>23080</v>
          </cell>
        </row>
        <row r="1029">
          <cell r="A1029" t="str">
            <v>23081</v>
          </cell>
        </row>
        <row r="1030">
          <cell r="A1030" t="str">
            <v>23082</v>
          </cell>
        </row>
        <row r="1031">
          <cell r="A1031" t="str">
            <v>23084</v>
          </cell>
        </row>
        <row r="1032">
          <cell r="A1032" t="str">
            <v>23085</v>
          </cell>
        </row>
        <row r="1033">
          <cell r="A1033" t="str">
            <v>23087</v>
          </cell>
        </row>
        <row r="1034">
          <cell r="A1034" t="str">
            <v>23089</v>
          </cell>
        </row>
        <row r="1035">
          <cell r="A1035" t="str">
            <v>23090</v>
          </cell>
        </row>
        <row r="1036">
          <cell r="A1036" t="str">
            <v>23091</v>
          </cell>
        </row>
        <row r="1037">
          <cell r="A1037" t="str">
            <v>23092</v>
          </cell>
        </row>
        <row r="1038">
          <cell r="A1038" t="str">
            <v>23094</v>
          </cell>
        </row>
        <row r="1039">
          <cell r="A1039" t="str">
            <v>23095</v>
          </cell>
        </row>
        <row r="1040">
          <cell r="A1040" t="str">
            <v>23097</v>
          </cell>
        </row>
        <row r="1041">
          <cell r="A1041" t="str">
            <v>23098</v>
          </cell>
        </row>
        <row r="1042">
          <cell r="A1042" t="str">
            <v>23100</v>
          </cell>
        </row>
        <row r="1043">
          <cell r="A1043" t="str">
            <v>23101</v>
          </cell>
        </row>
        <row r="1044">
          <cell r="A1044" t="str">
            <v>23102</v>
          </cell>
        </row>
        <row r="1045">
          <cell r="A1045" t="str">
            <v>23103</v>
          </cell>
        </row>
        <row r="1046">
          <cell r="A1046" t="str">
            <v>23104</v>
          </cell>
        </row>
        <row r="1047">
          <cell r="A1047" t="str">
            <v>23105</v>
          </cell>
        </row>
        <row r="1048">
          <cell r="A1048" t="str">
            <v>23106</v>
          </cell>
        </row>
        <row r="1049">
          <cell r="A1049" t="str">
            <v>23107</v>
          </cell>
        </row>
        <row r="1050">
          <cell r="A1050" t="str">
            <v>23108</v>
          </cell>
        </row>
        <row r="1051">
          <cell r="A1051" t="str">
            <v>23109</v>
          </cell>
        </row>
        <row r="1052">
          <cell r="A1052" t="str">
            <v>23110</v>
          </cell>
        </row>
        <row r="1053">
          <cell r="A1053" t="str">
            <v>23111</v>
          </cell>
        </row>
        <row r="1054">
          <cell r="A1054" t="str">
            <v>23113</v>
          </cell>
        </row>
        <row r="1055">
          <cell r="A1055" t="str">
            <v>23114</v>
          </cell>
        </row>
        <row r="1056">
          <cell r="A1056" t="str">
            <v>23115</v>
          </cell>
        </row>
        <row r="1057">
          <cell r="A1057" t="str">
            <v>23116</v>
          </cell>
        </row>
        <row r="1058">
          <cell r="A1058" t="str">
            <v>23117</v>
          </cell>
        </row>
        <row r="1059">
          <cell r="A1059" t="str">
            <v>23118</v>
          </cell>
        </row>
        <row r="1060">
          <cell r="A1060" t="str">
            <v>23119</v>
          </cell>
        </row>
        <row r="1061">
          <cell r="A1061" t="str">
            <v>23120</v>
          </cell>
        </row>
        <row r="1062">
          <cell r="A1062" t="str">
            <v>23122</v>
          </cell>
        </row>
        <row r="1063">
          <cell r="A1063" t="str">
            <v>23123</v>
          </cell>
        </row>
        <row r="1064">
          <cell r="A1064" t="str">
            <v>23124</v>
          </cell>
        </row>
        <row r="1065">
          <cell r="A1065" t="str">
            <v>23128</v>
          </cell>
        </row>
        <row r="1066">
          <cell r="A1066" t="str">
            <v>23129</v>
          </cell>
        </row>
        <row r="1067">
          <cell r="A1067" t="str">
            <v>23130</v>
          </cell>
        </row>
        <row r="1068">
          <cell r="A1068" t="str">
            <v>23132</v>
          </cell>
        </row>
        <row r="1069">
          <cell r="A1069" t="str">
            <v>23134</v>
          </cell>
        </row>
        <row r="1070">
          <cell r="A1070" t="str">
            <v>23135</v>
          </cell>
        </row>
        <row r="1071">
          <cell r="A1071" t="str">
            <v>23136</v>
          </cell>
        </row>
        <row r="1072">
          <cell r="A1072" t="str">
            <v>23137</v>
          </cell>
        </row>
        <row r="1073">
          <cell r="A1073" t="str">
            <v>23138</v>
          </cell>
        </row>
        <row r="1074">
          <cell r="A1074" t="str">
            <v>23139</v>
          </cell>
        </row>
        <row r="1075">
          <cell r="A1075" t="str">
            <v>23140</v>
          </cell>
        </row>
        <row r="1076">
          <cell r="A1076" t="str">
            <v>23141</v>
          </cell>
        </row>
        <row r="1077">
          <cell r="A1077" t="str">
            <v>23142</v>
          </cell>
        </row>
        <row r="1078">
          <cell r="A1078" t="str">
            <v>23145</v>
          </cell>
        </row>
        <row r="1079">
          <cell r="A1079" t="str">
            <v>23146</v>
          </cell>
        </row>
        <row r="1080">
          <cell r="A1080" t="str">
            <v>23148</v>
          </cell>
        </row>
        <row r="1081">
          <cell r="A1081" t="str">
            <v>23151</v>
          </cell>
        </row>
        <row r="1082">
          <cell r="A1082" t="str">
            <v>23152</v>
          </cell>
        </row>
        <row r="1083">
          <cell r="A1083" t="str">
            <v>23153</v>
          </cell>
        </row>
        <row r="1084">
          <cell r="A1084" t="str">
            <v>23154</v>
          </cell>
        </row>
        <row r="1085">
          <cell r="A1085" t="str">
            <v>23156</v>
          </cell>
        </row>
        <row r="1086">
          <cell r="A1086" t="str">
            <v>23157</v>
          </cell>
        </row>
        <row r="1087">
          <cell r="A1087" t="str">
            <v>23159</v>
          </cell>
        </row>
        <row r="1088">
          <cell r="A1088" t="str">
            <v>23160</v>
          </cell>
        </row>
        <row r="1089">
          <cell r="A1089" t="str">
            <v>23161</v>
          </cell>
        </row>
        <row r="1090">
          <cell r="A1090" t="str">
            <v>23162</v>
          </cell>
        </row>
        <row r="1091">
          <cell r="A1091" t="str">
            <v>23163</v>
          </cell>
        </row>
        <row r="1092">
          <cell r="A1092" t="str">
            <v>23166</v>
          </cell>
        </row>
        <row r="1093">
          <cell r="A1093" t="str">
            <v>23167</v>
          </cell>
        </row>
        <row r="1094">
          <cell r="A1094" t="str">
            <v>23168</v>
          </cell>
        </row>
        <row r="1095">
          <cell r="A1095" t="str">
            <v>23169</v>
          </cell>
        </row>
        <row r="1096">
          <cell r="A1096" t="str">
            <v>23170</v>
          </cell>
        </row>
        <row r="1097">
          <cell r="A1097" t="str">
            <v>23171</v>
          </cell>
        </row>
        <row r="1098">
          <cell r="A1098" t="str">
            <v>23172</v>
          </cell>
        </row>
        <row r="1099">
          <cell r="A1099" t="str">
            <v>23174</v>
          </cell>
        </row>
        <row r="1100">
          <cell r="A1100" t="str">
            <v>23175</v>
          </cell>
        </row>
        <row r="1101">
          <cell r="A1101" t="str">
            <v>23178</v>
          </cell>
        </row>
        <row r="1102">
          <cell r="A1102" t="str">
            <v>23179</v>
          </cell>
        </row>
        <row r="1103">
          <cell r="A1103" t="str">
            <v>23180</v>
          </cell>
        </row>
        <row r="1104">
          <cell r="A1104" t="str">
            <v>23181</v>
          </cell>
        </row>
        <row r="1105">
          <cell r="A1105" t="str">
            <v>23182</v>
          </cell>
        </row>
        <row r="1106">
          <cell r="A1106" t="str">
            <v>23183</v>
          </cell>
        </row>
        <row r="1107">
          <cell r="A1107" t="str">
            <v>23184</v>
          </cell>
        </row>
        <row r="1108">
          <cell r="A1108" t="str">
            <v>23185</v>
          </cell>
        </row>
        <row r="1109">
          <cell r="A1109" t="str">
            <v>23186</v>
          </cell>
        </row>
        <row r="1110">
          <cell r="A1110" t="str">
            <v>23188</v>
          </cell>
        </row>
        <row r="1111">
          <cell r="A1111" t="str">
            <v>23189</v>
          </cell>
        </row>
        <row r="1112">
          <cell r="A1112" t="str">
            <v>23190</v>
          </cell>
        </row>
        <row r="1113">
          <cell r="A1113" t="str">
            <v>23191</v>
          </cell>
        </row>
        <row r="1114">
          <cell r="A1114" t="str">
            <v>23192</v>
          </cell>
        </row>
        <row r="1115">
          <cell r="A1115" t="str">
            <v>23193</v>
          </cell>
        </row>
        <row r="1116">
          <cell r="A1116" t="str">
            <v>23194</v>
          </cell>
        </row>
        <row r="1117">
          <cell r="A1117" t="str">
            <v>23195</v>
          </cell>
        </row>
        <row r="1118">
          <cell r="A1118" t="str">
            <v>23196</v>
          </cell>
        </row>
        <row r="1119">
          <cell r="A1119" t="str">
            <v>23200</v>
          </cell>
        </row>
        <row r="1120">
          <cell r="A1120" t="str">
            <v>23206</v>
          </cell>
        </row>
        <row r="1121">
          <cell r="A1121" t="str">
            <v>23207</v>
          </cell>
        </row>
        <row r="1122">
          <cell r="A1122" t="str">
            <v>23208</v>
          </cell>
        </row>
        <row r="1123">
          <cell r="A1123" t="str">
            <v>23209</v>
          </cell>
        </row>
        <row r="1124">
          <cell r="A1124" t="str">
            <v>23210</v>
          </cell>
        </row>
        <row r="1125">
          <cell r="A1125" t="str">
            <v>23211</v>
          </cell>
        </row>
        <row r="1126">
          <cell r="A1126" t="str">
            <v>23212</v>
          </cell>
        </row>
        <row r="1127">
          <cell r="A1127" t="str">
            <v>23213</v>
          </cell>
        </row>
        <row r="1128">
          <cell r="A1128" t="str">
            <v>23214</v>
          </cell>
        </row>
        <row r="1129">
          <cell r="A1129" t="str">
            <v>23215</v>
          </cell>
        </row>
        <row r="1130">
          <cell r="A1130" t="str">
            <v>23216</v>
          </cell>
        </row>
        <row r="1131">
          <cell r="A1131" t="str">
            <v>23217</v>
          </cell>
        </row>
        <row r="1132">
          <cell r="A1132" t="str">
            <v>23218</v>
          </cell>
        </row>
        <row r="1133">
          <cell r="A1133" t="str">
            <v>23219</v>
          </cell>
        </row>
        <row r="1134">
          <cell r="A1134" t="str">
            <v>23220</v>
          </cell>
        </row>
        <row r="1135">
          <cell r="A1135" t="str">
            <v>23221</v>
          </cell>
        </row>
        <row r="1136">
          <cell r="A1136" t="str">
            <v>23222</v>
          </cell>
        </row>
        <row r="1137">
          <cell r="A1137" t="str">
            <v>23223</v>
          </cell>
        </row>
        <row r="1138">
          <cell r="A1138" t="str">
            <v>23227</v>
          </cell>
        </row>
        <row r="1139">
          <cell r="A1139" t="str">
            <v>23229</v>
          </cell>
        </row>
        <row r="1140">
          <cell r="A1140" t="str">
            <v>23231</v>
          </cell>
        </row>
        <row r="1141">
          <cell r="A1141" t="str">
            <v>23232</v>
          </cell>
        </row>
        <row r="1142">
          <cell r="A1142" t="str">
            <v>23233</v>
          </cell>
        </row>
        <row r="1143">
          <cell r="A1143" t="str">
            <v>23234</v>
          </cell>
        </row>
        <row r="1144">
          <cell r="A1144" t="str">
            <v>23235</v>
          </cell>
        </row>
        <row r="1145">
          <cell r="A1145" t="str">
            <v>23236</v>
          </cell>
        </row>
        <row r="1146">
          <cell r="A1146" t="str">
            <v>23237</v>
          </cell>
        </row>
        <row r="1147">
          <cell r="A1147" t="str">
            <v>23238</v>
          </cell>
        </row>
        <row r="1148">
          <cell r="A1148" t="str">
            <v>23239</v>
          </cell>
        </row>
        <row r="1149">
          <cell r="A1149" t="str">
            <v>23240</v>
          </cell>
        </row>
        <row r="1150">
          <cell r="A1150" t="str">
            <v>23241</v>
          </cell>
        </row>
        <row r="1151">
          <cell r="A1151" t="str">
            <v>23242</v>
          </cell>
        </row>
        <row r="1152">
          <cell r="A1152" t="str">
            <v>23243</v>
          </cell>
        </row>
        <row r="1153">
          <cell r="A1153" t="str">
            <v>23244</v>
          </cell>
        </row>
        <row r="1154">
          <cell r="A1154" t="str">
            <v>23245</v>
          </cell>
        </row>
        <row r="1155">
          <cell r="A1155" t="str">
            <v>23246</v>
          </cell>
        </row>
        <row r="1156">
          <cell r="A1156" t="str">
            <v>23247</v>
          </cell>
        </row>
        <row r="1157">
          <cell r="A1157" t="str">
            <v>23248</v>
          </cell>
        </row>
        <row r="1158">
          <cell r="A1158" t="str">
            <v>23249</v>
          </cell>
        </row>
        <row r="1159">
          <cell r="A1159" t="str">
            <v>23250</v>
          </cell>
        </row>
        <row r="1160">
          <cell r="A1160" t="str">
            <v>23251</v>
          </cell>
        </row>
        <row r="1161">
          <cell r="A1161" t="str">
            <v>23252</v>
          </cell>
        </row>
        <row r="1162">
          <cell r="A1162" t="str">
            <v>23253</v>
          </cell>
        </row>
        <row r="1163">
          <cell r="A1163" t="str">
            <v>23254</v>
          </cell>
        </row>
        <row r="1164">
          <cell r="A1164" t="str">
            <v>23255</v>
          </cell>
        </row>
        <row r="1165">
          <cell r="A1165" t="str">
            <v>23256</v>
          </cell>
        </row>
        <row r="1166">
          <cell r="A1166" t="str">
            <v>23259</v>
          </cell>
        </row>
        <row r="1167">
          <cell r="A1167" t="str">
            <v>23260</v>
          </cell>
        </row>
        <row r="1168">
          <cell r="A1168" t="str">
            <v>23261</v>
          </cell>
        </row>
        <row r="1169">
          <cell r="A1169" t="str">
            <v>23262</v>
          </cell>
        </row>
        <row r="1170">
          <cell r="A1170" t="str">
            <v>23265</v>
          </cell>
        </row>
        <row r="1171">
          <cell r="A1171" t="str">
            <v>23267</v>
          </cell>
        </row>
        <row r="1172">
          <cell r="A1172" t="str">
            <v>23268</v>
          </cell>
        </row>
        <row r="1173">
          <cell r="A1173" t="str">
            <v>23269</v>
          </cell>
        </row>
        <row r="1174">
          <cell r="A1174" t="str">
            <v>23270</v>
          </cell>
        </row>
        <row r="1175">
          <cell r="A1175" t="str">
            <v>23271</v>
          </cell>
        </row>
        <row r="1176">
          <cell r="A1176" t="str">
            <v>23273</v>
          </cell>
        </row>
        <row r="1177">
          <cell r="A1177" t="str">
            <v>23276</v>
          </cell>
        </row>
        <row r="1178">
          <cell r="A1178" t="str">
            <v>23285</v>
          </cell>
        </row>
        <row r="1179">
          <cell r="A1179" t="str">
            <v>23302</v>
          </cell>
        </row>
        <row r="1180">
          <cell r="A1180" t="str">
            <v>23303</v>
          </cell>
        </row>
        <row r="1181">
          <cell r="A1181" t="str">
            <v>23304</v>
          </cell>
        </row>
        <row r="1182">
          <cell r="A1182" t="str">
            <v>23305</v>
          </cell>
        </row>
        <row r="1183">
          <cell r="A1183" t="str">
            <v>23306</v>
          </cell>
        </row>
        <row r="1184">
          <cell r="A1184" t="str">
            <v>23307</v>
          </cell>
        </row>
        <row r="1185">
          <cell r="A1185" t="str">
            <v>23308</v>
          </cell>
        </row>
        <row r="1186">
          <cell r="A1186" t="str">
            <v>23309</v>
          </cell>
        </row>
        <row r="1187">
          <cell r="A1187" t="str">
            <v>23311</v>
          </cell>
        </row>
        <row r="1188">
          <cell r="A1188" t="str">
            <v>23313</v>
          </cell>
        </row>
        <row r="1189">
          <cell r="A1189" t="str">
            <v>23314</v>
          </cell>
        </row>
        <row r="1190">
          <cell r="A1190" t="str">
            <v>23315</v>
          </cell>
        </row>
        <row r="1191">
          <cell r="A1191" t="str">
            <v>23316</v>
          </cell>
        </row>
        <row r="1192">
          <cell r="A1192" t="str">
            <v>23317</v>
          </cell>
        </row>
        <row r="1193">
          <cell r="A1193" t="str">
            <v>23318</v>
          </cell>
        </row>
        <row r="1194">
          <cell r="A1194" t="str">
            <v>23319</v>
          </cell>
        </row>
        <row r="1195">
          <cell r="A1195" t="str">
            <v>23322</v>
          </cell>
        </row>
        <row r="1196">
          <cell r="A1196" t="str">
            <v>23325</v>
          </cell>
        </row>
        <row r="1197">
          <cell r="A1197" t="str">
            <v>23326</v>
          </cell>
        </row>
        <row r="1198">
          <cell r="A1198" t="str">
            <v>23328</v>
          </cell>
        </row>
        <row r="1199">
          <cell r="A1199" t="str">
            <v>23330</v>
          </cell>
        </row>
        <row r="1200">
          <cell r="A1200" t="str">
            <v>23333</v>
          </cell>
        </row>
        <row r="1201">
          <cell r="A1201" t="str">
            <v>23334</v>
          </cell>
        </row>
        <row r="1202">
          <cell r="A1202" t="str">
            <v>23339</v>
          </cell>
        </row>
        <row r="1203">
          <cell r="A1203" t="str">
            <v>23340</v>
          </cell>
        </row>
        <row r="1204">
          <cell r="A1204" t="str">
            <v>23341</v>
          </cell>
        </row>
        <row r="1205">
          <cell r="A1205" t="str">
            <v>23342</v>
          </cell>
        </row>
        <row r="1206">
          <cell r="A1206" t="str">
            <v>23343</v>
          </cell>
        </row>
        <row r="1207">
          <cell r="A1207" t="str">
            <v>23344</v>
          </cell>
        </row>
        <row r="1208">
          <cell r="A1208" t="str">
            <v>23345</v>
          </cell>
        </row>
        <row r="1209">
          <cell r="A1209" t="str">
            <v>23346</v>
          </cell>
        </row>
        <row r="1210">
          <cell r="A1210" t="str">
            <v>23347</v>
          </cell>
        </row>
        <row r="1211">
          <cell r="A1211" t="str">
            <v>23352</v>
          </cell>
        </row>
        <row r="1212">
          <cell r="A1212" t="str">
            <v>23355</v>
          </cell>
        </row>
        <row r="1213">
          <cell r="A1213" t="str">
            <v>23356</v>
          </cell>
        </row>
        <row r="1214">
          <cell r="A1214" t="str">
            <v>23357</v>
          </cell>
        </row>
        <row r="1215">
          <cell r="A1215" t="str">
            <v>23358</v>
          </cell>
        </row>
        <row r="1216">
          <cell r="A1216" t="str">
            <v>23359</v>
          </cell>
        </row>
        <row r="1217">
          <cell r="A1217" t="str">
            <v>23360</v>
          </cell>
        </row>
        <row r="1218">
          <cell r="A1218" t="str">
            <v>23361</v>
          </cell>
        </row>
        <row r="1219">
          <cell r="A1219" t="str">
            <v>23364</v>
          </cell>
        </row>
        <row r="1220">
          <cell r="A1220" t="str">
            <v>23365</v>
          </cell>
        </row>
        <row r="1221">
          <cell r="A1221" t="str">
            <v>23368</v>
          </cell>
        </row>
        <row r="1222">
          <cell r="A1222" t="str">
            <v>23369</v>
          </cell>
        </row>
        <row r="1223">
          <cell r="A1223" t="str">
            <v>23370</v>
          </cell>
        </row>
        <row r="1224">
          <cell r="A1224" t="str">
            <v>23371</v>
          </cell>
        </row>
        <row r="1225">
          <cell r="A1225" t="str">
            <v>23372</v>
          </cell>
        </row>
        <row r="1226">
          <cell r="A1226" t="str">
            <v>23373</v>
          </cell>
        </row>
        <row r="1227">
          <cell r="A1227" t="str">
            <v>23381</v>
          </cell>
        </row>
        <row r="1228">
          <cell r="A1228" t="str">
            <v>23387</v>
          </cell>
        </row>
        <row r="1229">
          <cell r="A1229" t="str">
            <v>23388</v>
          </cell>
        </row>
        <row r="1230">
          <cell r="A1230" t="str">
            <v>23389</v>
          </cell>
        </row>
        <row r="1231">
          <cell r="A1231" t="str">
            <v>23390</v>
          </cell>
        </row>
        <row r="1232">
          <cell r="A1232" t="str">
            <v>23393</v>
          </cell>
        </row>
        <row r="1233">
          <cell r="A1233" t="str">
            <v>23394</v>
          </cell>
        </row>
        <row r="1234">
          <cell r="A1234" t="str">
            <v>23395</v>
          </cell>
        </row>
        <row r="1235">
          <cell r="A1235" t="str">
            <v>23404</v>
          </cell>
        </row>
        <row r="1236">
          <cell r="A1236" t="str">
            <v>23406</v>
          </cell>
        </row>
        <row r="1237">
          <cell r="A1237" t="str">
            <v>23407</v>
          </cell>
        </row>
        <row r="1238">
          <cell r="A1238" t="str">
            <v>23408</v>
          </cell>
        </row>
        <row r="1239">
          <cell r="A1239" t="str">
            <v>23409</v>
          </cell>
        </row>
        <row r="1240">
          <cell r="A1240" t="str">
            <v>23412</v>
          </cell>
        </row>
        <row r="1241">
          <cell r="A1241" t="str">
            <v>23413</v>
          </cell>
        </row>
        <row r="1242">
          <cell r="A1242" t="str">
            <v>23418</v>
          </cell>
        </row>
        <row r="1243">
          <cell r="A1243" t="str">
            <v>23419</v>
          </cell>
        </row>
        <row r="1244">
          <cell r="A1244" t="str">
            <v>23420</v>
          </cell>
        </row>
        <row r="1245">
          <cell r="A1245" t="str">
            <v>23421</v>
          </cell>
        </row>
        <row r="1246">
          <cell r="A1246" t="str">
            <v>23433</v>
          </cell>
        </row>
        <row r="1247">
          <cell r="A1247" t="str">
            <v>23434</v>
          </cell>
        </row>
        <row r="1248">
          <cell r="A1248" t="str">
            <v>23437</v>
          </cell>
        </row>
        <row r="1249">
          <cell r="A1249" t="str">
            <v>23438</v>
          </cell>
        </row>
        <row r="1250">
          <cell r="A1250" t="str">
            <v>23439</v>
          </cell>
        </row>
        <row r="1251">
          <cell r="A1251" t="str">
            <v>23443</v>
          </cell>
        </row>
        <row r="1252">
          <cell r="A1252" t="str">
            <v>23444</v>
          </cell>
        </row>
        <row r="1253">
          <cell r="A1253" t="str">
            <v>23445</v>
          </cell>
        </row>
        <row r="1254">
          <cell r="A1254" t="str">
            <v>23446</v>
          </cell>
        </row>
        <row r="1255">
          <cell r="A1255" t="str">
            <v>23447</v>
          </cell>
        </row>
        <row r="1256">
          <cell r="A1256" t="str">
            <v>23448</v>
          </cell>
        </row>
        <row r="1257">
          <cell r="A1257" t="str">
            <v>23449</v>
          </cell>
        </row>
        <row r="1258">
          <cell r="A1258" t="str">
            <v>23450</v>
          </cell>
        </row>
        <row r="1259">
          <cell r="A1259" t="str">
            <v>23451</v>
          </cell>
        </row>
        <row r="1260">
          <cell r="A1260" t="str">
            <v>23452</v>
          </cell>
        </row>
        <row r="1261">
          <cell r="A1261" t="str">
            <v>23456</v>
          </cell>
        </row>
        <row r="1262">
          <cell r="A1262" t="str">
            <v>23457</v>
          </cell>
        </row>
        <row r="1263">
          <cell r="A1263" t="str">
            <v>23458</v>
          </cell>
        </row>
        <row r="1264">
          <cell r="A1264" t="str">
            <v>23459</v>
          </cell>
        </row>
        <row r="1265">
          <cell r="A1265" t="str">
            <v>23462</v>
          </cell>
        </row>
        <row r="1266">
          <cell r="A1266" t="str">
            <v>23465</v>
          </cell>
        </row>
        <row r="1267">
          <cell r="A1267" t="str">
            <v>23466</v>
          </cell>
        </row>
        <row r="1268">
          <cell r="A1268" t="str">
            <v>23467</v>
          </cell>
        </row>
        <row r="1269">
          <cell r="A1269" t="str">
            <v>23482</v>
          </cell>
        </row>
        <row r="1270">
          <cell r="A1270" t="str">
            <v>23483</v>
          </cell>
        </row>
        <row r="1271">
          <cell r="A1271" t="str">
            <v>23484</v>
          </cell>
        </row>
        <row r="1272">
          <cell r="A1272" t="str">
            <v>23485</v>
          </cell>
        </row>
        <row r="1273">
          <cell r="A1273" t="str">
            <v>23486</v>
          </cell>
        </row>
        <row r="1274">
          <cell r="A1274" t="str">
            <v>23487</v>
          </cell>
        </row>
        <row r="1275">
          <cell r="A1275" t="str">
            <v>23491</v>
          </cell>
        </row>
        <row r="1276">
          <cell r="A1276" t="str">
            <v>23492</v>
          </cell>
        </row>
        <row r="1277">
          <cell r="A1277" t="str">
            <v>23493</v>
          </cell>
        </row>
        <row r="1278">
          <cell r="A1278" t="str">
            <v>23494</v>
          </cell>
        </row>
        <row r="1279">
          <cell r="A1279" t="str">
            <v>23495</v>
          </cell>
        </row>
        <row r="1280">
          <cell r="A1280" t="str">
            <v>23496</v>
          </cell>
        </row>
        <row r="1281">
          <cell r="A1281" t="str">
            <v>23497</v>
          </cell>
        </row>
        <row r="1282">
          <cell r="A1282" t="str">
            <v>23498</v>
          </cell>
        </row>
        <row r="1283">
          <cell r="A1283" t="str">
            <v>23499</v>
          </cell>
        </row>
        <row r="1284">
          <cell r="A1284" t="str">
            <v>23500</v>
          </cell>
        </row>
        <row r="1285">
          <cell r="A1285" t="str">
            <v>23502</v>
          </cell>
        </row>
        <row r="1286">
          <cell r="A1286" t="str">
            <v>23503</v>
          </cell>
        </row>
        <row r="1287">
          <cell r="A1287" t="str">
            <v>23504</v>
          </cell>
        </row>
        <row r="1288">
          <cell r="A1288" t="str">
            <v>23505</v>
          </cell>
        </row>
        <row r="1289">
          <cell r="A1289" t="str">
            <v>23506</v>
          </cell>
        </row>
        <row r="1290">
          <cell r="A1290" t="str">
            <v>23512</v>
          </cell>
        </row>
        <row r="1291">
          <cell r="A1291" t="str">
            <v>23513</v>
          </cell>
        </row>
        <row r="1292">
          <cell r="A1292" t="str">
            <v>23519</v>
          </cell>
        </row>
        <row r="1293">
          <cell r="A1293" t="str">
            <v>23523</v>
          </cell>
        </row>
        <row r="1294">
          <cell r="A1294" t="str">
            <v>23525</v>
          </cell>
        </row>
        <row r="1295">
          <cell r="A1295" t="str">
            <v>23527</v>
          </cell>
        </row>
        <row r="1296">
          <cell r="A1296" t="str">
            <v>23528</v>
          </cell>
        </row>
        <row r="1297">
          <cell r="A1297" t="str">
            <v>23530</v>
          </cell>
        </row>
        <row r="1298">
          <cell r="A1298" t="str">
            <v>23532</v>
          </cell>
        </row>
        <row r="1299">
          <cell r="A1299" t="str">
            <v>23533</v>
          </cell>
        </row>
        <row r="1300">
          <cell r="A1300" t="str">
            <v>23563</v>
          </cell>
        </row>
        <row r="1301">
          <cell r="A1301" t="str">
            <v>23564</v>
          </cell>
        </row>
        <row r="1302">
          <cell r="A1302" t="str">
            <v>23572</v>
          </cell>
        </row>
        <row r="1303">
          <cell r="A1303" t="str">
            <v>23573</v>
          </cell>
        </row>
        <row r="1304">
          <cell r="A1304" t="str">
            <v>23574</v>
          </cell>
        </row>
        <row r="1305">
          <cell r="A1305" t="str">
            <v>23575</v>
          </cell>
        </row>
        <row r="1306">
          <cell r="A1306" t="str">
            <v>23576</v>
          </cell>
        </row>
        <row r="1307">
          <cell r="A1307" t="str">
            <v>23577</v>
          </cell>
        </row>
        <row r="1308">
          <cell r="A1308" t="str">
            <v>23578</v>
          </cell>
        </row>
        <row r="1309">
          <cell r="A1309" t="str">
            <v>23579</v>
          </cell>
        </row>
        <row r="1310">
          <cell r="A1310" t="str">
            <v>23584</v>
          </cell>
        </row>
        <row r="1311">
          <cell r="A1311" t="str">
            <v>23585</v>
          </cell>
        </row>
        <row r="1312">
          <cell r="A1312" t="str">
            <v>23586</v>
          </cell>
        </row>
        <row r="1313">
          <cell r="A1313" t="str">
            <v>23587</v>
          </cell>
        </row>
        <row r="1314">
          <cell r="A1314" t="str">
            <v>23588</v>
          </cell>
        </row>
        <row r="1315">
          <cell r="A1315" t="str">
            <v>23589</v>
          </cell>
        </row>
        <row r="1316">
          <cell r="A1316" t="str">
            <v>23590</v>
          </cell>
        </row>
        <row r="1317">
          <cell r="A1317" t="str">
            <v>23591</v>
          </cell>
        </row>
        <row r="1318">
          <cell r="A1318" t="str">
            <v>23592</v>
          </cell>
        </row>
        <row r="1319">
          <cell r="A1319" t="str">
            <v>23593</v>
          </cell>
        </row>
        <row r="1320">
          <cell r="A1320" t="str">
            <v>23594</v>
          </cell>
        </row>
        <row r="1321">
          <cell r="A1321" t="str">
            <v>23595</v>
          </cell>
        </row>
        <row r="1322">
          <cell r="A1322" t="str">
            <v>23596</v>
          </cell>
        </row>
        <row r="1323">
          <cell r="A1323" t="str">
            <v>23603</v>
          </cell>
        </row>
        <row r="1324">
          <cell r="A1324" t="str">
            <v>23604</v>
          </cell>
        </row>
        <row r="1325">
          <cell r="A1325" t="str">
            <v>23612</v>
          </cell>
        </row>
        <row r="1326">
          <cell r="A1326" t="str">
            <v>23617</v>
          </cell>
        </row>
        <row r="1327">
          <cell r="A1327" t="str">
            <v>23621</v>
          </cell>
        </row>
        <row r="1328">
          <cell r="A1328" t="str">
            <v>23624</v>
          </cell>
        </row>
        <row r="1329">
          <cell r="A1329" t="str">
            <v>23627</v>
          </cell>
        </row>
        <row r="1330">
          <cell r="A1330" t="str">
            <v>23636</v>
          </cell>
        </row>
        <row r="1331">
          <cell r="A1331" t="str">
            <v>23637</v>
          </cell>
        </row>
        <row r="1332">
          <cell r="A1332" t="str">
            <v>23638</v>
          </cell>
        </row>
        <row r="1333">
          <cell r="A1333" t="str">
            <v>23639</v>
          </cell>
        </row>
        <row r="1334">
          <cell r="A1334" t="str">
            <v>23648</v>
          </cell>
        </row>
        <row r="1335">
          <cell r="A1335" t="str">
            <v>23649</v>
          </cell>
        </row>
        <row r="1336">
          <cell r="A1336" t="str">
            <v>23657</v>
          </cell>
        </row>
        <row r="1337">
          <cell r="A1337" t="str">
            <v>23658</v>
          </cell>
        </row>
        <row r="1338">
          <cell r="A1338" t="str">
            <v>23661</v>
          </cell>
        </row>
        <row r="1339">
          <cell r="A1339" t="str">
            <v>23662</v>
          </cell>
        </row>
        <row r="1340">
          <cell r="A1340" t="str">
            <v>23663</v>
          </cell>
        </row>
        <row r="1341">
          <cell r="A1341" t="str">
            <v>23664</v>
          </cell>
        </row>
        <row r="1342">
          <cell r="A1342" t="str">
            <v>23665</v>
          </cell>
        </row>
        <row r="1343">
          <cell r="A1343" t="str">
            <v>23666</v>
          </cell>
        </row>
        <row r="1344">
          <cell r="A1344" t="str">
            <v>23667</v>
          </cell>
        </row>
        <row r="1345">
          <cell r="A1345" t="str">
            <v>23668</v>
          </cell>
        </row>
        <row r="1346">
          <cell r="A1346" t="str">
            <v>23673</v>
          </cell>
        </row>
        <row r="1347">
          <cell r="A1347" t="str">
            <v>23674</v>
          </cell>
        </row>
        <row r="1348">
          <cell r="A1348" t="str">
            <v>23685</v>
          </cell>
        </row>
        <row r="1349">
          <cell r="A1349" t="str">
            <v>23686</v>
          </cell>
        </row>
        <row r="1350">
          <cell r="A1350" t="str">
            <v>23687</v>
          </cell>
        </row>
        <row r="1351">
          <cell r="A1351" t="str">
            <v>23688</v>
          </cell>
        </row>
        <row r="1352">
          <cell r="A1352" t="str">
            <v>23704</v>
          </cell>
        </row>
        <row r="1353">
          <cell r="A1353" t="str">
            <v>23705</v>
          </cell>
        </row>
        <row r="1354">
          <cell r="A1354" t="str">
            <v>23706</v>
          </cell>
        </row>
        <row r="1355">
          <cell r="A1355" t="str">
            <v>23707</v>
          </cell>
        </row>
        <row r="1356">
          <cell r="A1356" t="str">
            <v>23708</v>
          </cell>
        </row>
        <row r="1357">
          <cell r="A1357" t="str">
            <v>23709</v>
          </cell>
        </row>
        <row r="1358">
          <cell r="A1358" t="str">
            <v>23710</v>
          </cell>
        </row>
        <row r="1359">
          <cell r="A1359" t="str">
            <v>23711</v>
          </cell>
        </row>
        <row r="1360">
          <cell r="A1360" t="str">
            <v>23721</v>
          </cell>
        </row>
        <row r="1361">
          <cell r="A1361" t="str">
            <v>23722</v>
          </cell>
        </row>
        <row r="1362">
          <cell r="A1362" t="str">
            <v>23723</v>
          </cell>
        </row>
        <row r="1363">
          <cell r="A1363" t="str">
            <v>23724</v>
          </cell>
        </row>
        <row r="1364">
          <cell r="A1364" t="str">
            <v>23727</v>
          </cell>
        </row>
        <row r="1365">
          <cell r="A1365" t="str">
            <v>23729</v>
          </cell>
        </row>
        <row r="1366">
          <cell r="A1366" t="str">
            <v>23730</v>
          </cell>
        </row>
        <row r="1367">
          <cell r="A1367" t="str">
            <v>23731</v>
          </cell>
        </row>
        <row r="1368">
          <cell r="A1368" t="str">
            <v>23732</v>
          </cell>
        </row>
        <row r="1369">
          <cell r="A1369" t="str">
            <v>23735</v>
          </cell>
        </row>
        <row r="1370">
          <cell r="A1370" t="str">
            <v>23736</v>
          </cell>
        </row>
        <row r="1371">
          <cell r="A1371" t="str">
            <v>23737</v>
          </cell>
        </row>
        <row r="1372">
          <cell r="A1372" t="str">
            <v>23738</v>
          </cell>
        </row>
        <row r="1373">
          <cell r="A1373" t="str">
            <v>23739</v>
          </cell>
        </row>
        <row r="1374">
          <cell r="A1374" t="str">
            <v>23744</v>
          </cell>
        </row>
        <row r="1375">
          <cell r="A1375" t="str">
            <v>23748</v>
          </cell>
        </row>
        <row r="1376">
          <cell r="A1376" t="str">
            <v>23749</v>
          </cell>
        </row>
        <row r="1377">
          <cell r="A1377" t="str">
            <v>23750</v>
          </cell>
        </row>
        <row r="1378">
          <cell r="A1378" t="str">
            <v>23751</v>
          </cell>
        </row>
        <row r="1379">
          <cell r="A1379" t="str">
            <v>23753</v>
          </cell>
        </row>
        <row r="1380">
          <cell r="A1380" t="str">
            <v>23754</v>
          </cell>
        </row>
        <row r="1381">
          <cell r="A1381" t="str">
            <v>23757</v>
          </cell>
        </row>
        <row r="1382">
          <cell r="A1382" t="str">
            <v>23759</v>
          </cell>
        </row>
        <row r="1383">
          <cell r="A1383" t="str">
            <v>23765</v>
          </cell>
        </row>
        <row r="1384">
          <cell r="A1384" t="str">
            <v>23766</v>
          </cell>
        </row>
        <row r="1385">
          <cell r="A1385" t="str">
            <v>23773</v>
          </cell>
        </row>
        <row r="1386">
          <cell r="A1386" t="str">
            <v>23774</v>
          </cell>
        </row>
        <row r="1387">
          <cell r="A1387" t="str">
            <v>23779</v>
          </cell>
        </row>
        <row r="1388">
          <cell r="A1388" t="str">
            <v>23780</v>
          </cell>
        </row>
        <row r="1389">
          <cell r="A1389" t="str">
            <v>23781</v>
          </cell>
        </row>
        <row r="1390">
          <cell r="A1390" t="str">
            <v>23782</v>
          </cell>
        </row>
        <row r="1391">
          <cell r="A1391" t="str">
            <v>23783</v>
          </cell>
        </row>
        <row r="1392">
          <cell r="A1392" t="str">
            <v>23786</v>
          </cell>
        </row>
        <row r="1393">
          <cell r="A1393" t="str">
            <v>23787</v>
          </cell>
        </row>
        <row r="1394">
          <cell r="A1394" t="str">
            <v>23789</v>
          </cell>
        </row>
        <row r="1395">
          <cell r="A1395" t="str">
            <v>23790</v>
          </cell>
        </row>
        <row r="1396">
          <cell r="A1396" t="str">
            <v>23791</v>
          </cell>
        </row>
        <row r="1397">
          <cell r="A1397" t="str">
            <v>23792</v>
          </cell>
        </row>
        <row r="1398">
          <cell r="A1398" t="str">
            <v>23793</v>
          </cell>
        </row>
        <row r="1399">
          <cell r="A1399" t="str">
            <v>23794</v>
          </cell>
        </row>
        <row r="1400">
          <cell r="A1400" t="str">
            <v>23795</v>
          </cell>
        </row>
        <row r="1401">
          <cell r="A1401" t="str">
            <v>23796</v>
          </cell>
        </row>
        <row r="1402">
          <cell r="A1402" t="str">
            <v>23804</v>
          </cell>
        </row>
        <row r="1403">
          <cell r="A1403" t="str">
            <v>23806</v>
          </cell>
        </row>
        <row r="1404">
          <cell r="A1404" t="str">
            <v>23812</v>
          </cell>
        </row>
        <row r="1405">
          <cell r="A1405" t="str">
            <v>23813</v>
          </cell>
        </row>
        <row r="1406">
          <cell r="A1406" t="str">
            <v>23815</v>
          </cell>
        </row>
        <row r="1407">
          <cell r="A1407" t="str">
            <v>23816</v>
          </cell>
        </row>
        <row r="1408">
          <cell r="A1408" t="str">
            <v>23817</v>
          </cell>
        </row>
        <row r="1409">
          <cell r="A1409" t="str">
            <v>23819</v>
          </cell>
        </row>
        <row r="1410">
          <cell r="A1410" t="str">
            <v>23820</v>
          </cell>
        </row>
        <row r="1411">
          <cell r="A1411" t="str">
            <v>23821</v>
          </cell>
        </row>
        <row r="1412">
          <cell r="A1412" t="str">
            <v>23827</v>
          </cell>
        </row>
        <row r="1413">
          <cell r="A1413" t="str">
            <v>23828</v>
          </cell>
        </row>
        <row r="1414">
          <cell r="A1414" t="str">
            <v>23829</v>
          </cell>
        </row>
        <row r="1415">
          <cell r="A1415" t="str">
            <v>23830</v>
          </cell>
        </row>
        <row r="1416">
          <cell r="A1416" t="str">
            <v>23831</v>
          </cell>
        </row>
        <row r="1417">
          <cell r="A1417" t="str">
            <v>23832</v>
          </cell>
        </row>
        <row r="1418">
          <cell r="A1418" t="str">
            <v>23833</v>
          </cell>
        </row>
        <row r="1419">
          <cell r="A1419" t="str">
            <v>23842</v>
          </cell>
        </row>
        <row r="1420">
          <cell r="A1420" t="str">
            <v>23843</v>
          </cell>
        </row>
        <row r="1421">
          <cell r="A1421" t="str">
            <v>23844</v>
          </cell>
        </row>
        <row r="1422">
          <cell r="A1422" t="str">
            <v>23845</v>
          </cell>
        </row>
        <row r="1423">
          <cell r="A1423" t="str">
            <v>23846</v>
          </cell>
        </row>
        <row r="1424">
          <cell r="A1424" t="str">
            <v>23847</v>
          </cell>
        </row>
        <row r="1425">
          <cell r="A1425" t="str">
            <v>23852</v>
          </cell>
        </row>
        <row r="1426">
          <cell r="A1426" t="str">
            <v>23853</v>
          </cell>
        </row>
        <row r="1427">
          <cell r="A1427" t="str">
            <v>23854</v>
          </cell>
        </row>
        <row r="1428">
          <cell r="A1428" t="str">
            <v>23855</v>
          </cell>
        </row>
        <row r="1429">
          <cell r="A1429" t="str">
            <v>23856</v>
          </cell>
        </row>
        <row r="1430">
          <cell r="A1430" t="str">
            <v>23857</v>
          </cell>
        </row>
        <row r="1431">
          <cell r="A1431" t="str">
            <v>23869</v>
          </cell>
        </row>
        <row r="1432">
          <cell r="A1432" t="str">
            <v>23870</v>
          </cell>
        </row>
        <row r="1433">
          <cell r="A1433" t="str">
            <v>23871</v>
          </cell>
        </row>
        <row r="1434">
          <cell r="A1434" t="str">
            <v>23875</v>
          </cell>
        </row>
        <row r="1435">
          <cell r="A1435" t="str">
            <v>23883</v>
          </cell>
        </row>
        <row r="1436">
          <cell r="A1436" t="str">
            <v>23884</v>
          </cell>
        </row>
        <row r="1437">
          <cell r="A1437" t="str">
            <v>23887</v>
          </cell>
        </row>
        <row r="1438">
          <cell r="A1438" t="str">
            <v>23888</v>
          </cell>
        </row>
        <row r="1439">
          <cell r="A1439" t="str">
            <v>23893</v>
          </cell>
        </row>
        <row r="1440">
          <cell r="A1440" t="str">
            <v>23899</v>
          </cell>
        </row>
        <row r="1441">
          <cell r="A1441" t="str">
            <v>23900</v>
          </cell>
        </row>
        <row r="1442">
          <cell r="A1442" t="str">
            <v>23910</v>
          </cell>
        </row>
        <row r="1443">
          <cell r="A1443" t="str">
            <v>23911</v>
          </cell>
        </row>
        <row r="1444">
          <cell r="A1444" t="str">
            <v>23918</v>
          </cell>
        </row>
        <row r="1445">
          <cell r="A1445" t="str">
            <v>23922</v>
          </cell>
        </row>
        <row r="1446">
          <cell r="A1446" t="str">
            <v>23927</v>
          </cell>
        </row>
        <row r="1447">
          <cell r="A1447" t="str">
            <v>23928</v>
          </cell>
        </row>
        <row r="1448">
          <cell r="A1448" t="str">
            <v>23929</v>
          </cell>
        </row>
        <row r="1449">
          <cell r="A1449" t="str">
            <v>23930</v>
          </cell>
        </row>
        <row r="1450">
          <cell r="A1450" t="str">
            <v>23933</v>
          </cell>
        </row>
        <row r="1451">
          <cell r="A1451" t="str">
            <v>23934</v>
          </cell>
        </row>
        <row r="1452">
          <cell r="A1452" t="str">
            <v>23939</v>
          </cell>
        </row>
        <row r="1453">
          <cell r="A1453" t="str">
            <v>23940</v>
          </cell>
        </row>
        <row r="1454">
          <cell r="A1454" t="str">
            <v>23953</v>
          </cell>
        </row>
        <row r="1455">
          <cell r="A1455" t="str">
            <v>23955</v>
          </cell>
        </row>
        <row r="1456">
          <cell r="A1456" t="str">
            <v>23980</v>
          </cell>
        </row>
        <row r="1457">
          <cell r="A1457" t="str">
            <v>23981</v>
          </cell>
        </row>
        <row r="1458">
          <cell r="A1458" t="str">
            <v>23982</v>
          </cell>
        </row>
        <row r="1459">
          <cell r="A1459" t="str">
            <v>23983</v>
          </cell>
        </row>
        <row r="1460">
          <cell r="A1460" t="str">
            <v>23986</v>
          </cell>
        </row>
        <row r="1461">
          <cell r="A1461" t="str">
            <v>24003</v>
          </cell>
        </row>
        <row r="1462">
          <cell r="A1462" t="str">
            <v>24004</v>
          </cell>
        </row>
        <row r="1463">
          <cell r="A1463" t="str">
            <v>24006</v>
          </cell>
        </row>
        <row r="1464">
          <cell r="A1464" t="str">
            <v>25028</v>
          </cell>
        </row>
        <row r="1465">
          <cell r="A1465" t="str">
            <v>25032</v>
          </cell>
        </row>
        <row r="1466">
          <cell r="A1466" t="str">
            <v>25056</v>
          </cell>
        </row>
        <row r="1467">
          <cell r="A1467" t="str">
            <v>25070</v>
          </cell>
        </row>
        <row r="1468">
          <cell r="A1468" t="str">
            <v>25071</v>
          </cell>
        </row>
        <row r="1469">
          <cell r="A1469" t="str">
            <v>25072</v>
          </cell>
        </row>
        <row r="1470">
          <cell r="A1470" t="str">
            <v>25073</v>
          </cell>
        </row>
        <row r="1471">
          <cell r="A1471" t="str">
            <v>24011</v>
          </cell>
        </row>
        <row r="1472">
          <cell r="A1472" t="str">
            <v>24015</v>
          </cell>
        </row>
        <row r="1473">
          <cell r="A1473" t="str">
            <v>24016</v>
          </cell>
        </row>
        <row r="1474">
          <cell r="A1474" t="str">
            <v>24017</v>
          </cell>
        </row>
        <row r="1475">
          <cell r="A1475" t="str">
            <v>24019</v>
          </cell>
        </row>
        <row r="1476">
          <cell r="A1476" t="str">
            <v>24027</v>
          </cell>
        </row>
        <row r="1477">
          <cell r="A1477" t="str">
            <v>24037</v>
          </cell>
        </row>
        <row r="1478">
          <cell r="A1478" t="str">
            <v>24047</v>
          </cell>
        </row>
        <row r="1479">
          <cell r="A1479" t="str">
            <v>24049</v>
          </cell>
        </row>
        <row r="1480">
          <cell r="A1480" t="str">
            <v>24053</v>
          </cell>
        </row>
        <row r="1481">
          <cell r="A1481" t="str">
            <v>24067</v>
          </cell>
        </row>
        <row r="1482">
          <cell r="A1482" t="str">
            <v>24068</v>
          </cell>
        </row>
        <row r="1483">
          <cell r="A1483" t="str">
            <v>24073</v>
          </cell>
        </row>
        <row r="1484">
          <cell r="A1484" t="str">
            <v>24082</v>
          </cell>
        </row>
        <row r="1485">
          <cell r="A1485" t="str">
            <v>24089</v>
          </cell>
        </row>
        <row r="1486">
          <cell r="A1486" t="str">
            <v>24404</v>
          </cell>
        </row>
        <row r="1487">
          <cell r="A1487" t="str">
            <v>24405</v>
          </cell>
        </row>
        <row r="1488">
          <cell r="A1488" t="str">
            <v>24407</v>
          </cell>
        </row>
        <row r="1489">
          <cell r="A1489" t="str">
            <v>10125</v>
          </cell>
        </row>
        <row r="1490">
          <cell r="A1490" t="str">
            <v>10134</v>
          </cell>
        </row>
        <row r="1491">
          <cell r="A1491" t="str">
            <v>20312</v>
          </cell>
        </row>
        <row r="1492">
          <cell r="A1492" t="str">
            <v>20331</v>
          </cell>
        </row>
        <row r="1493">
          <cell r="A1493" t="str">
            <v>20404</v>
          </cell>
        </row>
        <row r="1494">
          <cell r="A1494" t="str">
            <v>20407</v>
          </cell>
        </row>
        <row r="1495">
          <cell r="A1495" t="str">
            <v>25041</v>
          </cell>
        </row>
        <row r="1496">
          <cell r="A1496" t="str">
            <v>25065</v>
          </cell>
        </row>
        <row r="1497">
          <cell r="A1497" t="str">
            <v>25090</v>
          </cell>
        </row>
        <row r="1498">
          <cell r="A1498" t="str">
            <v>20606</v>
          </cell>
        </row>
        <row r="1499">
          <cell r="A1499" t="str">
            <v>11203</v>
          </cell>
        </row>
        <row r="1500">
          <cell r="A1500" t="str">
            <v>11204</v>
          </cell>
        </row>
        <row r="1501">
          <cell r="A1501" t="str">
            <v>20607</v>
          </cell>
        </row>
        <row r="1502">
          <cell r="A1502" t="str">
            <v>20608</v>
          </cell>
        </row>
        <row r="1503">
          <cell r="A1503" t="str">
            <v>20609</v>
          </cell>
        </row>
        <row r="1504">
          <cell r="A1504" t="str">
            <v>20610</v>
          </cell>
        </row>
        <row r="1505">
          <cell r="A1505" t="str">
            <v>20611</v>
          </cell>
        </row>
        <row r="1506">
          <cell r="A1506" t="str">
            <v>20612</v>
          </cell>
        </row>
        <row r="1507">
          <cell r="A1507" t="str">
            <v>20613</v>
          </cell>
        </row>
        <row r="1508">
          <cell r="A1508" t="str">
            <v>10132</v>
          </cell>
        </row>
        <row r="1509">
          <cell r="A1509" t="str">
            <v>10133</v>
          </cell>
        </row>
        <row r="1510">
          <cell r="A1510" t="str">
            <v>11506</v>
          </cell>
        </row>
        <row r="1511">
          <cell r="A1511" t="str">
            <v>11507</v>
          </cell>
        </row>
        <row r="1512">
          <cell r="A1512" t="str">
            <v>11509</v>
          </cell>
        </row>
        <row r="1513">
          <cell r="A1513" t="str">
            <v>11439</v>
          </cell>
        </row>
        <row r="1514">
          <cell r="A1514" t="str">
            <v>11440</v>
          </cell>
        </row>
        <row r="1515">
          <cell r="A1515" t="str">
            <v>11450</v>
          </cell>
        </row>
        <row r="1516">
          <cell r="A1516" t="str">
            <v>11453</v>
          </cell>
        </row>
        <row r="1517">
          <cell r="A1517" t="str">
            <v>25043</v>
          </cell>
        </row>
        <row r="1518">
          <cell r="A1518" t="str">
            <v>25044</v>
          </cell>
        </row>
        <row r="1519">
          <cell r="A1519" t="str">
            <v>25046</v>
          </cell>
        </row>
        <row r="1520">
          <cell r="A1520" t="str">
            <v>25066</v>
          </cell>
        </row>
        <row r="1521">
          <cell r="A1521" t="str">
            <v>25068</v>
          </cell>
        </row>
        <row r="1522">
          <cell r="A1522" t="str">
            <v>11130</v>
          </cell>
        </row>
        <row r="1523">
          <cell r="A1523" t="str">
            <v>11161</v>
          </cell>
        </row>
        <row r="1524">
          <cell r="A1524" t="str">
            <v>11162</v>
          </cell>
        </row>
        <row r="1525">
          <cell r="A1525" t="str">
            <v>11205</v>
          </cell>
        </row>
        <row r="1526">
          <cell r="A1526" t="str">
            <v>11210</v>
          </cell>
        </row>
        <row r="1527">
          <cell r="A1527" t="str">
            <v>11211</v>
          </cell>
        </row>
        <row r="1528">
          <cell r="A1528" t="str">
            <v>11212</v>
          </cell>
        </row>
        <row r="1529">
          <cell r="A1529" t="str">
            <v>11213</v>
          </cell>
        </row>
        <row r="1530">
          <cell r="A1530" t="str">
            <v>11258</v>
          </cell>
        </row>
        <row r="1531">
          <cell r="A1531" t="str">
            <v>11279</v>
          </cell>
        </row>
        <row r="1532">
          <cell r="A1532" t="str">
            <v>11305</v>
          </cell>
        </row>
        <row r="1533">
          <cell r="A1533" t="str">
            <v>11314</v>
          </cell>
        </row>
        <row r="1534">
          <cell r="A1534" t="str">
            <v>11315</v>
          </cell>
        </row>
        <row r="1535">
          <cell r="A1535" t="str">
            <v>11322</v>
          </cell>
        </row>
        <row r="1536">
          <cell r="A1536" t="str">
            <v>20310</v>
          </cell>
        </row>
        <row r="1537">
          <cell r="A1537" t="str">
            <v>20313</v>
          </cell>
        </row>
        <row r="1538">
          <cell r="A1538" t="str">
            <v>25054</v>
          </cell>
        </row>
        <row r="1539">
          <cell r="A1539" t="str">
            <v>25057</v>
          </cell>
        </row>
        <row r="1540">
          <cell r="A1540" t="str">
            <v>25059</v>
          </cell>
        </row>
        <row r="1541">
          <cell r="A1541" t="str">
            <v>25062</v>
          </cell>
        </row>
        <row r="1542">
          <cell r="A1542" t="str">
            <v>25063</v>
          </cell>
        </row>
        <row r="1543">
          <cell r="A1543" t="str">
            <v>25064</v>
          </cell>
        </row>
        <row r="1544">
          <cell r="A1544" t="str">
            <v>25115</v>
          </cell>
        </row>
        <row r="1545">
          <cell r="A1545" t="str">
            <v>25118</v>
          </cell>
        </row>
        <row r="1546">
          <cell r="A1546" t="str">
            <v>25123</v>
          </cell>
        </row>
        <row r="1547">
          <cell r="A1547" t="str">
            <v>25124</v>
          </cell>
        </row>
        <row r="1548">
          <cell r="A1548" t="str">
            <v>25127</v>
          </cell>
        </row>
        <row r="1549">
          <cell r="A1549" t="str">
            <v>25129</v>
          </cell>
        </row>
        <row r="1550">
          <cell r="A1550" t="str">
            <v>25131</v>
          </cell>
        </row>
        <row r="1551">
          <cell r="A1551" t="str">
            <v>25135</v>
          </cell>
        </row>
        <row r="1552">
          <cell r="A1552" t="str">
            <v>11331</v>
          </cell>
        </row>
        <row r="1553">
          <cell r="A1553" t="str">
            <v>11346</v>
          </cell>
        </row>
        <row r="1554">
          <cell r="A1554" t="str">
            <v>11175</v>
          </cell>
        </row>
        <row r="1555">
          <cell r="A1555" t="str">
            <v>25137</v>
          </cell>
        </row>
        <row r="1556">
          <cell r="A1556" t="str">
            <v>11358</v>
          </cell>
        </row>
        <row r="1557">
          <cell r="A1557" t="str">
            <v>11359</v>
          </cell>
        </row>
        <row r="1558">
          <cell r="A1558" t="str">
            <v>20255</v>
          </cell>
        </row>
        <row r="1559">
          <cell r="A1559" t="str">
            <v>21405</v>
          </cell>
        </row>
        <row r="1560">
          <cell r="A1560" t="str">
            <v>21406</v>
          </cell>
        </row>
        <row r="1561">
          <cell r="A1561" t="str">
            <v>21407</v>
          </cell>
        </row>
        <row r="1562">
          <cell r="A1562" t="str">
            <v>21408</v>
          </cell>
        </row>
        <row r="1563">
          <cell r="A1563" t="str">
            <v>21409</v>
          </cell>
        </row>
        <row r="1564">
          <cell r="A1564" t="str">
            <v>21410</v>
          </cell>
        </row>
        <row r="1565">
          <cell r="A1565" t="str">
            <v>21411</v>
          </cell>
        </row>
        <row r="1566">
          <cell r="A1566" t="str">
            <v>21412</v>
          </cell>
        </row>
        <row r="1567">
          <cell r="A1567" t="str">
            <v>21413</v>
          </cell>
        </row>
        <row r="1568">
          <cell r="A1568" t="str">
            <v>21414</v>
          </cell>
        </row>
        <row r="1569">
          <cell r="A1569" t="str">
            <v>21415</v>
          </cell>
        </row>
        <row r="1570">
          <cell r="A1570" t="str">
            <v>21426</v>
          </cell>
        </row>
        <row r="1571">
          <cell r="A1571" t="str">
            <v>23286</v>
          </cell>
        </row>
        <row r="1572">
          <cell r="A1572" t="str">
            <v>23287</v>
          </cell>
        </row>
        <row r="1573">
          <cell r="A1573" t="str">
            <v>23288</v>
          </cell>
        </row>
        <row r="1574">
          <cell r="A1574" t="str">
            <v>23289</v>
          </cell>
        </row>
        <row r="1575">
          <cell r="A1575" t="str">
            <v>23290</v>
          </cell>
        </row>
        <row r="1576">
          <cell r="A1576" t="str">
            <v>23291</v>
          </cell>
        </row>
        <row r="1577">
          <cell r="A1577" t="str">
            <v>23292</v>
          </cell>
        </row>
        <row r="1578">
          <cell r="A1578" t="str">
            <v>23293</v>
          </cell>
        </row>
        <row r="1579">
          <cell r="A1579" t="str">
            <v>23294</v>
          </cell>
        </row>
        <row r="1580">
          <cell r="A1580" t="str">
            <v>23295</v>
          </cell>
        </row>
        <row r="1581">
          <cell r="A1581" t="str">
            <v>23296</v>
          </cell>
        </row>
        <row r="1582">
          <cell r="A1582" t="str">
            <v>23297</v>
          </cell>
        </row>
        <row r="1583">
          <cell r="A1583" t="str">
            <v>23298</v>
          </cell>
        </row>
        <row r="1584">
          <cell r="A1584" t="str">
            <v>23299</v>
          </cell>
        </row>
        <row r="1585">
          <cell r="A1585" t="str">
            <v>23300</v>
          </cell>
        </row>
        <row r="1586">
          <cell r="A1586" t="str">
            <v>23301</v>
          </cell>
        </row>
        <row r="1587">
          <cell r="A1587" t="str">
            <v>23310</v>
          </cell>
        </row>
        <row r="1588">
          <cell r="A1588" t="str">
            <v>25047</v>
          </cell>
        </row>
        <row r="1589">
          <cell r="A1589" t="str">
            <v>25048</v>
          </cell>
        </row>
        <row r="1590">
          <cell r="A1590" t="str">
            <v>25049</v>
          </cell>
        </row>
        <row r="1591">
          <cell r="A1591" t="str">
            <v>25050</v>
          </cell>
        </row>
        <row r="1592">
          <cell r="A1592" t="str">
            <v>23198</v>
          </cell>
        </row>
        <row r="1593">
          <cell r="A1593" t="str">
            <v>23199</v>
          </cell>
        </row>
        <row r="1594">
          <cell r="A1594" t="str">
            <v>23202</v>
          </cell>
        </row>
        <row r="1595">
          <cell r="A1595" t="str">
            <v>23204</v>
          </cell>
        </row>
        <row r="1596">
          <cell r="A1596" t="str">
            <v>24126</v>
          </cell>
        </row>
        <row r="1597">
          <cell r="A1597" t="str">
            <v>24129</v>
          </cell>
        </row>
        <row r="1598">
          <cell r="A1598" t="str">
            <v>11132</v>
          </cell>
        </row>
        <row r="1599">
          <cell r="A1599" t="str">
            <v>11288</v>
          </cell>
        </row>
        <row r="1600">
          <cell r="A1600" t="str">
            <v>11289</v>
          </cell>
        </row>
        <row r="1601">
          <cell r="A1601" t="str">
            <v>11294</v>
          </cell>
        </row>
        <row r="1602">
          <cell r="A1602" t="str">
            <v>11296</v>
          </cell>
        </row>
        <row r="1603">
          <cell r="A1603" t="str">
            <v>11297</v>
          </cell>
        </row>
        <row r="1604">
          <cell r="A1604" t="str">
            <v>11298</v>
          </cell>
        </row>
        <row r="1605">
          <cell r="A1605" t="str">
            <v>11300</v>
          </cell>
        </row>
        <row r="1606">
          <cell r="A1606" t="str">
            <v>11301</v>
          </cell>
        </row>
        <row r="1607">
          <cell r="A1607" t="str">
            <v>11304</v>
          </cell>
        </row>
        <row r="1608">
          <cell r="A1608" t="str">
            <v>11308</v>
          </cell>
        </row>
        <row r="1609">
          <cell r="A1609" t="str">
            <v>11309</v>
          </cell>
        </row>
        <row r="1610">
          <cell r="A1610" t="str">
            <v>11311</v>
          </cell>
        </row>
        <row r="1611">
          <cell r="A1611" t="str">
            <v>11319</v>
          </cell>
        </row>
        <row r="1612">
          <cell r="A1612" t="str">
            <v>11326</v>
          </cell>
        </row>
        <row r="1613">
          <cell r="A1613" t="str">
            <v>11354</v>
          </cell>
        </row>
        <row r="1614">
          <cell r="A1614" t="str">
            <v>11355</v>
          </cell>
        </row>
        <row r="1615">
          <cell r="A1615" t="str">
            <v>11356</v>
          </cell>
        </row>
        <row r="1616">
          <cell r="A1616" t="str">
            <v>11357</v>
          </cell>
        </row>
        <row r="1617">
          <cell r="A1617" t="str">
            <v>11214</v>
          </cell>
        </row>
        <row r="1618">
          <cell r="A1618" t="str">
            <v>11216</v>
          </cell>
        </row>
        <row r="1619">
          <cell r="A1619" t="str">
            <v>11219</v>
          </cell>
        </row>
        <row r="1620">
          <cell r="A1620" t="str">
            <v>11259</v>
          </cell>
        </row>
        <row r="1621">
          <cell r="A1621" t="str">
            <v>11260</v>
          </cell>
        </row>
        <row r="1622">
          <cell r="A1622" t="str">
            <v>11264</v>
          </cell>
        </row>
        <row r="1623">
          <cell r="A1623" t="str">
            <v>11275</v>
          </cell>
        </row>
        <row r="1624">
          <cell r="A1624" t="str">
            <v>11280</v>
          </cell>
        </row>
        <row r="1625">
          <cell r="A1625" t="str">
            <v>11282</v>
          </cell>
        </row>
        <row r="1626">
          <cell r="A1626" t="str">
            <v>11312</v>
          </cell>
        </row>
        <row r="1627">
          <cell r="A1627" t="str">
            <v>11313</v>
          </cell>
        </row>
        <row r="1628">
          <cell r="A1628" t="str">
            <v>11286</v>
          </cell>
        </row>
        <row r="1629">
          <cell r="A1629" t="str">
            <v>11329</v>
          </cell>
        </row>
        <row r="1630">
          <cell r="A1630" t="str">
            <v>11278</v>
          </cell>
        </row>
        <row r="1631">
          <cell r="A1631" t="str">
            <v>11284</v>
          </cell>
        </row>
        <row r="1632">
          <cell r="A1632" t="str">
            <v>11310</v>
          </cell>
        </row>
        <row r="1633">
          <cell r="A1633" t="str">
            <v>11336</v>
          </cell>
        </row>
        <row r="1634">
          <cell r="A1634" t="str">
            <v>10714</v>
          </cell>
        </row>
        <row r="1635">
          <cell r="A1635" t="str">
            <v>10725</v>
          </cell>
        </row>
        <row r="1636">
          <cell r="A1636" t="str">
            <v>10901</v>
          </cell>
        </row>
        <row r="1637">
          <cell r="A1637" t="str">
            <v>10902</v>
          </cell>
        </row>
        <row r="1638">
          <cell r="A1638" t="str">
            <v>10905</v>
          </cell>
        </row>
        <row r="1639">
          <cell r="A1639" t="str">
            <v>10909</v>
          </cell>
        </row>
        <row r="1640">
          <cell r="A1640" t="str">
            <v>10958</v>
          </cell>
        </row>
        <row r="1641">
          <cell r="A1641" t="str">
            <v>11207</v>
          </cell>
        </row>
        <row r="1642">
          <cell r="A1642" t="str">
            <v>20101</v>
          </cell>
        </row>
        <row r="1643">
          <cell r="A1643" t="str">
            <v>24109</v>
          </cell>
        </row>
        <row r="1644">
          <cell r="A1644" t="str">
            <v>25008</v>
          </cell>
        </row>
        <row r="1645">
          <cell r="A1645" t="str">
            <v>25009</v>
          </cell>
        </row>
        <row r="1646">
          <cell r="A1646" t="str">
            <v>25012</v>
          </cell>
        </row>
        <row r="1647">
          <cell r="A1647" t="str">
            <v>25014</v>
          </cell>
        </row>
        <row r="1648">
          <cell r="A1648" t="str">
            <v>20252</v>
          </cell>
        </row>
        <row r="1649">
          <cell r="A1649" t="str">
            <v>10907</v>
          </cell>
        </row>
        <row r="1650">
          <cell r="A1650" t="str">
            <v>10928</v>
          </cell>
        </row>
        <row r="1651">
          <cell r="A1651" t="str">
            <v>10929</v>
          </cell>
        </row>
        <row r="1652">
          <cell r="A1652" t="str">
            <v>10930</v>
          </cell>
        </row>
        <row r="1653">
          <cell r="A1653" t="str">
            <v>10937</v>
          </cell>
        </row>
        <row r="1654">
          <cell r="A1654" t="str">
            <v>10951</v>
          </cell>
        </row>
        <row r="1655">
          <cell r="A1655" t="str">
            <v>10979</v>
          </cell>
        </row>
        <row r="1656">
          <cell r="A1656" t="str">
            <v>10985</v>
          </cell>
        </row>
        <row r="1657">
          <cell r="A1657" t="str">
            <v>10990</v>
          </cell>
        </row>
        <row r="1658">
          <cell r="A1658" t="str">
            <v>10997</v>
          </cell>
        </row>
        <row r="1659">
          <cell r="A1659" t="str">
            <v>20240</v>
          </cell>
        </row>
        <row r="1660">
          <cell r="A1660" t="str">
            <v>20243</v>
          </cell>
        </row>
        <row r="1661">
          <cell r="A1661" t="str">
            <v>20244</v>
          </cell>
        </row>
        <row r="1662">
          <cell r="A1662" t="str">
            <v>20245</v>
          </cell>
        </row>
        <row r="1663">
          <cell r="A1663" t="str">
            <v>20246</v>
          </cell>
        </row>
        <row r="1664">
          <cell r="A1664" t="str">
            <v>20249</v>
          </cell>
        </row>
        <row r="1665">
          <cell r="A1665" t="str">
            <v>20253</v>
          </cell>
        </row>
        <row r="1666">
          <cell r="A1666" t="str">
            <v>20260</v>
          </cell>
        </row>
        <row r="1667">
          <cell r="A1667" t="str">
            <v>20262</v>
          </cell>
        </row>
        <row r="1668">
          <cell r="A1668" t="str">
            <v>25069</v>
          </cell>
        </row>
        <row r="1669">
          <cell r="A1669" t="str">
            <v>25075</v>
          </cell>
        </row>
        <row r="1670">
          <cell r="A1670" t="str">
            <v>25076</v>
          </cell>
        </row>
        <row r="1671">
          <cell r="A1671" t="str">
            <v>25095</v>
          </cell>
        </row>
        <row r="1672">
          <cell r="A1672" t="str">
            <v>25096</v>
          </cell>
        </row>
        <row r="1673">
          <cell r="A1673" t="str">
            <v>25097</v>
          </cell>
        </row>
        <row r="1674">
          <cell r="A1674" t="str">
            <v>25079</v>
          </cell>
        </row>
        <row r="1675">
          <cell r="A1675" t="str">
            <v>25094</v>
          </cell>
        </row>
        <row r="1676">
          <cell r="A1676" t="str">
            <v>10156</v>
          </cell>
        </row>
        <row r="1677">
          <cell r="A1677" t="str">
            <v>10157</v>
          </cell>
        </row>
        <row r="1678">
          <cell r="A1678" t="str">
            <v>10175</v>
          </cell>
        </row>
        <row r="1679">
          <cell r="A1679" t="str">
            <v>10186</v>
          </cell>
        </row>
        <row r="1680">
          <cell r="A1680" t="str">
            <v>10187</v>
          </cell>
        </row>
        <row r="1681">
          <cell r="A1681" t="str">
            <v>10188</v>
          </cell>
        </row>
        <row r="1682">
          <cell r="A1682" t="str">
            <v>10189</v>
          </cell>
        </row>
        <row r="1683">
          <cell r="A1683" t="str">
            <v>10193</v>
          </cell>
        </row>
        <row r="1684">
          <cell r="A1684" t="str">
            <v>10196</v>
          </cell>
        </row>
        <row r="1685">
          <cell r="A1685" t="str">
            <v>10338</v>
          </cell>
        </row>
        <row r="1686">
          <cell r="A1686" t="str">
            <v>10504</v>
          </cell>
        </row>
        <row r="1687">
          <cell r="A1687" t="str">
            <v>10505</v>
          </cell>
        </row>
        <row r="1688">
          <cell r="A1688" t="str">
            <v>10963</v>
          </cell>
        </row>
        <row r="1689">
          <cell r="A1689" t="str">
            <v>10964</v>
          </cell>
        </row>
        <row r="1690">
          <cell r="A1690" t="str">
            <v>10965</v>
          </cell>
        </row>
        <row r="1691">
          <cell r="A1691" t="str">
            <v>10966</v>
          </cell>
        </row>
        <row r="1692">
          <cell r="A1692" t="str">
            <v>10967</v>
          </cell>
        </row>
        <row r="1693">
          <cell r="A1693" t="str">
            <v>10971</v>
          </cell>
        </row>
        <row r="1694">
          <cell r="A1694" t="str">
            <v>10972</v>
          </cell>
        </row>
        <row r="1695">
          <cell r="A1695" t="str">
            <v>10991</v>
          </cell>
        </row>
        <row r="1696">
          <cell r="A1696" t="str">
            <v>10992</v>
          </cell>
        </row>
        <row r="1697">
          <cell r="A1697" t="str">
            <v>10993</v>
          </cell>
        </row>
        <row r="1698">
          <cell r="A1698" t="str">
            <v>10996</v>
          </cell>
        </row>
        <row r="1699">
          <cell r="A1699" t="str">
            <v>11007</v>
          </cell>
        </row>
        <row r="1700">
          <cell r="A1700" t="str">
            <v>11012</v>
          </cell>
        </row>
        <row r="1701">
          <cell r="A1701" t="str">
            <v>11013</v>
          </cell>
        </row>
        <row r="1702">
          <cell r="A1702" t="str">
            <v>11014</v>
          </cell>
        </row>
        <row r="1703">
          <cell r="A1703" t="str">
            <v>11015</v>
          </cell>
        </row>
        <row r="1704">
          <cell r="A1704" t="str">
            <v>11016</v>
          </cell>
        </row>
        <row r="1705">
          <cell r="A1705" t="str">
            <v>11017</v>
          </cell>
        </row>
        <row r="1706">
          <cell r="A1706" t="str">
            <v>11021</v>
          </cell>
        </row>
        <row r="1707">
          <cell r="A1707" t="str">
            <v>11022</v>
          </cell>
        </row>
        <row r="1708">
          <cell r="A1708" t="str">
            <v>11028</v>
          </cell>
        </row>
        <row r="1709">
          <cell r="A1709" t="str">
            <v>11030</v>
          </cell>
        </row>
        <row r="1710">
          <cell r="A1710" t="str">
            <v>11031</v>
          </cell>
        </row>
        <row r="1711">
          <cell r="A1711" t="str">
            <v>11032</v>
          </cell>
        </row>
        <row r="1712">
          <cell r="A1712" t="str">
            <v>11033</v>
          </cell>
        </row>
        <row r="1713">
          <cell r="A1713" t="str">
            <v>11034</v>
          </cell>
        </row>
        <row r="1714">
          <cell r="A1714" t="str">
            <v>11035</v>
          </cell>
        </row>
        <row r="1715">
          <cell r="A1715" t="str">
            <v>11056</v>
          </cell>
        </row>
        <row r="1716">
          <cell r="A1716" t="str">
            <v>11220</v>
          </cell>
        </row>
        <row r="1717">
          <cell r="A1717" t="str">
            <v>11221</v>
          </cell>
        </row>
        <row r="1718">
          <cell r="A1718" t="str">
            <v>11222</v>
          </cell>
        </row>
        <row r="1719">
          <cell r="A1719" t="str">
            <v>11223</v>
          </cell>
        </row>
        <row r="1720">
          <cell r="A1720" t="str">
            <v>11225</v>
          </cell>
        </row>
        <row r="1721">
          <cell r="A1721" t="str">
            <v>11226</v>
          </cell>
        </row>
        <row r="1722">
          <cell r="A1722" t="str">
            <v>11228</v>
          </cell>
        </row>
        <row r="1723">
          <cell r="A1723" t="str">
            <v>11229</v>
          </cell>
        </row>
        <row r="1724">
          <cell r="A1724" t="str">
            <v>11230</v>
          </cell>
        </row>
        <row r="1725">
          <cell r="A1725" t="str">
            <v>11231</v>
          </cell>
        </row>
        <row r="1726">
          <cell r="A1726" t="str">
            <v>11232</v>
          </cell>
        </row>
        <row r="1727">
          <cell r="A1727" t="str">
            <v>11233</v>
          </cell>
        </row>
        <row r="1728">
          <cell r="A1728" t="str">
            <v>11234</v>
          </cell>
        </row>
        <row r="1729">
          <cell r="A1729" t="str">
            <v>11235</v>
          </cell>
        </row>
        <row r="1730">
          <cell r="A1730" t="str">
            <v>11236</v>
          </cell>
        </row>
        <row r="1731">
          <cell r="A1731" t="str">
            <v>11237</v>
          </cell>
        </row>
        <row r="1732">
          <cell r="A1732" t="str">
            <v>11238</v>
          </cell>
        </row>
        <row r="1733">
          <cell r="A1733" t="str">
            <v>11239</v>
          </cell>
        </row>
        <row r="1734">
          <cell r="A1734" t="str">
            <v>11240</v>
          </cell>
        </row>
        <row r="1735">
          <cell r="A1735" t="str">
            <v>11241</v>
          </cell>
        </row>
        <row r="1736">
          <cell r="A1736" t="str">
            <v>11242</v>
          </cell>
        </row>
        <row r="1737">
          <cell r="A1737" t="str">
            <v>11243</v>
          </cell>
        </row>
        <row r="1738">
          <cell r="A1738" t="str">
            <v>11244</v>
          </cell>
        </row>
        <row r="1739">
          <cell r="A1739" t="str">
            <v>11245</v>
          </cell>
        </row>
        <row r="1740">
          <cell r="A1740" t="str">
            <v>11247</v>
          </cell>
        </row>
        <row r="1741">
          <cell r="A1741" t="str">
            <v>11248</v>
          </cell>
        </row>
        <row r="1742">
          <cell r="A1742" t="str">
            <v>11249</v>
          </cell>
        </row>
        <row r="1743">
          <cell r="A1743" t="str">
            <v>11250</v>
          </cell>
        </row>
        <row r="1744">
          <cell r="A1744" t="str">
            <v>11251</v>
          </cell>
        </row>
        <row r="1745">
          <cell r="A1745" t="str">
            <v>11252</v>
          </cell>
        </row>
        <row r="1746">
          <cell r="A1746" t="str">
            <v>11253</v>
          </cell>
        </row>
        <row r="1747">
          <cell r="A1747" t="str">
            <v>11254</v>
          </cell>
        </row>
        <row r="1748">
          <cell r="A1748" t="str">
            <v>11255</v>
          </cell>
        </row>
        <row r="1749">
          <cell r="A1749" t="str">
            <v>11271</v>
          </cell>
        </row>
        <row r="1750">
          <cell r="A1750" t="str">
            <v>11272</v>
          </cell>
        </row>
        <row r="1751">
          <cell r="A1751" t="str">
            <v>11273</v>
          </cell>
        </row>
        <row r="1752">
          <cell r="A1752" t="str">
            <v>11302</v>
          </cell>
        </row>
        <row r="1753">
          <cell r="A1753" t="str">
            <v>11303</v>
          </cell>
        </row>
        <row r="1754">
          <cell r="A1754" t="str">
            <v>11318</v>
          </cell>
        </row>
        <row r="1755">
          <cell r="A1755" t="str">
            <v>11503</v>
          </cell>
        </row>
        <row r="1756">
          <cell r="A1756" t="str">
            <v>21564</v>
          </cell>
        </row>
        <row r="1757">
          <cell r="A1757" t="str">
            <v>21579</v>
          </cell>
        </row>
        <row r="1758">
          <cell r="A1758" t="str">
            <v>21580</v>
          </cell>
        </row>
        <row r="1759">
          <cell r="A1759" t="str">
            <v>23331</v>
          </cell>
        </row>
        <row r="1760">
          <cell r="A1760" t="str">
            <v>23332</v>
          </cell>
        </row>
        <row r="1761">
          <cell r="A1761" t="str">
            <v>23490</v>
          </cell>
        </row>
        <row r="1762">
          <cell r="A1762" t="str">
            <v>23521</v>
          </cell>
        </row>
        <row r="1763">
          <cell r="A1763" t="str">
            <v>23522</v>
          </cell>
        </row>
        <row r="1764">
          <cell r="A1764" t="str">
            <v>23652</v>
          </cell>
        </row>
        <row r="1765">
          <cell r="A1765" t="str">
            <v>23874</v>
          </cell>
        </row>
        <row r="1766">
          <cell r="A1766" t="str">
            <v>24132</v>
          </cell>
        </row>
        <row r="1767">
          <cell r="A1767" t="str">
            <v>24137</v>
          </cell>
        </row>
        <row r="1768">
          <cell r="A1768" t="str">
            <v>24150</v>
          </cell>
        </row>
        <row r="1769">
          <cell r="A1769" t="str">
            <v>24153</v>
          </cell>
        </row>
        <row r="1770">
          <cell r="A1770" t="str">
            <v>24161</v>
          </cell>
        </row>
        <row r="1771">
          <cell r="A1771" t="str">
            <v>24167</v>
          </cell>
        </row>
        <row r="1772">
          <cell r="A1772" t="str">
            <v>24168</v>
          </cell>
        </row>
        <row r="1773">
          <cell r="A1773" t="str">
            <v>24207</v>
          </cell>
        </row>
        <row r="1774">
          <cell r="A1774" t="str">
            <v>24208</v>
          </cell>
        </row>
        <row r="1775">
          <cell r="A1775" t="str">
            <v>24212</v>
          </cell>
        </row>
        <row r="1776">
          <cell r="A1776" t="str">
            <v>25052</v>
          </cell>
        </row>
        <row r="1777">
          <cell r="A1777" t="str">
            <v>25074</v>
          </cell>
        </row>
        <row r="1778">
          <cell r="A1778" t="str">
            <v>25084</v>
          </cell>
        </row>
        <row r="1779">
          <cell r="A1779" t="str">
            <v>25112</v>
          </cell>
        </row>
        <row r="1780">
          <cell r="A1780" t="str">
            <v>25113</v>
          </cell>
        </row>
        <row r="1781">
          <cell r="A1781" t="str">
            <v>11337</v>
          </cell>
        </row>
        <row r="1782">
          <cell r="A1782" t="str">
            <v>11338</v>
          </cell>
        </row>
        <row r="1783">
          <cell r="A1783" t="str">
            <v>11349</v>
          </cell>
        </row>
        <row r="1784">
          <cell r="A1784" t="str">
            <v>11134</v>
          </cell>
        </row>
        <row r="1785">
          <cell r="A1785" t="str">
            <v>11024</v>
          </cell>
        </row>
        <row r="1786">
          <cell r="A1786" t="str">
            <v>11025</v>
          </cell>
        </row>
        <row r="1787">
          <cell r="A1787" t="str">
            <v>11066</v>
          </cell>
        </row>
        <row r="1788">
          <cell r="A1788" t="str">
            <v>21560</v>
          </cell>
        </row>
        <row r="1789">
          <cell r="A1789" t="str">
            <v>25114</v>
          </cell>
        </row>
        <row r="1790">
          <cell r="A1790" t="str">
            <v>11291</v>
          </cell>
        </row>
        <row r="1791">
          <cell r="A1791" t="str">
            <v>11324</v>
          </cell>
        </row>
        <row r="1792">
          <cell r="A1792" t="str">
            <v>11418</v>
          </cell>
        </row>
        <row r="1793">
          <cell r="A1793" t="str">
            <v>11425</v>
          </cell>
        </row>
        <row r="1794">
          <cell r="A1794" t="str">
            <v>11514</v>
          </cell>
        </row>
        <row r="1795">
          <cell r="A1795" t="str">
            <v>11516</v>
          </cell>
        </row>
        <row r="1796">
          <cell r="A1796" t="str">
            <v>11431</v>
          </cell>
        </row>
        <row r="1797">
          <cell r="A1797" t="str">
            <v>11069</v>
          </cell>
        </row>
        <row r="1798">
          <cell r="A1798" t="str">
            <v>11107</v>
          </cell>
        </row>
        <row r="1799">
          <cell r="A1799" t="str">
            <v>20134</v>
          </cell>
        </row>
        <row r="1800">
          <cell r="A1800" t="str">
            <v>20150</v>
          </cell>
        </row>
        <row r="1801">
          <cell r="A1801" t="str">
            <v>20157</v>
          </cell>
        </row>
        <row r="1802">
          <cell r="A1802" t="str">
            <v>20160</v>
          </cell>
        </row>
        <row r="1803">
          <cell r="A1803" t="str">
            <v>20173</v>
          </cell>
        </row>
        <row r="1804">
          <cell r="A1804" t="str">
            <v>20181</v>
          </cell>
        </row>
        <row r="1805">
          <cell r="A1805" t="str">
            <v>20184</v>
          </cell>
        </row>
        <row r="1806">
          <cell r="A1806" t="str">
            <v>20192</v>
          </cell>
        </row>
        <row r="1807">
          <cell r="A1807" t="str">
            <v>20196</v>
          </cell>
        </row>
        <row r="1808">
          <cell r="A1808" t="str">
            <v>20199</v>
          </cell>
        </row>
        <row r="1809">
          <cell r="A1809" t="str">
            <v>20811</v>
          </cell>
        </row>
        <row r="1810">
          <cell r="A1810" t="str">
            <v>20812</v>
          </cell>
        </row>
        <row r="1811">
          <cell r="A1811" t="str">
            <v>20823</v>
          </cell>
        </row>
        <row r="1812">
          <cell r="A1812" t="str">
            <v>20824</v>
          </cell>
        </row>
        <row r="1813">
          <cell r="A1813" t="str">
            <v>20829</v>
          </cell>
        </row>
        <row r="1814">
          <cell r="A1814" t="str">
            <v>20830</v>
          </cell>
        </row>
        <row r="1815">
          <cell r="A1815" t="str">
            <v>20853</v>
          </cell>
        </row>
        <row r="1816">
          <cell r="A1816" t="str">
            <v>20855</v>
          </cell>
        </row>
        <row r="1817">
          <cell r="A1817" t="str">
            <v>20857</v>
          </cell>
        </row>
        <row r="1818">
          <cell r="A1818" t="str">
            <v>20858</v>
          </cell>
        </row>
        <row r="1819">
          <cell r="A1819" t="str">
            <v>20859</v>
          </cell>
        </row>
        <row r="1820">
          <cell r="A1820" t="str">
            <v>20865</v>
          </cell>
        </row>
        <row r="1821">
          <cell r="A1821" t="str">
            <v>20868</v>
          </cell>
        </row>
        <row r="1822">
          <cell r="A1822" t="str">
            <v>20871</v>
          </cell>
        </row>
        <row r="1823">
          <cell r="A1823" t="str">
            <v>20873</v>
          </cell>
        </row>
        <row r="1824">
          <cell r="A1824" t="str">
            <v>20880</v>
          </cell>
        </row>
        <row r="1825">
          <cell r="A1825" t="str">
            <v>20883</v>
          </cell>
        </row>
        <row r="1826">
          <cell r="A1826" t="str">
            <v>20885</v>
          </cell>
        </row>
        <row r="1827">
          <cell r="A1827" t="str">
            <v>20886</v>
          </cell>
        </row>
        <row r="1828">
          <cell r="A1828" t="str">
            <v>20887</v>
          </cell>
        </row>
        <row r="1829">
          <cell r="A1829" t="str">
            <v>20888</v>
          </cell>
        </row>
        <row r="1830">
          <cell r="A1830" t="str">
            <v>20890</v>
          </cell>
        </row>
        <row r="1831">
          <cell r="A1831" t="str">
            <v>20891</v>
          </cell>
        </row>
        <row r="1832">
          <cell r="A1832" t="str">
            <v>20892</v>
          </cell>
        </row>
        <row r="1833">
          <cell r="A1833" t="str">
            <v>20893</v>
          </cell>
        </row>
        <row r="1834">
          <cell r="A1834" t="str">
            <v>20896</v>
          </cell>
        </row>
        <row r="1835">
          <cell r="A1835" t="str">
            <v>20898</v>
          </cell>
        </row>
        <row r="1836">
          <cell r="A1836" t="str">
            <v>20899</v>
          </cell>
        </row>
        <row r="1837">
          <cell r="A1837" t="str">
            <v>21004</v>
          </cell>
        </row>
        <row r="1838">
          <cell r="A1838" t="str">
            <v>21005</v>
          </cell>
        </row>
        <row r="1839">
          <cell r="A1839" t="str">
            <v>21006</v>
          </cell>
        </row>
        <row r="1840">
          <cell r="A1840" t="str">
            <v>21007</v>
          </cell>
        </row>
        <row r="1841">
          <cell r="A1841" t="str">
            <v>21009</v>
          </cell>
        </row>
        <row r="1842">
          <cell r="A1842" t="str">
            <v>21010</v>
          </cell>
        </row>
        <row r="1843">
          <cell r="A1843" t="str">
            <v>21011</v>
          </cell>
        </row>
        <row r="1844">
          <cell r="A1844" t="str">
            <v>21012</v>
          </cell>
        </row>
        <row r="1845">
          <cell r="A1845" t="str">
            <v>21016</v>
          </cell>
        </row>
        <row r="1846">
          <cell r="A1846" t="str">
            <v>21017</v>
          </cell>
        </row>
        <row r="1847">
          <cell r="A1847" t="str">
            <v>21019</v>
          </cell>
        </row>
        <row r="1848">
          <cell r="A1848" t="str">
            <v>21020</v>
          </cell>
        </row>
        <row r="1849">
          <cell r="A1849" t="str">
            <v>21021</v>
          </cell>
        </row>
        <row r="1850">
          <cell r="A1850" t="str">
            <v>21022</v>
          </cell>
        </row>
        <row r="1851">
          <cell r="A1851" t="str">
            <v>21023</v>
          </cell>
        </row>
        <row r="1852">
          <cell r="A1852" t="str">
            <v>21024</v>
          </cell>
        </row>
        <row r="1853">
          <cell r="A1853" t="str">
            <v>21025</v>
          </cell>
        </row>
        <row r="1854">
          <cell r="A1854" t="str">
            <v>21028</v>
          </cell>
        </row>
        <row r="1855">
          <cell r="A1855" t="str">
            <v>21029</v>
          </cell>
        </row>
        <row r="1856">
          <cell r="A1856" t="str">
            <v>21031</v>
          </cell>
        </row>
        <row r="1857">
          <cell r="A1857" t="str">
            <v>21035</v>
          </cell>
        </row>
        <row r="1858">
          <cell r="A1858" t="str">
            <v>21037</v>
          </cell>
        </row>
        <row r="1859">
          <cell r="A1859" t="str">
            <v>21038</v>
          </cell>
        </row>
        <row r="1860">
          <cell r="A1860" t="str">
            <v>21039</v>
          </cell>
        </row>
        <row r="1861">
          <cell r="A1861" t="str">
            <v>21042</v>
          </cell>
        </row>
        <row r="1862">
          <cell r="A1862" t="str">
            <v>21043</v>
          </cell>
        </row>
        <row r="1863">
          <cell r="A1863" t="str">
            <v>21044</v>
          </cell>
        </row>
        <row r="1864">
          <cell r="A1864" t="str">
            <v>21045</v>
          </cell>
        </row>
        <row r="1865">
          <cell r="A1865" t="str">
            <v>21051</v>
          </cell>
        </row>
        <row r="1866">
          <cell r="A1866" t="str">
            <v>21052</v>
          </cell>
        </row>
        <row r="1867">
          <cell r="A1867" t="str">
            <v>21053</v>
          </cell>
        </row>
        <row r="1868">
          <cell r="A1868" t="str">
            <v>21068</v>
          </cell>
        </row>
        <row r="1869">
          <cell r="A1869" t="str">
            <v>21069</v>
          </cell>
        </row>
        <row r="1870">
          <cell r="A1870" t="str">
            <v>21070</v>
          </cell>
        </row>
        <row r="1871">
          <cell r="A1871" t="str">
            <v>21071</v>
          </cell>
        </row>
        <row r="1872">
          <cell r="A1872" t="str">
            <v>21072</v>
          </cell>
        </row>
        <row r="1873">
          <cell r="A1873" t="str">
            <v>21073</v>
          </cell>
        </row>
        <row r="1874">
          <cell r="A1874" t="str">
            <v>21074</v>
          </cell>
        </row>
        <row r="1875">
          <cell r="A1875" t="str">
            <v>21075</v>
          </cell>
        </row>
        <row r="1876">
          <cell r="A1876" t="str">
            <v>21076</v>
          </cell>
        </row>
        <row r="1877">
          <cell r="A1877" t="str">
            <v>21077</v>
          </cell>
        </row>
        <row r="1878">
          <cell r="A1878" t="str">
            <v>21080</v>
          </cell>
        </row>
        <row r="1879">
          <cell r="A1879" t="str">
            <v>21081</v>
          </cell>
        </row>
        <row r="1880">
          <cell r="A1880" t="str">
            <v>21082</v>
          </cell>
        </row>
        <row r="1881">
          <cell r="A1881" t="str">
            <v>21083</v>
          </cell>
        </row>
        <row r="1882">
          <cell r="A1882" t="str">
            <v>21084</v>
          </cell>
        </row>
        <row r="1883">
          <cell r="A1883" t="str">
            <v>21086</v>
          </cell>
        </row>
        <row r="1884">
          <cell r="A1884" t="str">
            <v>21087</v>
          </cell>
        </row>
        <row r="1885">
          <cell r="A1885" t="str">
            <v>21088</v>
          </cell>
        </row>
        <row r="1886">
          <cell r="A1886" t="str">
            <v>21092</v>
          </cell>
        </row>
        <row r="1887">
          <cell r="A1887" t="str">
            <v>21097</v>
          </cell>
        </row>
        <row r="1888">
          <cell r="A1888" t="str">
            <v>21098</v>
          </cell>
        </row>
        <row r="1889">
          <cell r="A1889" t="str">
            <v>21099</v>
          </cell>
        </row>
        <row r="1890">
          <cell r="A1890" t="str">
            <v>21101</v>
          </cell>
        </row>
        <row r="1891">
          <cell r="A1891" t="str">
            <v>21102</v>
          </cell>
        </row>
        <row r="1892">
          <cell r="A1892" t="str">
            <v>21103</v>
          </cell>
        </row>
        <row r="1893">
          <cell r="A1893" t="str">
            <v>21105</v>
          </cell>
        </row>
        <row r="1894">
          <cell r="A1894" t="str">
            <v>21106</v>
          </cell>
        </row>
        <row r="1895">
          <cell r="A1895" t="str">
            <v>21110</v>
          </cell>
        </row>
        <row r="1896">
          <cell r="A1896" t="str">
            <v>21111</v>
          </cell>
        </row>
        <row r="1897">
          <cell r="A1897" t="str">
            <v>21114</v>
          </cell>
        </row>
        <row r="1898">
          <cell r="A1898" t="str">
            <v>21116</v>
          </cell>
        </row>
        <row r="1899">
          <cell r="A1899" t="str">
            <v>21117</v>
          </cell>
        </row>
        <row r="1900">
          <cell r="A1900" t="str">
            <v>21118</v>
          </cell>
        </row>
        <row r="1901">
          <cell r="A1901" t="str">
            <v>21119</v>
          </cell>
        </row>
        <row r="1902">
          <cell r="A1902" t="str">
            <v>21120</v>
          </cell>
        </row>
        <row r="1903">
          <cell r="A1903" t="str">
            <v>21121</v>
          </cell>
        </row>
        <row r="1904">
          <cell r="A1904" t="str">
            <v>21122</v>
          </cell>
        </row>
        <row r="1905">
          <cell r="A1905" t="str">
            <v>21124</v>
          </cell>
        </row>
        <row r="1906">
          <cell r="A1906" t="str">
            <v>21129</v>
          </cell>
        </row>
        <row r="1907">
          <cell r="A1907" t="str">
            <v>21133</v>
          </cell>
        </row>
        <row r="1908">
          <cell r="A1908" t="str">
            <v>21139</v>
          </cell>
        </row>
        <row r="1909">
          <cell r="A1909" t="str">
            <v>21140</v>
          </cell>
        </row>
        <row r="1910">
          <cell r="A1910" t="str">
            <v>21146</v>
          </cell>
        </row>
        <row r="1911">
          <cell r="A1911" t="str">
            <v>21147</v>
          </cell>
        </row>
        <row r="1912">
          <cell r="A1912" t="str">
            <v>21149</v>
          </cell>
        </row>
        <row r="1913">
          <cell r="A1913" t="str">
            <v>21153</v>
          </cell>
        </row>
        <row r="1914">
          <cell r="A1914" t="str">
            <v>21154</v>
          </cell>
        </row>
        <row r="1915">
          <cell r="A1915" t="str">
            <v>21155</v>
          </cell>
        </row>
        <row r="1916">
          <cell r="A1916" t="str">
            <v>21162</v>
          </cell>
        </row>
        <row r="1917">
          <cell r="A1917" t="str">
            <v>21163</v>
          </cell>
        </row>
        <row r="1918">
          <cell r="A1918" t="str">
            <v>21164</v>
          </cell>
        </row>
        <row r="1919">
          <cell r="A1919" t="str">
            <v>21165</v>
          </cell>
        </row>
        <row r="1920">
          <cell r="A1920" t="str">
            <v>21166</v>
          </cell>
        </row>
        <row r="1921">
          <cell r="A1921" t="str">
            <v>21167</v>
          </cell>
        </row>
        <row r="1922">
          <cell r="A1922" t="str">
            <v>21169</v>
          </cell>
        </row>
        <row r="1923">
          <cell r="A1923" t="str">
            <v>21175</v>
          </cell>
        </row>
        <row r="1924">
          <cell r="A1924" t="str">
            <v>21179</v>
          </cell>
        </row>
        <row r="1925">
          <cell r="A1925" t="str">
            <v>21181</v>
          </cell>
        </row>
        <row r="1926">
          <cell r="A1926" t="str">
            <v>21182</v>
          </cell>
        </row>
        <row r="1927">
          <cell r="A1927" t="str">
            <v>21184</v>
          </cell>
        </row>
        <row r="1928">
          <cell r="A1928" t="str">
            <v>21185</v>
          </cell>
        </row>
        <row r="1929">
          <cell r="A1929" t="str">
            <v>21186</v>
          </cell>
        </row>
        <row r="1930">
          <cell r="A1930" t="str">
            <v>21188</v>
          </cell>
        </row>
        <row r="1931">
          <cell r="A1931" t="str">
            <v>21189</v>
          </cell>
        </row>
        <row r="1932">
          <cell r="A1932" t="str">
            <v>21191</v>
          </cell>
        </row>
        <row r="1933">
          <cell r="A1933" t="str">
            <v>21194</v>
          </cell>
        </row>
        <row r="1934">
          <cell r="A1934" t="str">
            <v>21195</v>
          </cell>
        </row>
        <row r="1935">
          <cell r="A1935" t="str">
            <v>21198</v>
          </cell>
        </row>
        <row r="1936">
          <cell r="A1936" t="str">
            <v>21199</v>
          </cell>
        </row>
        <row r="1937">
          <cell r="A1937" t="str">
            <v>21202</v>
          </cell>
        </row>
        <row r="1938">
          <cell r="A1938" t="str">
            <v>21206</v>
          </cell>
        </row>
        <row r="1939">
          <cell r="A1939" t="str">
            <v>21208</v>
          </cell>
        </row>
        <row r="1940">
          <cell r="A1940" t="str">
            <v>21212</v>
          </cell>
        </row>
        <row r="1941">
          <cell r="A1941" t="str">
            <v>21213</v>
          </cell>
        </row>
        <row r="1942">
          <cell r="A1942" t="str">
            <v>21214</v>
          </cell>
        </row>
        <row r="1943">
          <cell r="A1943" t="str">
            <v>21215</v>
          </cell>
        </row>
        <row r="1944">
          <cell r="A1944" t="str">
            <v>21216</v>
          </cell>
        </row>
        <row r="1945">
          <cell r="A1945" t="str">
            <v>21218</v>
          </cell>
        </row>
        <row r="1946">
          <cell r="A1946" t="str">
            <v>21219</v>
          </cell>
        </row>
        <row r="1947">
          <cell r="A1947" t="str">
            <v>21220</v>
          </cell>
        </row>
        <row r="1948">
          <cell r="A1948" t="str">
            <v>21222</v>
          </cell>
        </row>
        <row r="1949">
          <cell r="A1949" t="str">
            <v>21224</v>
          </cell>
        </row>
        <row r="1950">
          <cell r="A1950" t="str">
            <v>21225</v>
          </cell>
        </row>
        <row r="1951">
          <cell r="A1951" t="str">
            <v>21226</v>
          </cell>
        </row>
        <row r="1952">
          <cell r="A1952" t="str">
            <v>21227</v>
          </cell>
        </row>
        <row r="1953">
          <cell r="A1953" t="str">
            <v>21228</v>
          </cell>
        </row>
        <row r="1954">
          <cell r="A1954" t="str">
            <v>21231</v>
          </cell>
        </row>
        <row r="1955">
          <cell r="A1955" t="str">
            <v>21233</v>
          </cell>
        </row>
        <row r="1956">
          <cell r="A1956" t="str">
            <v>21235</v>
          </cell>
        </row>
        <row r="1957">
          <cell r="A1957" t="str">
            <v>21236</v>
          </cell>
        </row>
        <row r="1958">
          <cell r="A1958" t="str">
            <v>21237</v>
          </cell>
        </row>
        <row r="1959">
          <cell r="A1959" t="str">
            <v>21239</v>
          </cell>
        </row>
        <row r="1960">
          <cell r="A1960" t="str">
            <v>21240</v>
          </cell>
        </row>
        <row r="1961">
          <cell r="A1961" t="str">
            <v>21241</v>
          </cell>
        </row>
        <row r="1962">
          <cell r="A1962" t="str">
            <v>21242</v>
          </cell>
        </row>
        <row r="1963">
          <cell r="A1963" t="str">
            <v>21246</v>
          </cell>
        </row>
        <row r="1964">
          <cell r="A1964" t="str">
            <v>21247</v>
          </cell>
        </row>
        <row r="1965">
          <cell r="A1965" t="str">
            <v>21249</v>
          </cell>
        </row>
        <row r="1966">
          <cell r="A1966" t="str">
            <v>21255</v>
          </cell>
        </row>
        <row r="1967">
          <cell r="A1967" t="str">
            <v>21260</v>
          </cell>
        </row>
        <row r="1968">
          <cell r="A1968" t="str">
            <v>21261</v>
          </cell>
        </row>
        <row r="1969">
          <cell r="A1969" t="str">
            <v>21262</v>
          </cell>
        </row>
        <row r="1970">
          <cell r="A1970" t="str">
            <v>21264</v>
          </cell>
        </row>
        <row r="1971">
          <cell r="A1971" t="str">
            <v>21265</v>
          </cell>
        </row>
        <row r="1972">
          <cell r="A1972" t="str">
            <v>21269</v>
          </cell>
        </row>
        <row r="1973">
          <cell r="A1973" t="str">
            <v>21274</v>
          </cell>
        </row>
        <row r="1974">
          <cell r="A1974" t="str">
            <v>21275</v>
          </cell>
        </row>
        <row r="1975">
          <cell r="A1975" t="str">
            <v>21281</v>
          </cell>
        </row>
        <row r="1976">
          <cell r="A1976" t="str">
            <v>21283</v>
          </cell>
        </row>
        <row r="1977">
          <cell r="A1977" t="str">
            <v>21284</v>
          </cell>
        </row>
        <row r="1978">
          <cell r="A1978" t="str">
            <v>21294</v>
          </cell>
        </row>
        <row r="1979">
          <cell r="A1979" t="str">
            <v>21296</v>
          </cell>
        </row>
        <row r="1980">
          <cell r="A1980" t="str">
            <v>21298</v>
          </cell>
        </row>
        <row r="1981">
          <cell r="A1981" t="str">
            <v>21299</v>
          </cell>
        </row>
        <row r="1982">
          <cell r="A1982" t="str">
            <v>21313</v>
          </cell>
        </row>
        <row r="1983">
          <cell r="A1983" t="str">
            <v>21323</v>
          </cell>
        </row>
        <row r="1984">
          <cell r="A1984" t="str">
            <v>21341</v>
          </cell>
        </row>
        <row r="1985">
          <cell r="A1985" t="str">
            <v>21347</v>
          </cell>
        </row>
        <row r="1986">
          <cell r="A1986" t="str">
            <v>21360</v>
          </cell>
        </row>
        <row r="1987">
          <cell r="A1987" t="str">
            <v>21365</v>
          </cell>
        </row>
        <row r="1988">
          <cell r="A1988" t="str">
            <v>21368</v>
          </cell>
        </row>
        <row r="1989">
          <cell r="A1989" t="str">
            <v>21370</v>
          </cell>
        </row>
        <row r="1990">
          <cell r="A1990" t="str">
            <v>21374</v>
          </cell>
        </row>
        <row r="1991">
          <cell r="A1991" t="str">
            <v>21375</v>
          </cell>
        </row>
        <row r="1992">
          <cell r="A1992" t="str">
            <v>24103</v>
          </cell>
        </row>
        <row r="1993">
          <cell r="A1993" t="str">
            <v>24104</v>
          </cell>
        </row>
        <row r="1994">
          <cell r="A1994" t="str">
            <v>24108</v>
          </cell>
        </row>
        <row r="1995">
          <cell r="A1995" t="str">
            <v>24111</v>
          </cell>
        </row>
        <row r="1996">
          <cell r="A1996" t="str">
            <v>24120</v>
          </cell>
        </row>
        <row r="1997">
          <cell r="A1997" t="str">
            <v>24121</v>
          </cell>
        </row>
        <row r="1998">
          <cell r="A1998" t="str">
            <v>24127</v>
          </cell>
        </row>
        <row r="1999">
          <cell r="A1999" t="str">
            <v>24128</v>
          </cell>
        </row>
        <row r="2000">
          <cell r="A2000" t="str">
            <v>10469</v>
          </cell>
        </row>
        <row r="2001">
          <cell r="A2001" t="str">
            <v>10470</v>
          </cell>
        </row>
        <row r="2002">
          <cell r="A2002" t="str">
            <v>10476</v>
          </cell>
        </row>
        <row r="2003">
          <cell r="A2003" t="str">
            <v>10921</v>
          </cell>
        </row>
        <row r="2004">
          <cell r="A2004" t="str">
            <v>10923</v>
          </cell>
        </row>
        <row r="2005">
          <cell r="A2005" t="str">
            <v>10936</v>
          </cell>
        </row>
        <row r="2006">
          <cell r="A2006" t="str">
            <v>10949</v>
          </cell>
        </row>
        <row r="2007">
          <cell r="A2007" t="str">
            <v>10975</v>
          </cell>
        </row>
        <row r="2008">
          <cell r="A2008" t="str">
            <v>25019</v>
          </cell>
        </row>
        <row r="2009">
          <cell r="A2009" t="str">
            <v>10908</v>
          </cell>
        </row>
        <row r="2010">
          <cell r="A2010" t="str">
            <v>11001</v>
          </cell>
        </row>
        <row r="2011">
          <cell r="A2011" t="str">
            <v>11115</v>
          </cell>
        </row>
        <row r="2012">
          <cell r="A2012" t="str">
            <v>11117</v>
          </cell>
        </row>
        <row r="2013">
          <cell r="A2013" t="str">
            <v>10735</v>
          </cell>
        </row>
        <row r="2014">
          <cell r="A2014" t="str">
            <v>10736</v>
          </cell>
        </row>
        <row r="2015">
          <cell r="A2015" t="str">
            <v>10737</v>
          </cell>
        </row>
        <row r="2016">
          <cell r="A2016" t="str">
            <v>10738</v>
          </cell>
        </row>
        <row r="2017">
          <cell r="A2017" t="str">
            <v>10739</v>
          </cell>
        </row>
        <row r="2018">
          <cell r="A2018" t="str">
            <v>10743</v>
          </cell>
        </row>
        <row r="2019">
          <cell r="A2019" t="str">
            <v>25082</v>
          </cell>
        </row>
        <row r="2020">
          <cell r="A2020" t="str">
            <v>25087</v>
          </cell>
        </row>
        <row r="2021">
          <cell r="A2021" t="str">
            <v>25089</v>
          </cell>
        </row>
        <row r="2022">
          <cell r="A2022" t="str">
            <v>25091</v>
          </cell>
        </row>
        <row r="2023">
          <cell r="A2023" t="str">
            <v>25092</v>
          </cell>
        </row>
        <row r="2024">
          <cell r="A2024" t="str">
            <v>25098</v>
          </cell>
        </row>
        <row r="2025">
          <cell r="A2025" t="str">
            <v>25101</v>
          </cell>
        </row>
        <row r="2026">
          <cell r="A2026" t="str">
            <v>25102</v>
          </cell>
        </row>
        <row r="2027">
          <cell r="A2027" t="str">
            <v>25103</v>
          </cell>
        </row>
        <row r="2028">
          <cell r="A2028" t="str">
            <v>25104</v>
          </cell>
        </row>
        <row r="2029">
          <cell r="A2029" t="str">
            <v>25119</v>
          </cell>
        </row>
        <row r="2030">
          <cell r="A2030" t="str">
            <v>11290</v>
          </cell>
        </row>
        <row r="2031">
          <cell r="A2031" t="str">
            <v>11360</v>
          </cell>
        </row>
        <row r="2032">
          <cell r="A2032" t="str">
            <v>21733</v>
          </cell>
        </row>
        <row r="2033">
          <cell r="A2033" t="str">
            <v>24227</v>
          </cell>
        </row>
        <row r="2034">
          <cell r="A2034" t="str">
            <v>11515</v>
          </cell>
        </row>
        <row r="2035">
          <cell r="A2035" t="str">
            <v>25318</v>
          </cell>
        </row>
        <row r="2036">
          <cell r="A2036" t="str">
            <v>25320</v>
          </cell>
        </row>
        <row r="2037">
          <cell r="A2037" t="str">
            <v>11164</v>
          </cell>
        </row>
        <row r="2038">
          <cell r="A2038" t="str">
            <v>25322</v>
          </cell>
        </row>
        <row r="2039">
          <cell r="A2039" t="str">
            <v>25323</v>
          </cell>
        </row>
        <row r="2040">
          <cell r="A2040" t="str">
            <v>11112</v>
          </cell>
        </row>
        <row r="2041">
          <cell r="A2041" t="str">
            <v>11114</v>
          </cell>
        </row>
        <row r="2042">
          <cell r="A2042" t="str">
            <v>20230</v>
          </cell>
        </row>
        <row r="2043">
          <cell r="A2043" t="str">
            <v>25027</v>
          </cell>
        </row>
        <row r="2044">
          <cell r="A2044" t="str">
            <v>22926</v>
          </cell>
        </row>
        <row r="2045">
          <cell r="A2045" t="str">
            <v>22928</v>
          </cell>
        </row>
        <row r="2046">
          <cell r="A2046" t="str">
            <v>25022</v>
          </cell>
        </row>
        <row r="2047">
          <cell r="A2047" t="str">
            <v>11111</v>
          </cell>
        </row>
        <row r="2048">
          <cell r="A2048" t="str">
            <v>20256</v>
          </cell>
        </row>
        <row r="2049">
          <cell r="A2049" t="str">
            <v>20257</v>
          </cell>
        </row>
        <row r="2050">
          <cell r="A2050" t="str">
            <v>20263</v>
          </cell>
        </row>
        <row r="2051">
          <cell r="A2051" t="str">
            <v>20264</v>
          </cell>
        </row>
        <row r="2052">
          <cell r="A2052" t="str">
            <v>20265</v>
          </cell>
        </row>
        <row r="2053">
          <cell r="A2053" t="str">
            <v>20266</v>
          </cell>
        </row>
        <row r="2054">
          <cell r="A2054" t="str">
            <v>20267</v>
          </cell>
        </row>
        <row r="2055">
          <cell r="A2055" t="str">
            <v>23348</v>
          </cell>
        </row>
        <row r="2056">
          <cell r="A2056" t="str">
            <v>23349</v>
          </cell>
        </row>
        <row r="2057">
          <cell r="A2057" t="str">
            <v>23362</v>
          </cell>
        </row>
        <row r="2058">
          <cell r="A2058" t="str">
            <v>23363</v>
          </cell>
        </row>
        <row r="2059">
          <cell r="A2059" t="str">
            <v>23378</v>
          </cell>
        </row>
        <row r="2060">
          <cell r="A2060" t="str">
            <v>23385</v>
          </cell>
        </row>
        <row r="2061">
          <cell r="A2061" t="str">
            <v>23386</v>
          </cell>
        </row>
        <row r="2062">
          <cell r="A2062" t="str">
            <v>23400</v>
          </cell>
        </row>
        <row r="2063">
          <cell r="A2063" t="str">
            <v>23403</v>
          </cell>
        </row>
        <row r="2064">
          <cell r="A2064" t="str">
            <v>23414</v>
          </cell>
        </row>
        <row r="2065">
          <cell r="A2065" t="str">
            <v>23415</v>
          </cell>
        </row>
        <row r="2066">
          <cell r="A2066" t="str">
            <v>23423</v>
          </cell>
        </row>
        <row r="2067">
          <cell r="A2067" t="str">
            <v>23424</v>
          </cell>
        </row>
        <row r="2068">
          <cell r="A2068" t="str">
            <v>23442</v>
          </cell>
        </row>
        <row r="2069">
          <cell r="A2069" t="str">
            <v>23455</v>
          </cell>
        </row>
        <row r="2070">
          <cell r="A2070" t="str">
            <v>23469</v>
          </cell>
        </row>
        <row r="2071">
          <cell r="A2071" t="str">
            <v>23480</v>
          </cell>
        </row>
        <row r="2072">
          <cell r="A2072" t="str">
            <v>23481</v>
          </cell>
        </row>
        <row r="2073">
          <cell r="A2073" t="str">
            <v>23515</v>
          </cell>
        </row>
        <row r="2074">
          <cell r="A2074" t="str">
            <v>23516</v>
          </cell>
        </row>
        <row r="2075">
          <cell r="A2075" t="str">
            <v>23517</v>
          </cell>
        </row>
        <row r="2076">
          <cell r="A2076" t="str">
            <v>23524</v>
          </cell>
        </row>
        <row r="2077">
          <cell r="A2077" t="str">
            <v>23526</v>
          </cell>
        </row>
        <row r="2078">
          <cell r="A2078" t="str">
            <v>23529</v>
          </cell>
        </row>
        <row r="2079">
          <cell r="A2079" t="str">
            <v>23531</v>
          </cell>
        </row>
        <row r="2080">
          <cell r="A2080" t="str">
            <v>23534</v>
          </cell>
        </row>
        <row r="2081">
          <cell r="A2081" t="str">
            <v>23549</v>
          </cell>
        </row>
        <row r="2082">
          <cell r="A2082" t="str">
            <v>23552</v>
          </cell>
        </row>
        <row r="2083">
          <cell r="A2083" t="str">
            <v>23565</v>
          </cell>
        </row>
        <row r="2084">
          <cell r="A2084" t="str">
            <v>23566</v>
          </cell>
        </row>
        <row r="2085">
          <cell r="A2085" t="str">
            <v>23582</v>
          </cell>
        </row>
        <row r="2086">
          <cell r="A2086" t="str">
            <v>23583</v>
          </cell>
        </row>
        <row r="2087">
          <cell r="A2087" t="str">
            <v>23605</v>
          </cell>
        </row>
        <row r="2088">
          <cell r="A2088" t="str">
            <v>23610</v>
          </cell>
        </row>
        <row r="2089">
          <cell r="A2089" t="str">
            <v>23611</v>
          </cell>
        </row>
        <row r="2090">
          <cell r="A2090" t="str">
            <v>23620</v>
          </cell>
        </row>
        <row r="2091">
          <cell r="A2091" t="str">
            <v>23625</v>
          </cell>
        </row>
        <row r="2092">
          <cell r="A2092" t="str">
            <v>23626</v>
          </cell>
        </row>
        <row r="2093">
          <cell r="A2093" t="str">
            <v>23630</v>
          </cell>
        </row>
        <row r="2094">
          <cell r="A2094" t="str">
            <v>23633</v>
          </cell>
        </row>
        <row r="2095">
          <cell r="A2095" t="str">
            <v>23634</v>
          </cell>
        </row>
        <row r="2096">
          <cell r="A2096" t="str">
            <v>23635</v>
          </cell>
        </row>
        <row r="2097">
          <cell r="A2097" t="str">
            <v>23672</v>
          </cell>
        </row>
        <row r="2098">
          <cell r="A2098" t="str">
            <v>23680</v>
          </cell>
        </row>
        <row r="2099">
          <cell r="A2099" t="str">
            <v>23681</v>
          </cell>
        </row>
        <row r="2100">
          <cell r="A2100" t="str">
            <v>23682</v>
          </cell>
        </row>
        <row r="2101">
          <cell r="A2101" t="str">
            <v>23684</v>
          </cell>
        </row>
        <row r="2102">
          <cell r="A2102" t="str">
            <v>23712</v>
          </cell>
        </row>
        <row r="2103">
          <cell r="A2103" t="str">
            <v>23713</v>
          </cell>
        </row>
        <row r="2104">
          <cell r="A2104" t="str">
            <v>23720</v>
          </cell>
        </row>
        <row r="2105">
          <cell r="A2105" t="str">
            <v>23725</v>
          </cell>
        </row>
        <row r="2106">
          <cell r="A2106" t="str">
            <v>23726</v>
          </cell>
        </row>
        <row r="2107">
          <cell r="A2107" t="str">
            <v>23728</v>
          </cell>
        </row>
        <row r="2108">
          <cell r="A2108" t="str">
            <v>23767</v>
          </cell>
        </row>
        <row r="2109">
          <cell r="A2109" t="str">
            <v>23770</v>
          </cell>
        </row>
        <row r="2110">
          <cell r="A2110" t="str">
            <v>23775</v>
          </cell>
        </row>
        <row r="2111">
          <cell r="A2111" t="str">
            <v>23776</v>
          </cell>
        </row>
        <row r="2112">
          <cell r="A2112" t="str">
            <v>23822</v>
          </cell>
        </row>
        <row r="2113">
          <cell r="A2113" t="str">
            <v>23878</v>
          </cell>
        </row>
        <row r="2114">
          <cell r="A2114" t="str">
            <v>23881</v>
          </cell>
        </row>
        <row r="2115">
          <cell r="A2115" t="str">
            <v>23882</v>
          </cell>
        </row>
        <row r="2116">
          <cell r="A2116" t="str">
            <v>23894</v>
          </cell>
        </row>
        <row r="2117">
          <cell r="A2117" t="str">
            <v>23913</v>
          </cell>
        </row>
        <row r="2118">
          <cell r="A2118" t="str">
            <v>23941</v>
          </cell>
        </row>
        <row r="2119">
          <cell r="A2119" t="str">
            <v>23942</v>
          </cell>
        </row>
        <row r="2120">
          <cell r="A2120" t="str">
            <v>23943</v>
          </cell>
        </row>
        <row r="2121">
          <cell r="A2121" t="str">
            <v>23944</v>
          </cell>
        </row>
        <row r="2122">
          <cell r="A2122" t="str">
            <v>23952</v>
          </cell>
        </row>
        <row r="2123">
          <cell r="A2123" t="str">
            <v>23954</v>
          </cell>
        </row>
        <row r="2124">
          <cell r="A2124" t="str">
            <v>23956</v>
          </cell>
        </row>
        <row r="2125">
          <cell r="A2125" t="str">
            <v>23959</v>
          </cell>
        </row>
        <row r="2126">
          <cell r="A2126" t="str">
            <v>23961</v>
          </cell>
        </row>
        <row r="2127">
          <cell r="A2127" t="str">
            <v>23973</v>
          </cell>
        </row>
        <row r="2128">
          <cell r="A2128" t="str">
            <v>23974</v>
          </cell>
        </row>
        <row r="2129">
          <cell r="A2129" t="str">
            <v>24005</v>
          </cell>
        </row>
        <row r="2130">
          <cell r="A2130" t="str">
            <v>25085</v>
          </cell>
        </row>
        <row r="2131">
          <cell r="A2131" t="str">
            <v>25086</v>
          </cell>
        </row>
        <row r="2132">
          <cell r="A2132" t="str">
            <v>25201</v>
          </cell>
        </row>
        <row r="2133">
          <cell r="A2133" t="str">
            <v>25202</v>
          </cell>
        </row>
        <row r="2134">
          <cell r="A2134" t="str">
            <v>25203</v>
          </cell>
        </row>
        <row r="2135">
          <cell r="A2135" t="str">
            <v>25206</v>
          </cell>
        </row>
        <row r="2136">
          <cell r="A2136" t="str">
            <v>25207</v>
          </cell>
        </row>
        <row r="2137">
          <cell r="A2137" t="str">
            <v>25208</v>
          </cell>
        </row>
        <row r="2138">
          <cell r="A2138" t="str">
            <v>25209</v>
          </cell>
        </row>
        <row r="2139">
          <cell r="A2139" t="str">
            <v>25212</v>
          </cell>
        </row>
        <row r="2140">
          <cell r="A2140" t="str">
            <v>25213</v>
          </cell>
        </row>
        <row r="2141">
          <cell r="A2141" t="str">
            <v>25214</v>
          </cell>
        </row>
        <row r="2142">
          <cell r="A2142" t="str">
            <v>25215</v>
          </cell>
        </row>
        <row r="2143">
          <cell r="A2143" t="str">
            <v>25217</v>
          </cell>
        </row>
        <row r="2144">
          <cell r="A2144" t="str">
            <v>25218</v>
          </cell>
        </row>
        <row r="2145">
          <cell r="A2145" t="str">
            <v>25219</v>
          </cell>
        </row>
        <row r="2146">
          <cell r="A2146" t="str">
            <v>24014</v>
          </cell>
        </row>
        <row r="2147">
          <cell r="A2147" t="str">
            <v>24018</v>
          </cell>
        </row>
        <row r="2148">
          <cell r="A2148" t="str">
            <v>25222</v>
          </cell>
        </row>
        <row r="2149">
          <cell r="A2149" t="str">
            <v>25223</v>
          </cell>
        </row>
        <row r="2150">
          <cell r="A2150" t="str">
            <v>24048</v>
          </cell>
        </row>
        <row r="2151">
          <cell r="A2151" t="str">
            <v>24050</v>
          </cell>
        </row>
        <row r="2152">
          <cell r="A2152" t="str">
            <v>25225</v>
          </cell>
        </row>
        <row r="2153">
          <cell r="A2153" t="str">
            <v>25226</v>
          </cell>
        </row>
        <row r="2154">
          <cell r="A2154" t="str">
            <v>25228</v>
          </cell>
        </row>
        <row r="2155">
          <cell r="A2155" t="str">
            <v>25229</v>
          </cell>
        </row>
        <row r="2156">
          <cell r="A2156" t="str">
            <v>25230</v>
          </cell>
        </row>
        <row r="2157">
          <cell r="A2157" t="str">
            <v>25231</v>
          </cell>
        </row>
        <row r="2158">
          <cell r="A2158" t="str">
            <v>25232</v>
          </cell>
        </row>
        <row r="2159">
          <cell r="A2159" t="str">
            <v>25233</v>
          </cell>
        </row>
        <row r="2160">
          <cell r="A2160" t="str">
            <v>24074</v>
          </cell>
        </row>
        <row r="2161">
          <cell r="A2161" t="str">
            <v>24076</v>
          </cell>
        </row>
        <row r="2162">
          <cell r="A2162" t="str">
            <v>24080</v>
          </cell>
        </row>
        <row r="2163">
          <cell r="A2163" t="str">
            <v>24081</v>
          </cell>
        </row>
        <row r="2164">
          <cell r="A2164" t="str">
            <v>25235</v>
          </cell>
        </row>
        <row r="2165">
          <cell r="A2165" t="str">
            <v>25236</v>
          </cell>
        </row>
        <row r="2166">
          <cell r="A2166" t="str">
            <v>25237</v>
          </cell>
        </row>
        <row r="2167">
          <cell r="A2167" t="str">
            <v>25238</v>
          </cell>
        </row>
        <row r="2168">
          <cell r="A2168" t="str">
            <v>25239</v>
          </cell>
        </row>
        <row r="2169">
          <cell r="A2169" t="str">
            <v>25240</v>
          </cell>
        </row>
        <row r="2170">
          <cell r="A2170" t="str">
            <v>24083</v>
          </cell>
        </row>
        <row r="2171">
          <cell r="A2171" t="str">
            <v>24084</v>
          </cell>
        </row>
        <row r="2172">
          <cell r="A2172" t="str">
            <v>24085</v>
          </cell>
        </row>
        <row r="2173">
          <cell r="A2173" t="str">
            <v>24086</v>
          </cell>
        </row>
        <row r="2174">
          <cell r="A2174" t="str">
            <v>25241</v>
          </cell>
        </row>
        <row r="2175">
          <cell r="A2175" t="str">
            <v>25242</v>
          </cell>
        </row>
        <row r="2176">
          <cell r="A2176" t="str">
            <v>24090</v>
          </cell>
        </row>
        <row r="2177">
          <cell r="A2177" t="str">
            <v>24097</v>
          </cell>
        </row>
        <row r="2178">
          <cell r="A2178" t="str">
            <v>24098</v>
          </cell>
        </row>
        <row r="2179">
          <cell r="A2179" t="str">
            <v>24099</v>
          </cell>
        </row>
        <row r="2180">
          <cell r="A2180" t="str">
            <v>24400</v>
          </cell>
        </row>
        <row r="2181">
          <cell r="A2181" t="str">
            <v>25243</v>
          </cell>
        </row>
        <row r="2182">
          <cell r="A2182" t="str">
            <v>24408</v>
          </cell>
        </row>
        <row r="2183">
          <cell r="A2183" t="str">
            <v>25244</v>
          </cell>
        </row>
        <row r="2184">
          <cell r="A2184" t="str">
            <v>24438</v>
          </cell>
        </row>
        <row r="2185">
          <cell r="A2185" t="str">
            <v>25247</v>
          </cell>
        </row>
        <row r="2186">
          <cell r="A2186" t="str">
            <v>25250</v>
          </cell>
        </row>
        <row r="2187">
          <cell r="A2187" t="str">
            <v>24466</v>
          </cell>
        </row>
        <row r="2188">
          <cell r="A2188" t="str">
            <v>24474</v>
          </cell>
        </row>
        <row r="2189">
          <cell r="A2189" t="str">
            <v>24494</v>
          </cell>
        </row>
        <row r="2190">
          <cell r="A2190" t="str">
            <v>24498</v>
          </cell>
        </row>
        <row r="2191">
          <cell r="A2191" t="str">
            <v>25253</v>
          </cell>
        </row>
        <row r="2192">
          <cell r="A2192" t="str">
            <v>25254</v>
          </cell>
        </row>
        <row r="2193">
          <cell r="A2193" t="str">
            <v>25255</v>
          </cell>
        </row>
        <row r="2194">
          <cell r="A2194" t="str">
            <v>25256</v>
          </cell>
        </row>
        <row r="2195">
          <cell r="A2195" t="str">
            <v>25257</v>
          </cell>
        </row>
        <row r="2196">
          <cell r="A2196" t="str">
            <v>24554</v>
          </cell>
        </row>
        <row r="2197">
          <cell r="A2197" t="str">
            <v>25264</v>
          </cell>
        </row>
        <row r="2198">
          <cell r="A2198" t="str">
            <v>25265</v>
          </cell>
        </row>
        <row r="2199">
          <cell r="A2199" t="str">
            <v>25266</v>
          </cell>
        </row>
        <row r="2200">
          <cell r="A2200" t="str">
            <v>25267</v>
          </cell>
        </row>
        <row r="2201">
          <cell r="A2201" t="str">
            <v>25268</v>
          </cell>
        </row>
        <row r="2202">
          <cell r="A2202" t="str">
            <v>25269</v>
          </cell>
        </row>
        <row r="2203">
          <cell r="A2203" t="str">
            <v>25270</v>
          </cell>
        </row>
        <row r="2204">
          <cell r="A2204" t="str">
            <v>25271</v>
          </cell>
        </row>
        <row r="2205">
          <cell r="A2205" t="str">
            <v>25272</v>
          </cell>
        </row>
        <row r="2206">
          <cell r="A2206" t="str">
            <v>24570</v>
          </cell>
        </row>
        <row r="2207">
          <cell r="A2207" t="str">
            <v>24571</v>
          </cell>
        </row>
        <row r="2208">
          <cell r="A2208" t="str">
            <v>24572</v>
          </cell>
        </row>
        <row r="2209">
          <cell r="A2209" t="str">
            <v>24573</v>
          </cell>
        </row>
        <row r="2210">
          <cell r="A2210" t="str">
            <v>24574</v>
          </cell>
        </row>
        <row r="2211">
          <cell r="A2211" t="str">
            <v>24581</v>
          </cell>
        </row>
        <row r="2212">
          <cell r="A2212" t="str">
            <v>20258</v>
          </cell>
        </row>
        <row r="2213">
          <cell r="A2213" t="str">
            <v>20259</v>
          </cell>
        </row>
        <row r="2214">
          <cell r="A2214" t="str">
            <v>23410</v>
          </cell>
        </row>
        <row r="2215">
          <cell r="A2215" t="str">
            <v>11019</v>
          </cell>
        </row>
        <row r="2216">
          <cell r="A2216" t="str">
            <v>11023</v>
          </cell>
        </row>
        <row r="2217">
          <cell r="A2217" t="str">
            <v>11026</v>
          </cell>
        </row>
        <row r="2218">
          <cell r="A2218" t="str">
            <v>11027</v>
          </cell>
        </row>
        <row r="2219">
          <cell r="A2219" t="str">
            <v>23599</v>
          </cell>
        </row>
        <row r="2220">
          <cell r="A2220" t="str">
            <v>23600</v>
          </cell>
        </row>
        <row r="2221">
          <cell r="A2221" t="str">
            <v>23601</v>
          </cell>
        </row>
        <row r="2222">
          <cell r="A2222" t="str">
            <v>23602</v>
          </cell>
        </row>
        <row r="2223">
          <cell r="A2223" t="str">
            <v>11149</v>
          </cell>
        </row>
        <row r="2224">
          <cell r="A2224" t="str">
            <v>25125</v>
          </cell>
        </row>
        <row r="2225">
          <cell r="A2225" t="str">
            <v>25126</v>
          </cell>
        </row>
        <row r="2226">
          <cell r="A2226" t="str">
            <v>25128</v>
          </cell>
        </row>
        <row r="2227">
          <cell r="A2227" t="str">
            <v>25130</v>
          </cell>
        </row>
        <row r="2228">
          <cell r="A2228" t="str">
            <v>25133</v>
          </cell>
        </row>
        <row r="2229">
          <cell r="A2229" t="str">
            <v>11153</v>
          </cell>
        </row>
        <row r="2230">
          <cell r="A2230" t="str">
            <v>11154</v>
          </cell>
        </row>
        <row r="2231">
          <cell r="A2231" t="str">
            <v>11266</v>
          </cell>
        </row>
        <row r="2232">
          <cell r="A2232" t="str">
            <v>11267</v>
          </cell>
        </row>
        <row r="2233">
          <cell r="A2233" t="str">
            <v>11270</v>
          </cell>
        </row>
        <row r="2234">
          <cell r="A2234" t="str">
            <v>11276</v>
          </cell>
        </row>
        <row r="2235">
          <cell r="A2235" t="str">
            <v>11333</v>
          </cell>
        </row>
        <row r="2236">
          <cell r="A2236" t="str">
            <v>11352</v>
          </cell>
        </row>
        <row r="2237">
          <cell r="A2237" t="str">
            <v>11353</v>
          </cell>
        </row>
        <row r="2238">
          <cell r="A2238" t="str">
            <v>11009</v>
          </cell>
        </row>
        <row r="2239">
          <cell r="A2239" t="str">
            <v>11052</v>
          </cell>
        </row>
        <row r="2240">
          <cell r="A2240" t="str">
            <v>11277</v>
          </cell>
        </row>
        <row r="2241">
          <cell r="A2241" t="str">
            <v>10114</v>
          </cell>
        </row>
        <row r="2242">
          <cell r="A2242" t="str">
            <v>10129</v>
          </cell>
        </row>
        <row r="2243">
          <cell r="A2243" t="str">
            <v>10130</v>
          </cell>
        </row>
        <row r="2244">
          <cell r="A2244" t="str">
            <v>10131</v>
          </cell>
        </row>
        <row r="2245">
          <cell r="A2245" t="str">
            <v>10138</v>
          </cell>
        </row>
        <row r="2246">
          <cell r="A2246" t="str">
            <v>10143</v>
          </cell>
        </row>
        <row r="2247">
          <cell r="A2247" t="str">
            <v>10177</v>
          </cell>
        </row>
        <row r="2248">
          <cell r="A2248" t="str">
            <v>10208</v>
          </cell>
        </row>
        <row r="2249">
          <cell r="A2249" t="str">
            <v>10214</v>
          </cell>
        </row>
        <row r="2250">
          <cell r="A2250" t="str">
            <v>10216</v>
          </cell>
        </row>
        <row r="2251">
          <cell r="A2251" t="str">
            <v>10218</v>
          </cell>
        </row>
        <row r="2252">
          <cell r="A2252" t="str">
            <v>10225</v>
          </cell>
        </row>
        <row r="2253">
          <cell r="A2253" t="str">
            <v>10226</v>
          </cell>
        </row>
        <row r="2254">
          <cell r="A2254" t="str">
            <v>10227</v>
          </cell>
        </row>
        <row r="2255">
          <cell r="A2255" t="str">
            <v>10228</v>
          </cell>
        </row>
        <row r="2256">
          <cell r="A2256" t="str">
            <v>10229</v>
          </cell>
        </row>
        <row r="2257">
          <cell r="A2257" t="str">
            <v>10231</v>
          </cell>
        </row>
        <row r="2258">
          <cell r="A2258" t="str">
            <v>10232</v>
          </cell>
        </row>
        <row r="2259">
          <cell r="A2259" t="str">
            <v>10233</v>
          </cell>
        </row>
        <row r="2260">
          <cell r="A2260" t="str">
            <v>10236</v>
          </cell>
        </row>
        <row r="2261">
          <cell r="A2261" t="str">
            <v>10237</v>
          </cell>
        </row>
        <row r="2262">
          <cell r="A2262" t="str">
            <v>10238</v>
          </cell>
        </row>
        <row r="2263">
          <cell r="A2263" t="str">
            <v>10239</v>
          </cell>
        </row>
        <row r="2264">
          <cell r="A2264" t="str">
            <v>10241</v>
          </cell>
        </row>
        <row r="2265">
          <cell r="A2265" t="str">
            <v>10242</v>
          </cell>
        </row>
        <row r="2266">
          <cell r="A2266" t="str">
            <v>10243</v>
          </cell>
        </row>
        <row r="2267">
          <cell r="A2267" t="str">
            <v>10244</v>
          </cell>
        </row>
        <row r="2268">
          <cell r="A2268" t="str">
            <v>10245</v>
          </cell>
        </row>
        <row r="2269">
          <cell r="A2269" t="str">
            <v>10246</v>
          </cell>
        </row>
        <row r="2270">
          <cell r="A2270" t="str">
            <v>10247</v>
          </cell>
        </row>
        <row r="2271">
          <cell r="A2271" t="str">
            <v>10249</v>
          </cell>
        </row>
        <row r="2272">
          <cell r="A2272" t="str">
            <v>10320</v>
          </cell>
        </row>
        <row r="2273">
          <cell r="A2273" t="str">
            <v>10321</v>
          </cell>
        </row>
        <row r="2274">
          <cell r="A2274" t="str">
            <v>10323</v>
          </cell>
        </row>
        <row r="2275">
          <cell r="A2275" t="str">
            <v>10325</v>
          </cell>
        </row>
        <row r="2276">
          <cell r="A2276" t="str">
            <v>10326</v>
          </cell>
        </row>
        <row r="2277">
          <cell r="A2277" t="str">
            <v>10328</v>
          </cell>
        </row>
        <row r="2278">
          <cell r="A2278" t="str">
            <v>10330</v>
          </cell>
        </row>
        <row r="2279">
          <cell r="A2279" t="str">
            <v>10331</v>
          </cell>
        </row>
        <row r="2280">
          <cell r="A2280" t="str">
            <v>10332</v>
          </cell>
        </row>
        <row r="2281">
          <cell r="A2281" t="str">
            <v>10333</v>
          </cell>
        </row>
        <row r="2282">
          <cell r="A2282" t="str">
            <v>10334</v>
          </cell>
        </row>
        <row r="2283">
          <cell r="A2283" t="str">
            <v>10335</v>
          </cell>
        </row>
        <row r="2284">
          <cell r="A2284" t="str">
            <v>10336</v>
          </cell>
        </row>
        <row r="2285">
          <cell r="A2285" t="str">
            <v>10337</v>
          </cell>
        </row>
        <row r="2286">
          <cell r="A2286" t="str">
            <v>10460</v>
          </cell>
        </row>
        <row r="2287">
          <cell r="A2287" t="str">
            <v>10463</v>
          </cell>
        </row>
        <row r="2288">
          <cell r="A2288" t="str">
            <v>10467</v>
          </cell>
        </row>
        <row r="2289">
          <cell r="A2289" t="str">
            <v>10468</v>
          </cell>
        </row>
        <row r="2290">
          <cell r="A2290" t="str">
            <v>10471</v>
          </cell>
        </row>
        <row r="2291">
          <cell r="A2291" t="str">
            <v>10472</v>
          </cell>
        </row>
        <row r="2292">
          <cell r="A2292" t="str">
            <v>10473</v>
          </cell>
        </row>
        <row r="2293">
          <cell r="A2293" t="str">
            <v>10474</v>
          </cell>
        </row>
        <row r="2294">
          <cell r="A2294" t="str">
            <v>10475</v>
          </cell>
        </row>
        <row r="2295">
          <cell r="A2295" t="str">
            <v>10478</v>
          </cell>
        </row>
        <row r="2296">
          <cell r="A2296" t="str">
            <v>10479</v>
          </cell>
        </row>
        <row r="2297">
          <cell r="A2297" t="str">
            <v>10480</v>
          </cell>
        </row>
        <row r="2298">
          <cell r="A2298" t="str">
            <v>10481</v>
          </cell>
        </row>
        <row r="2299">
          <cell r="A2299" t="str">
            <v>10484</v>
          </cell>
        </row>
        <row r="2300">
          <cell r="A2300" t="str">
            <v>10485</v>
          </cell>
        </row>
        <row r="2301">
          <cell r="A2301" t="str">
            <v>10486</v>
          </cell>
        </row>
        <row r="2302">
          <cell r="A2302" t="str">
            <v>10487</v>
          </cell>
        </row>
        <row r="2303">
          <cell r="A2303" t="str">
            <v>10488</v>
          </cell>
        </row>
        <row r="2304">
          <cell r="A2304" t="str">
            <v>10489</v>
          </cell>
        </row>
        <row r="2305">
          <cell r="A2305" t="str">
            <v>10491</v>
          </cell>
        </row>
        <row r="2306">
          <cell r="A2306" t="str">
            <v>10492</v>
          </cell>
        </row>
        <row r="2307">
          <cell r="A2307" t="str">
            <v>10493</v>
          </cell>
        </row>
        <row r="2308">
          <cell r="A2308" t="str">
            <v>10494</v>
          </cell>
        </row>
        <row r="2309">
          <cell r="A2309" t="str">
            <v>10495</v>
          </cell>
        </row>
        <row r="2310">
          <cell r="A2310" t="str">
            <v>10496</v>
          </cell>
        </row>
        <row r="2311">
          <cell r="A2311" t="str">
            <v>10511</v>
          </cell>
        </row>
        <row r="2312">
          <cell r="A2312" t="str">
            <v>10515</v>
          </cell>
        </row>
        <row r="2313">
          <cell r="A2313" t="str">
            <v>10517</v>
          </cell>
        </row>
        <row r="2314">
          <cell r="A2314" t="str">
            <v>10519</v>
          </cell>
        </row>
        <row r="2315">
          <cell r="A2315" t="str">
            <v>10520</v>
          </cell>
        </row>
        <row r="2316">
          <cell r="A2316" t="str">
            <v>10709</v>
          </cell>
        </row>
        <row r="2317">
          <cell r="A2317" t="str">
            <v>10710</v>
          </cell>
        </row>
        <row r="2318">
          <cell r="A2318" t="str">
            <v>10712</v>
          </cell>
        </row>
        <row r="2319">
          <cell r="A2319" t="str">
            <v>10713</v>
          </cell>
        </row>
        <row r="2320">
          <cell r="A2320" t="str">
            <v>10716</v>
          </cell>
        </row>
        <row r="2321">
          <cell r="A2321" t="str">
            <v>10717</v>
          </cell>
        </row>
        <row r="2322">
          <cell r="A2322" t="str">
            <v>10718</v>
          </cell>
        </row>
        <row r="2323">
          <cell r="A2323" t="str">
            <v>10719</v>
          </cell>
        </row>
        <row r="2324">
          <cell r="A2324" t="str">
            <v>10720</v>
          </cell>
        </row>
        <row r="2325">
          <cell r="A2325" t="str">
            <v>10721</v>
          </cell>
        </row>
        <row r="2326">
          <cell r="A2326" t="str">
            <v>10722</v>
          </cell>
        </row>
        <row r="2327">
          <cell r="A2327" t="str">
            <v>10723</v>
          </cell>
        </row>
        <row r="2328">
          <cell r="A2328" t="str">
            <v>10726</v>
          </cell>
        </row>
        <row r="2329">
          <cell r="A2329" t="str">
            <v>10727</v>
          </cell>
        </row>
        <row r="2330">
          <cell r="A2330" t="str">
            <v>10728</v>
          </cell>
        </row>
        <row r="2331">
          <cell r="A2331" t="str">
            <v>10729</v>
          </cell>
        </row>
        <row r="2332">
          <cell r="A2332" t="str">
            <v>10730</v>
          </cell>
        </row>
        <row r="2333">
          <cell r="A2333" t="str">
            <v>10731</v>
          </cell>
        </row>
        <row r="2334">
          <cell r="A2334" t="str">
            <v>10732</v>
          </cell>
        </row>
        <row r="2335">
          <cell r="A2335" t="str">
            <v>10733</v>
          </cell>
        </row>
        <row r="2336">
          <cell r="A2336" t="str">
            <v>10734</v>
          </cell>
        </row>
        <row r="2337">
          <cell r="A2337" t="str">
            <v>10745</v>
          </cell>
        </row>
        <row r="2338">
          <cell r="A2338" t="str">
            <v>10808</v>
          </cell>
        </row>
        <row r="2339">
          <cell r="A2339" t="str">
            <v>10911</v>
          </cell>
        </row>
        <row r="2340">
          <cell r="A2340" t="str">
            <v>10920</v>
          </cell>
        </row>
        <row r="2341">
          <cell r="A2341" t="str">
            <v>10925</v>
          </cell>
        </row>
        <row r="2342">
          <cell r="A2342" t="str">
            <v>11508</v>
          </cell>
        </row>
        <row r="2343">
          <cell r="A2343" t="str">
            <v>25081</v>
          </cell>
        </row>
        <row r="2344">
          <cell r="A2344" t="str">
            <v>25088</v>
          </cell>
        </row>
        <row r="2345">
          <cell r="A2345" t="str">
            <v>25100</v>
          </cell>
        </row>
        <row r="2346">
          <cell r="A2346" t="str">
            <v>11530</v>
          </cell>
        </row>
        <row r="2347">
          <cell r="A2347" t="str">
            <v>10934</v>
          </cell>
        </row>
        <row r="2348">
          <cell r="A2348" t="str">
            <v>10945</v>
          </cell>
        </row>
        <row r="2349">
          <cell r="A2349" t="str">
            <v>10946</v>
          </cell>
        </row>
        <row r="2350">
          <cell r="A2350" t="str">
            <v>10947</v>
          </cell>
        </row>
        <row r="2351">
          <cell r="A2351" t="str">
            <v>10948</v>
          </cell>
        </row>
        <row r="2352">
          <cell r="A2352" t="str">
            <v>10954</v>
          </cell>
        </row>
        <row r="2353">
          <cell r="A2353" t="str">
            <v>10924</v>
          </cell>
        </row>
        <row r="2354">
          <cell r="A2354" t="str">
            <v>10953</v>
          </cell>
        </row>
        <row r="2355">
          <cell r="A2355" t="str">
            <v>10981</v>
          </cell>
        </row>
        <row r="2356">
          <cell r="A2356" t="str">
            <v>25078</v>
          </cell>
        </row>
        <row r="2357">
          <cell r="A2357" t="str">
            <v>25080</v>
          </cell>
        </row>
        <row r="2358">
          <cell r="A2358" t="str">
            <v>25083</v>
          </cell>
        </row>
        <row r="2359">
          <cell r="A2359" t="str">
            <v>25093</v>
          </cell>
        </row>
        <row r="2360">
          <cell r="A2360" t="str">
            <v>25105</v>
          </cell>
        </row>
        <row r="2361">
          <cell r="A2361" t="str">
            <v>25106</v>
          </cell>
        </row>
        <row r="2362">
          <cell r="A2362" t="str">
            <v>10950</v>
          </cell>
        </row>
        <row r="2363">
          <cell r="A2363" t="str">
            <v>10165</v>
          </cell>
        </row>
        <row r="2364">
          <cell r="A2364" t="str">
            <v>10969</v>
          </cell>
        </row>
        <row r="2365">
          <cell r="A2365" t="str">
            <v>11037</v>
          </cell>
        </row>
        <row r="2366">
          <cell r="A2366" t="str">
            <v>21455</v>
          </cell>
        </row>
        <row r="2367">
          <cell r="A2367" t="str">
            <v>21456</v>
          </cell>
        </row>
        <row r="2368">
          <cell r="A2368" t="str">
            <v>21463</v>
          </cell>
        </row>
        <row r="2369">
          <cell r="A2369" t="str">
            <v>21464</v>
          </cell>
        </row>
        <row r="2370">
          <cell r="A2370" t="str">
            <v>21465</v>
          </cell>
        </row>
        <row r="2371">
          <cell r="A2371" t="str">
            <v>21483</v>
          </cell>
        </row>
        <row r="2372">
          <cell r="A2372" t="str">
            <v>21492</v>
          </cell>
        </row>
        <row r="2373">
          <cell r="A2373" t="str">
            <v>21500</v>
          </cell>
        </row>
        <row r="2374">
          <cell r="A2374" t="str">
            <v>21513</v>
          </cell>
        </row>
        <row r="2375">
          <cell r="A2375" t="str">
            <v>21519</v>
          </cell>
        </row>
        <row r="2376">
          <cell r="A2376" t="str">
            <v>21520</v>
          </cell>
        </row>
        <row r="2377">
          <cell r="A2377" t="str">
            <v>21521</v>
          </cell>
        </row>
        <row r="2378">
          <cell r="A2378" t="str">
            <v>21567</v>
          </cell>
        </row>
        <row r="2379">
          <cell r="A2379" t="str">
            <v>21581</v>
          </cell>
        </row>
        <row r="2380">
          <cell r="A2380" t="str">
            <v>21582</v>
          </cell>
        </row>
        <row r="2381">
          <cell r="A2381" t="str">
            <v>21599</v>
          </cell>
        </row>
        <row r="2382">
          <cell r="A2382" t="str">
            <v>24143</v>
          </cell>
        </row>
        <row r="2383">
          <cell r="A2383" t="str">
            <v>11261</v>
          </cell>
        </row>
        <row r="2384">
          <cell r="A2384" t="str">
            <v>11262</v>
          </cell>
        </row>
        <row r="2385">
          <cell r="A2385" t="str">
            <v>11263</v>
          </cell>
        </row>
        <row r="2386">
          <cell r="A2386" t="str">
            <v>11350</v>
          </cell>
        </row>
        <row r="2387">
          <cell r="A2387" t="str">
            <v>11362</v>
          </cell>
        </row>
        <row r="2388">
          <cell r="A2388" t="str">
            <v>11265</v>
          </cell>
        </row>
        <row r="2389">
          <cell r="A2389" t="str">
            <v>11281</v>
          </cell>
        </row>
        <row r="2390">
          <cell r="A2390" t="str">
            <v>11306</v>
          </cell>
        </row>
        <row r="2391">
          <cell r="A2391" t="str">
            <v>11317</v>
          </cell>
        </row>
        <row r="2392">
          <cell r="A2392" t="str">
            <v>11327</v>
          </cell>
        </row>
        <row r="2393">
          <cell r="A2393" t="str">
            <v>11328</v>
          </cell>
        </row>
        <row r="2394">
          <cell r="A2394" t="str">
            <v>21706</v>
          </cell>
        </row>
        <row r="2395">
          <cell r="A2395" t="str">
            <v>21707</v>
          </cell>
        </row>
        <row r="2396">
          <cell r="A2396" t="str">
            <v>21727</v>
          </cell>
        </row>
        <row r="2397">
          <cell r="A2397" t="str">
            <v>21728</v>
          </cell>
        </row>
        <row r="2398">
          <cell r="A2398" t="str">
            <v>20308</v>
          </cell>
        </row>
        <row r="2399">
          <cell r="A2399" t="str">
            <v>20309</v>
          </cell>
        </row>
        <row r="2400">
          <cell r="A2400" t="str">
            <v>22970</v>
          </cell>
        </row>
        <row r="2401">
          <cell r="A2401" t="str">
            <v>23071</v>
          </cell>
        </row>
        <row r="2402">
          <cell r="A2402" t="str">
            <v>23226</v>
          </cell>
        </row>
        <row r="2403">
          <cell r="A2403" t="str">
            <v>23266</v>
          </cell>
        </row>
        <row r="2404">
          <cell r="A2404" t="str">
            <v>23374</v>
          </cell>
        </row>
        <row r="2405">
          <cell r="A2405" t="str">
            <v>23375</v>
          </cell>
        </row>
        <row r="2406">
          <cell r="A2406" t="str">
            <v>23376</v>
          </cell>
        </row>
        <row r="2407">
          <cell r="A2407" t="str">
            <v>23377</v>
          </cell>
        </row>
        <row r="2408">
          <cell r="A2408" t="str">
            <v>23391</v>
          </cell>
        </row>
        <row r="2409">
          <cell r="A2409" t="str">
            <v>23392</v>
          </cell>
        </row>
        <row r="2410">
          <cell r="A2410" t="str">
            <v>23398</v>
          </cell>
        </row>
        <row r="2411">
          <cell r="A2411" t="str">
            <v>23399</v>
          </cell>
        </row>
        <row r="2412">
          <cell r="A2412" t="str">
            <v>23405</v>
          </cell>
        </row>
        <row r="2413">
          <cell r="A2413" t="str">
            <v>23422</v>
          </cell>
        </row>
        <row r="2414">
          <cell r="A2414" t="str">
            <v>23425</v>
          </cell>
        </row>
        <row r="2415">
          <cell r="A2415" t="str">
            <v>23426</v>
          </cell>
        </row>
        <row r="2416">
          <cell r="A2416" t="str">
            <v>23427</v>
          </cell>
        </row>
        <row r="2417">
          <cell r="A2417" t="str">
            <v>23430</v>
          </cell>
        </row>
        <row r="2418">
          <cell r="A2418" t="str">
            <v>23440</v>
          </cell>
        </row>
        <row r="2419">
          <cell r="A2419" t="str">
            <v>23441</v>
          </cell>
        </row>
        <row r="2420">
          <cell r="A2420" t="str">
            <v>23453</v>
          </cell>
        </row>
        <row r="2421">
          <cell r="A2421" t="str">
            <v>23454</v>
          </cell>
        </row>
        <row r="2422">
          <cell r="A2422" t="str">
            <v>23463</v>
          </cell>
        </row>
        <row r="2423">
          <cell r="A2423" t="str">
            <v>23488</v>
          </cell>
        </row>
        <row r="2424">
          <cell r="A2424" t="str">
            <v>23507</v>
          </cell>
        </row>
        <row r="2425">
          <cell r="A2425" t="str">
            <v>23508</v>
          </cell>
        </row>
        <row r="2426">
          <cell r="A2426" t="str">
            <v>23509</v>
          </cell>
        </row>
        <row r="2427">
          <cell r="A2427" t="str">
            <v>23510</v>
          </cell>
        </row>
        <row r="2428">
          <cell r="A2428" t="str">
            <v>23511</v>
          </cell>
        </row>
        <row r="2429">
          <cell r="A2429" t="str">
            <v>23520</v>
          </cell>
        </row>
        <row r="2430">
          <cell r="A2430" t="str">
            <v>23555</v>
          </cell>
        </row>
        <row r="2431">
          <cell r="A2431" t="str">
            <v>23556</v>
          </cell>
        </row>
        <row r="2432">
          <cell r="A2432" t="str">
            <v>23557</v>
          </cell>
        </row>
        <row r="2433">
          <cell r="A2433" t="str">
            <v>23558</v>
          </cell>
        </row>
        <row r="2434">
          <cell r="A2434" t="str">
            <v>23559</v>
          </cell>
        </row>
        <row r="2435">
          <cell r="A2435" t="str">
            <v>23560</v>
          </cell>
        </row>
        <row r="2436">
          <cell r="A2436" t="str">
            <v>23561</v>
          </cell>
        </row>
        <row r="2437">
          <cell r="A2437" t="str">
            <v>23562</v>
          </cell>
        </row>
        <row r="2438">
          <cell r="A2438" t="str">
            <v>23606</v>
          </cell>
        </row>
        <row r="2439">
          <cell r="A2439" t="str">
            <v>23607</v>
          </cell>
        </row>
        <row r="2440">
          <cell r="A2440" t="str">
            <v>23608</v>
          </cell>
        </row>
        <row r="2441">
          <cell r="A2441" t="str">
            <v>23609</v>
          </cell>
        </row>
        <row r="2442">
          <cell r="A2442" t="str">
            <v>23622</v>
          </cell>
        </row>
        <row r="2443">
          <cell r="A2443" t="str">
            <v>23623</v>
          </cell>
        </row>
        <row r="2444">
          <cell r="A2444" t="str">
            <v>23692</v>
          </cell>
        </row>
        <row r="2445">
          <cell r="A2445" t="str">
            <v>23693</v>
          </cell>
        </row>
        <row r="2446">
          <cell r="A2446" t="str">
            <v>23694</v>
          </cell>
        </row>
        <row r="2447">
          <cell r="A2447" t="str">
            <v>23696</v>
          </cell>
        </row>
        <row r="2448">
          <cell r="A2448" t="str">
            <v>23700</v>
          </cell>
        </row>
        <row r="2449">
          <cell r="A2449" t="str">
            <v>23701</v>
          </cell>
        </row>
        <row r="2450">
          <cell r="A2450" t="str">
            <v>23702</v>
          </cell>
        </row>
        <row r="2451">
          <cell r="A2451" t="str">
            <v>23703</v>
          </cell>
        </row>
        <row r="2452">
          <cell r="A2452" t="str">
            <v>23717</v>
          </cell>
        </row>
        <row r="2453">
          <cell r="A2453" t="str">
            <v>23734</v>
          </cell>
        </row>
        <row r="2454">
          <cell r="A2454" t="str">
            <v>23746</v>
          </cell>
        </row>
        <row r="2455">
          <cell r="A2455" t="str">
            <v>23747</v>
          </cell>
        </row>
        <row r="2456">
          <cell r="A2456" t="str">
            <v>23755</v>
          </cell>
        </row>
        <row r="2457">
          <cell r="A2457" t="str">
            <v>23768</v>
          </cell>
        </row>
        <row r="2458">
          <cell r="A2458" t="str">
            <v>23769</v>
          </cell>
        </row>
        <row r="2459">
          <cell r="A2459" t="str">
            <v>23784</v>
          </cell>
        </row>
        <row r="2460">
          <cell r="A2460" t="str">
            <v>23785</v>
          </cell>
        </row>
        <row r="2461">
          <cell r="A2461" t="str">
            <v>23788</v>
          </cell>
        </row>
        <row r="2462">
          <cell r="A2462" t="str">
            <v>23808</v>
          </cell>
        </row>
        <row r="2463">
          <cell r="A2463" t="str">
            <v>23823</v>
          </cell>
        </row>
        <row r="2464">
          <cell r="A2464" t="str">
            <v>23824</v>
          </cell>
        </row>
        <row r="2465">
          <cell r="A2465" t="str">
            <v>23849</v>
          </cell>
        </row>
        <row r="2466">
          <cell r="A2466" t="str">
            <v>23850</v>
          </cell>
        </row>
        <row r="2467">
          <cell r="A2467" t="str">
            <v>23867</v>
          </cell>
        </row>
        <row r="2468">
          <cell r="A2468" t="str">
            <v>23868</v>
          </cell>
        </row>
        <row r="2469">
          <cell r="A2469" t="str">
            <v>23879</v>
          </cell>
        </row>
        <row r="2470">
          <cell r="A2470" t="str">
            <v>23880</v>
          </cell>
        </row>
        <row r="2471">
          <cell r="A2471" t="str">
            <v>23895</v>
          </cell>
        </row>
        <row r="2472">
          <cell r="A2472" t="str">
            <v>23896</v>
          </cell>
        </row>
        <row r="2473">
          <cell r="A2473" t="str">
            <v>23897</v>
          </cell>
        </row>
        <row r="2474">
          <cell r="A2474" t="str">
            <v>23898</v>
          </cell>
        </row>
        <row r="2475">
          <cell r="A2475" t="str">
            <v>23901</v>
          </cell>
        </row>
        <row r="2476">
          <cell r="A2476" t="str">
            <v>23915</v>
          </cell>
        </row>
        <row r="2477">
          <cell r="A2477" t="str">
            <v>23916</v>
          </cell>
        </row>
        <row r="2478">
          <cell r="A2478" t="str">
            <v>23919</v>
          </cell>
        </row>
        <row r="2479">
          <cell r="A2479" t="str">
            <v>23920</v>
          </cell>
        </row>
        <row r="2480">
          <cell r="A2480" t="str">
            <v>23925</v>
          </cell>
        </row>
        <row r="2481">
          <cell r="A2481" t="str">
            <v>23926</v>
          </cell>
        </row>
        <row r="2482">
          <cell r="A2482" t="str">
            <v>23957</v>
          </cell>
        </row>
        <row r="2483">
          <cell r="A2483" t="str">
            <v>23958</v>
          </cell>
        </row>
        <row r="2484">
          <cell r="A2484" t="str">
            <v>23960</v>
          </cell>
        </row>
        <row r="2485">
          <cell r="A2485" t="str">
            <v>23962</v>
          </cell>
        </row>
        <row r="2486">
          <cell r="A2486" t="str">
            <v>23975</v>
          </cell>
        </row>
        <row r="2487">
          <cell r="A2487" t="str">
            <v>23976</v>
          </cell>
        </row>
        <row r="2488">
          <cell r="A2488" t="str">
            <v>23993</v>
          </cell>
        </row>
        <row r="2489">
          <cell r="A2489" t="str">
            <v>23994</v>
          </cell>
        </row>
        <row r="2490">
          <cell r="A2490" t="str">
            <v>23995</v>
          </cell>
        </row>
        <row r="2491">
          <cell r="A2491" t="str">
            <v>23996</v>
          </cell>
        </row>
        <row r="2492">
          <cell r="A2492" t="str">
            <v>24013</v>
          </cell>
        </row>
        <row r="2493">
          <cell r="A2493" t="str">
            <v>24022</v>
          </cell>
        </row>
        <row r="2494">
          <cell r="A2494" t="str">
            <v>24023</v>
          </cell>
        </row>
        <row r="2495">
          <cell r="A2495" t="str">
            <v>24024</v>
          </cell>
        </row>
        <row r="2496">
          <cell r="A2496" t="str">
            <v>24025</v>
          </cell>
        </row>
        <row r="2497">
          <cell r="A2497" t="str">
            <v>24032</v>
          </cell>
        </row>
        <row r="2498">
          <cell r="A2498" t="str">
            <v>24033</v>
          </cell>
        </row>
        <row r="2499">
          <cell r="A2499" t="str">
            <v>24034</v>
          </cell>
        </row>
        <row r="2500">
          <cell r="A2500" t="str">
            <v>24035</v>
          </cell>
        </row>
        <row r="2501">
          <cell r="A2501" t="str">
            <v>24041</v>
          </cell>
        </row>
        <row r="2502">
          <cell r="A2502" t="str">
            <v>24063</v>
          </cell>
        </row>
        <row r="2503">
          <cell r="A2503" t="str">
            <v>24064</v>
          </cell>
        </row>
        <row r="2504">
          <cell r="A2504" t="str">
            <v>24071</v>
          </cell>
        </row>
        <row r="2505">
          <cell r="A2505" t="str">
            <v>24072</v>
          </cell>
        </row>
        <row r="2506">
          <cell r="A2506" t="str">
            <v>24077</v>
          </cell>
        </row>
        <row r="2507">
          <cell r="A2507" t="str">
            <v>24078</v>
          </cell>
        </row>
        <row r="2508">
          <cell r="A2508" t="str">
            <v>24079</v>
          </cell>
        </row>
        <row r="2509">
          <cell r="A2509" t="str">
            <v>24401</v>
          </cell>
        </row>
        <row r="2510">
          <cell r="A2510" t="str">
            <v>24403</v>
          </cell>
        </row>
        <row r="2511">
          <cell r="A2511" t="str">
            <v>24410</v>
          </cell>
        </row>
        <row r="2512">
          <cell r="A2512" t="str">
            <v>24411</v>
          </cell>
        </row>
        <row r="2513">
          <cell r="A2513" t="str">
            <v>24412</v>
          </cell>
        </row>
        <row r="2514">
          <cell r="A2514" t="str">
            <v>24413</v>
          </cell>
        </row>
        <row r="2515">
          <cell r="A2515" t="str">
            <v>24433</v>
          </cell>
        </row>
        <row r="2516">
          <cell r="A2516" t="str">
            <v>24435</v>
          </cell>
        </row>
        <row r="2517">
          <cell r="A2517" t="str">
            <v>24439</v>
          </cell>
        </row>
        <row r="2518">
          <cell r="A2518" t="str">
            <v>24442</v>
          </cell>
        </row>
        <row r="2519">
          <cell r="A2519" t="str">
            <v>24443</v>
          </cell>
        </row>
        <row r="2520">
          <cell r="A2520" t="str">
            <v>24444</v>
          </cell>
        </row>
        <row r="2521">
          <cell r="A2521" t="str">
            <v>24459</v>
          </cell>
        </row>
        <row r="2522">
          <cell r="A2522" t="str">
            <v>24476</v>
          </cell>
        </row>
        <row r="2523">
          <cell r="A2523" t="str">
            <v>24481</v>
          </cell>
        </row>
        <row r="2524">
          <cell r="A2524" t="str">
            <v>24493</v>
          </cell>
        </row>
        <row r="2525">
          <cell r="A2525" t="str">
            <v>24513</v>
          </cell>
        </row>
        <row r="2526">
          <cell r="A2526" t="str">
            <v>24514</v>
          </cell>
        </row>
        <row r="2527">
          <cell r="A2527" t="str">
            <v>24515</v>
          </cell>
        </row>
        <row r="2528">
          <cell r="A2528" t="str">
            <v>24517</v>
          </cell>
        </row>
        <row r="2529">
          <cell r="A2529" t="str">
            <v>24518</v>
          </cell>
        </row>
        <row r="2530">
          <cell r="A2530" t="str">
            <v>24531</v>
          </cell>
        </row>
        <row r="2531">
          <cell r="A2531" t="str">
            <v>24532</v>
          </cell>
        </row>
        <row r="2532">
          <cell r="A2532" t="str">
            <v>24540</v>
          </cell>
        </row>
        <row r="2533">
          <cell r="A2533" t="str">
            <v>24541</v>
          </cell>
        </row>
        <row r="2534">
          <cell r="A2534" t="str">
            <v>24542</v>
          </cell>
        </row>
        <row r="2535">
          <cell r="A2535" t="str">
            <v>24548</v>
          </cell>
        </row>
        <row r="2536">
          <cell r="A2536" t="str">
            <v>24560</v>
          </cell>
        </row>
        <row r="2537">
          <cell r="A2537" t="str">
            <v>24561</v>
          </cell>
        </row>
        <row r="2538">
          <cell r="A2538" t="str">
            <v>24562</v>
          </cell>
        </row>
        <row r="2539">
          <cell r="A2539" t="str">
            <v>24563</v>
          </cell>
        </row>
        <row r="2540">
          <cell r="A2540" t="str">
            <v>24564</v>
          </cell>
        </row>
        <row r="2541">
          <cell r="A2541" t="str">
            <v>24565</v>
          </cell>
        </row>
        <row r="2542">
          <cell r="A2542" t="str">
            <v>24583</v>
          </cell>
        </row>
        <row r="2543">
          <cell r="A2543" t="str">
            <v>24590</v>
          </cell>
        </row>
        <row r="2544">
          <cell r="A2544" t="str">
            <v>25002</v>
          </cell>
        </row>
        <row r="2545">
          <cell r="A2545" t="str">
            <v>25010</v>
          </cell>
        </row>
        <row r="2546">
          <cell r="A2546" t="str">
            <v>25011</v>
          </cell>
        </row>
        <row r="2547">
          <cell r="A2547" t="str">
            <v>21576</v>
          </cell>
        </row>
        <row r="2548">
          <cell r="A2548" t="str">
            <v>21577</v>
          </cell>
        </row>
        <row r="2549">
          <cell r="A2549" t="str">
            <v>23698</v>
          </cell>
        </row>
        <row r="2550">
          <cell r="A2550" t="str">
            <v>23699</v>
          </cell>
        </row>
        <row r="2551">
          <cell r="A2551" t="str">
            <v>23718</v>
          </cell>
        </row>
        <row r="2552">
          <cell r="A2552" t="str">
            <v>23733</v>
          </cell>
        </row>
        <row r="2553">
          <cell r="A2553" t="str">
            <v>23742</v>
          </cell>
        </row>
        <row r="2554">
          <cell r="A2554" t="str">
            <v>23743</v>
          </cell>
        </row>
        <row r="2555">
          <cell r="A2555" t="str">
            <v>23752</v>
          </cell>
        </row>
        <row r="2556">
          <cell r="A2556" t="str">
            <v>23805</v>
          </cell>
        </row>
        <row r="2557">
          <cell r="A2557" t="str">
            <v>23807</v>
          </cell>
        </row>
        <row r="2558">
          <cell r="A2558" t="str">
            <v>23840</v>
          </cell>
        </row>
        <row r="2559">
          <cell r="A2559" t="str">
            <v>23841</v>
          </cell>
        </row>
        <row r="2560">
          <cell r="A2560" t="str">
            <v>23851</v>
          </cell>
        </row>
        <row r="2561">
          <cell r="A2561" t="str">
            <v>23885</v>
          </cell>
        </row>
        <row r="2562">
          <cell r="A2562" t="str">
            <v>23886</v>
          </cell>
        </row>
        <row r="2563">
          <cell r="A2563" t="str">
            <v>23889</v>
          </cell>
        </row>
        <row r="2564">
          <cell r="A2564" t="str">
            <v>23890</v>
          </cell>
        </row>
        <row r="2565">
          <cell r="A2565" t="str">
            <v>23906</v>
          </cell>
        </row>
        <row r="2566">
          <cell r="A2566" t="str">
            <v>23917</v>
          </cell>
        </row>
        <row r="2567">
          <cell r="A2567" t="str">
            <v>23921</v>
          </cell>
        </row>
        <row r="2568">
          <cell r="A2568" t="str">
            <v>23923</v>
          </cell>
        </row>
        <row r="2569">
          <cell r="A2569" t="str">
            <v>23987</v>
          </cell>
        </row>
        <row r="2570">
          <cell r="A2570" t="str">
            <v>24028</v>
          </cell>
        </row>
        <row r="2571">
          <cell r="A2571" t="str">
            <v>24038</v>
          </cell>
        </row>
        <row r="2572">
          <cell r="A2572" t="str">
            <v>24060</v>
          </cell>
        </row>
        <row r="2573">
          <cell r="A2573" t="str">
            <v>24061</v>
          </cell>
        </row>
        <row r="2574">
          <cell r="A2574" t="str">
            <v>24497</v>
          </cell>
        </row>
        <row r="2575">
          <cell r="A2575" t="str">
            <v>24512</v>
          </cell>
        </row>
        <row r="2576">
          <cell r="A2576" t="str">
            <v>24568</v>
          </cell>
        </row>
        <row r="2577">
          <cell r="A2577" t="str">
            <v>24593</v>
          </cell>
        </row>
        <row r="2578">
          <cell r="A2578" t="str">
            <v>20408</v>
          </cell>
        </row>
        <row r="2579">
          <cell r="A2579" t="str">
            <v>20860</v>
          </cell>
        </row>
        <row r="2580">
          <cell r="A2580" t="str">
            <v>20879</v>
          </cell>
        </row>
        <row r="2581">
          <cell r="A2581" t="str">
            <v>21196</v>
          </cell>
        </row>
        <row r="2582">
          <cell r="A2582" t="str">
            <v>21223</v>
          </cell>
        </row>
        <row r="2583">
          <cell r="A2583" t="str">
            <v>21230</v>
          </cell>
        </row>
        <row r="2584">
          <cell r="A2584" t="str">
            <v>21245</v>
          </cell>
        </row>
        <row r="2585">
          <cell r="A2585" t="str">
            <v>21258</v>
          </cell>
        </row>
        <row r="2586">
          <cell r="A2586" t="str">
            <v>21317</v>
          </cell>
        </row>
        <row r="2587">
          <cell r="A2587" t="str">
            <v>21945</v>
          </cell>
        </row>
        <row r="2588">
          <cell r="A2588" t="str">
            <v>21958</v>
          </cell>
        </row>
        <row r="2589">
          <cell r="A2589" t="str">
            <v>21966</v>
          </cell>
        </row>
        <row r="2590">
          <cell r="A2590" t="str">
            <v>21968</v>
          </cell>
        </row>
        <row r="2591">
          <cell r="A2591" t="str">
            <v>21974</v>
          </cell>
        </row>
        <row r="2592">
          <cell r="A2592" t="str">
            <v>21976</v>
          </cell>
        </row>
        <row r="2593">
          <cell r="A2593" t="str">
            <v>21982</v>
          </cell>
        </row>
        <row r="2594">
          <cell r="A2594" t="str">
            <v>21989</v>
          </cell>
        </row>
        <row r="2595">
          <cell r="A2595" t="str">
            <v>21998</v>
          </cell>
        </row>
        <row r="2596">
          <cell r="A2596" t="str">
            <v>22909</v>
          </cell>
        </row>
        <row r="2597">
          <cell r="A2597" t="str">
            <v>22910</v>
          </cell>
        </row>
        <row r="2598">
          <cell r="A2598" t="str">
            <v>22933</v>
          </cell>
        </row>
        <row r="2599">
          <cell r="A2599" t="str">
            <v>22934</v>
          </cell>
        </row>
        <row r="2600">
          <cell r="A2600" t="str">
            <v>22946</v>
          </cell>
        </row>
        <row r="2601">
          <cell r="A2601" t="str">
            <v>22947</v>
          </cell>
        </row>
        <row r="2602">
          <cell r="A2602" t="str">
            <v>22949</v>
          </cell>
        </row>
        <row r="2603">
          <cell r="A2603" t="str">
            <v>22950</v>
          </cell>
        </row>
        <row r="2604">
          <cell r="A2604" t="str">
            <v>22951</v>
          </cell>
        </row>
        <row r="2605">
          <cell r="A2605" t="str">
            <v>22954</v>
          </cell>
        </row>
        <row r="2606">
          <cell r="A2606" t="str">
            <v>22956</v>
          </cell>
        </row>
        <row r="2607">
          <cell r="A2607" t="str">
            <v>22957</v>
          </cell>
        </row>
        <row r="2608">
          <cell r="A2608" t="str">
            <v>22962</v>
          </cell>
        </row>
        <row r="2609">
          <cell r="A2609" t="str">
            <v>22963</v>
          </cell>
        </row>
        <row r="2610">
          <cell r="A2610" t="str">
            <v>22964</v>
          </cell>
        </row>
        <row r="2611">
          <cell r="A2611" t="str">
            <v>22965</v>
          </cell>
        </row>
        <row r="2612">
          <cell r="A2612" t="str">
            <v>22966</v>
          </cell>
        </row>
        <row r="2613">
          <cell r="A2613" t="str">
            <v>22974</v>
          </cell>
        </row>
        <row r="2614">
          <cell r="A2614" t="str">
            <v>22975</v>
          </cell>
        </row>
        <row r="2615">
          <cell r="A2615" t="str">
            <v>22976</v>
          </cell>
        </row>
        <row r="2616">
          <cell r="A2616" t="str">
            <v>22983</v>
          </cell>
        </row>
        <row r="2617">
          <cell r="A2617" t="str">
            <v>22985</v>
          </cell>
        </row>
        <row r="2618">
          <cell r="A2618" t="str">
            <v>22989</v>
          </cell>
        </row>
        <row r="2619">
          <cell r="A2619" t="str">
            <v>22993</v>
          </cell>
        </row>
        <row r="2620">
          <cell r="A2620" t="str">
            <v>22994</v>
          </cell>
        </row>
        <row r="2621">
          <cell r="A2621" t="str">
            <v>22998</v>
          </cell>
        </row>
        <row r="2622">
          <cell r="A2622" t="str">
            <v>22999</v>
          </cell>
        </row>
        <row r="2623">
          <cell r="A2623" t="str">
            <v>23004</v>
          </cell>
        </row>
        <row r="2624">
          <cell r="A2624" t="str">
            <v>23013</v>
          </cell>
        </row>
        <row r="2625">
          <cell r="A2625" t="str">
            <v>23014</v>
          </cell>
        </row>
        <row r="2626">
          <cell r="A2626" t="str">
            <v>23016</v>
          </cell>
        </row>
        <row r="2627">
          <cell r="A2627" t="str">
            <v>23020</v>
          </cell>
        </row>
        <row r="2628">
          <cell r="A2628" t="str">
            <v>23021</v>
          </cell>
        </row>
        <row r="2629">
          <cell r="A2629" t="str">
            <v>23024</v>
          </cell>
        </row>
        <row r="2630">
          <cell r="A2630" t="str">
            <v>23025</v>
          </cell>
        </row>
        <row r="2631">
          <cell r="A2631" t="str">
            <v>23035</v>
          </cell>
        </row>
        <row r="2632">
          <cell r="A2632" t="str">
            <v>23046</v>
          </cell>
        </row>
        <row r="2633">
          <cell r="A2633" t="str">
            <v>23048</v>
          </cell>
        </row>
        <row r="2634">
          <cell r="A2634" t="str">
            <v>23055</v>
          </cell>
        </row>
        <row r="2635">
          <cell r="A2635" t="str">
            <v>23059</v>
          </cell>
        </row>
        <row r="2636">
          <cell r="A2636" t="str">
            <v>23060</v>
          </cell>
        </row>
        <row r="2637">
          <cell r="A2637" t="str">
            <v>23066</v>
          </cell>
        </row>
        <row r="2638">
          <cell r="A2638" t="str">
            <v>23083</v>
          </cell>
        </row>
        <row r="2639">
          <cell r="A2639" t="str">
            <v>23086</v>
          </cell>
        </row>
        <row r="2640">
          <cell r="A2640" t="str">
            <v>23093</v>
          </cell>
        </row>
        <row r="2641">
          <cell r="A2641" t="str">
            <v>23096</v>
          </cell>
        </row>
        <row r="2642">
          <cell r="A2642" t="str">
            <v>23099</v>
          </cell>
        </row>
        <row r="2643">
          <cell r="A2643" t="str">
            <v>23121</v>
          </cell>
        </row>
        <row r="2644">
          <cell r="A2644" t="str">
            <v>23125</v>
          </cell>
        </row>
        <row r="2645">
          <cell r="A2645" t="str">
            <v>23126</v>
          </cell>
        </row>
        <row r="2646">
          <cell r="A2646" t="str">
            <v>23133</v>
          </cell>
        </row>
        <row r="2647">
          <cell r="A2647" t="str">
            <v>23143</v>
          </cell>
        </row>
        <row r="2648">
          <cell r="A2648" t="str">
            <v>23144</v>
          </cell>
        </row>
        <row r="2649">
          <cell r="A2649" t="str">
            <v>23147</v>
          </cell>
        </row>
        <row r="2650">
          <cell r="A2650" t="str">
            <v>23155</v>
          </cell>
        </row>
        <row r="2651">
          <cell r="A2651" t="str">
            <v>23158</v>
          </cell>
        </row>
        <row r="2652">
          <cell r="A2652" t="str">
            <v>23164</v>
          </cell>
        </row>
        <row r="2653">
          <cell r="A2653" t="str">
            <v>23173</v>
          </cell>
        </row>
        <row r="2654">
          <cell r="A2654" t="str">
            <v>23176</v>
          </cell>
        </row>
        <row r="2655">
          <cell r="A2655" t="str">
            <v>23177</v>
          </cell>
        </row>
        <row r="2656">
          <cell r="A2656" t="str">
            <v>23187</v>
          </cell>
        </row>
        <row r="2657">
          <cell r="A2657" t="str">
            <v>23203</v>
          </cell>
        </row>
        <row r="2658">
          <cell r="A2658" t="str">
            <v>23224</v>
          </cell>
        </row>
        <row r="2659">
          <cell r="A2659" t="str">
            <v>23225</v>
          </cell>
        </row>
        <row r="2660">
          <cell r="A2660" t="str">
            <v>23230</v>
          </cell>
        </row>
        <row r="2661">
          <cell r="A2661" t="str">
            <v>23257</v>
          </cell>
        </row>
        <row r="2662">
          <cell r="A2662" t="str">
            <v>23258</v>
          </cell>
        </row>
        <row r="2663">
          <cell r="A2663" t="str">
            <v>23272</v>
          </cell>
        </row>
        <row r="2664">
          <cell r="A2664" t="str">
            <v>23274</v>
          </cell>
        </row>
        <row r="2665">
          <cell r="A2665" t="str">
            <v>23278</v>
          </cell>
        </row>
        <row r="2666">
          <cell r="A2666" t="str">
            <v>23279</v>
          </cell>
        </row>
        <row r="2667">
          <cell r="A2667" t="str">
            <v>23280</v>
          </cell>
        </row>
        <row r="2668">
          <cell r="A2668" t="str">
            <v>23281</v>
          </cell>
        </row>
        <row r="2669">
          <cell r="A2669" t="str">
            <v>23282</v>
          </cell>
        </row>
        <row r="2670">
          <cell r="A2670" t="str">
            <v>23283</v>
          </cell>
        </row>
        <row r="2671">
          <cell r="A2671" t="str">
            <v>23284</v>
          </cell>
        </row>
        <row r="2672">
          <cell r="A2672" t="str">
            <v>23320</v>
          </cell>
        </row>
        <row r="2673">
          <cell r="A2673" t="str">
            <v>23323</v>
          </cell>
        </row>
        <row r="2674">
          <cell r="A2674" t="str">
            <v>23324</v>
          </cell>
        </row>
        <row r="2675">
          <cell r="A2675" t="str">
            <v>23327</v>
          </cell>
        </row>
        <row r="2676">
          <cell r="A2676" t="str">
            <v>23335</v>
          </cell>
        </row>
        <row r="2677">
          <cell r="A2677" t="str">
            <v>23336</v>
          </cell>
        </row>
        <row r="2678">
          <cell r="A2678" t="str">
            <v>23337</v>
          </cell>
        </row>
        <row r="2679">
          <cell r="A2679" t="str">
            <v>23338</v>
          </cell>
        </row>
        <row r="2680">
          <cell r="A2680" t="str">
            <v>23350</v>
          </cell>
        </row>
        <row r="2681">
          <cell r="A2681" t="str">
            <v>23351</v>
          </cell>
        </row>
        <row r="2682">
          <cell r="A2682" t="str">
            <v>23353</v>
          </cell>
        </row>
        <row r="2683">
          <cell r="A2683" t="str">
            <v>23354</v>
          </cell>
        </row>
        <row r="2684">
          <cell r="A2684" t="str">
            <v>23379</v>
          </cell>
        </row>
        <row r="2685">
          <cell r="A2685" t="str">
            <v>23380</v>
          </cell>
        </row>
        <row r="2686">
          <cell r="A2686" t="str">
            <v>23396</v>
          </cell>
        </row>
        <row r="2687">
          <cell r="A2687" t="str">
            <v>23397</v>
          </cell>
        </row>
        <row r="2688">
          <cell r="A2688" t="str">
            <v>23401</v>
          </cell>
        </row>
        <row r="2689">
          <cell r="A2689" t="str">
            <v>23402</v>
          </cell>
        </row>
        <row r="2690">
          <cell r="A2690" t="str">
            <v>23416</v>
          </cell>
        </row>
        <row r="2691">
          <cell r="A2691" t="str">
            <v>23417</v>
          </cell>
        </row>
        <row r="2692">
          <cell r="A2692" t="str">
            <v>23428</v>
          </cell>
        </row>
        <row r="2693">
          <cell r="A2693" t="str">
            <v>23429</v>
          </cell>
        </row>
        <row r="2694">
          <cell r="A2694" t="str">
            <v>23431</v>
          </cell>
        </row>
        <row r="2695">
          <cell r="A2695" t="str">
            <v>23432</v>
          </cell>
        </row>
        <row r="2696">
          <cell r="A2696" t="str">
            <v>23460</v>
          </cell>
        </row>
        <row r="2697">
          <cell r="A2697" t="str">
            <v>23461</v>
          </cell>
        </row>
        <row r="2698">
          <cell r="A2698" t="str">
            <v>23468</v>
          </cell>
        </row>
        <row r="2699">
          <cell r="A2699" t="str">
            <v>23479</v>
          </cell>
        </row>
        <row r="2700">
          <cell r="A2700" t="str">
            <v>23489</v>
          </cell>
        </row>
        <row r="2701">
          <cell r="A2701" t="str">
            <v>23501</v>
          </cell>
        </row>
        <row r="2702">
          <cell r="A2702" t="str">
            <v>23535</v>
          </cell>
        </row>
        <row r="2703">
          <cell r="A2703" t="str">
            <v>23548</v>
          </cell>
        </row>
        <row r="2704">
          <cell r="A2704" t="str">
            <v>23550</v>
          </cell>
        </row>
        <row r="2705">
          <cell r="A2705" t="str">
            <v>23551</v>
          </cell>
        </row>
        <row r="2706">
          <cell r="A2706" t="str">
            <v>23553</v>
          </cell>
        </row>
        <row r="2707">
          <cell r="A2707" t="str">
            <v>23554</v>
          </cell>
        </row>
        <row r="2708">
          <cell r="A2708" t="str">
            <v>23567</v>
          </cell>
        </row>
        <row r="2709">
          <cell r="A2709" t="str">
            <v>23568</v>
          </cell>
        </row>
        <row r="2710">
          <cell r="A2710" t="str">
            <v>23569</v>
          </cell>
        </row>
        <row r="2711">
          <cell r="A2711" t="str">
            <v>23570</v>
          </cell>
        </row>
        <row r="2712">
          <cell r="A2712" t="str">
            <v>23571</v>
          </cell>
        </row>
        <row r="2713">
          <cell r="A2713" t="str">
            <v>23597</v>
          </cell>
        </row>
        <row r="2714">
          <cell r="A2714" t="str">
            <v>23598</v>
          </cell>
        </row>
        <row r="2715">
          <cell r="A2715" t="str">
            <v>23613</v>
          </cell>
        </row>
        <row r="2716">
          <cell r="A2716" t="str">
            <v>23614</v>
          </cell>
        </row>
        <row r="2717">
          <cell r="A2717" t="str">
            <v>23615</v>
          </cell>
        </row>
        <row r="2718">
          <cell r="A2718" t="str">
            <v>23616</v>
          </cell>
        </row>
        <row r="2719">
          <cell r="A2719" t="str">
            <v>23618</v>
          </cell>
        </row>
        <row r="2720">
          <cell r="A2720" t="str">
            <v>23619</v>
          </cell>
        </row>
        <row r="2721">
          <cell r="A2721" t="str">
            <v>23628</v>
          </cell>
        </row>
        <row r="2722">
          <cell r="A2722" t="str">
            <v>23629</v>
          </cell>
        </row>
        <row r="2723">
          <cell r="A2723" t="str">
            <v>23631</v>
          </cell>
        </row>
        <row r="2724">
          <cell r="A2724" t="str">
            <v>23632</v>
          </cell>
        </row>
        <row r="2725">
          <cell r="A2725" t="str">
            <v>23640</v>
          </cell>
        </row>
        <row r="2726">
          <cell r="A2726" t="str">
            <v>23641</v>
          </cell>
        </row>
        <row r="2727">
          <cell r="A2727" t="str">
            <v>23642</v>
          </cell>
        </row>
        <row r="2728">
          <cell r="A2728" t="str">
            <v>23644</v>
          </cell>
        </row>
        <row r="2729">
          <cell r="A2729" t="str">
            <v>23645</v>
          </cell>
        </row>
        <row r="2730">
          <cell r="A2730" t="str">
            <v>23646</v>
          </cell>
        </row>
        <row r="2731">
          <cell r="A2731" t="str">
            <v>23647</v>
          </cell>
        </row>
        <row r="2732">
          <cell r="A2732" t="str">
            <v>23653</v>
          </cell>
        </row>
        <row r="2733">
          <cell r="A2733" t="str">
            <v>23654</v>
          </cell>
        </row>
        <row r="2734">
          <cell r="A2734" t="str">
            <v>23659</v>
          </cell>
        </row>
        <row r="2735">
          <cell r="A2735" t="str">
            <v>23669</v>
          </cell>
        </row>
        <row r="2736">
          <cell r="A2736" t="str">
            <v>23670</v>
          </cell>
        </row>
        <row r="2737">
          <cell r="A2737" t="str">
            <v>23671</v>
          </cell>
        </row>
        <row r="2738">
          <cell r="A2738" t="str">
            <v>23675</v>
          </cell>
        </row>
        <row r="2739">
          <cell r="A2739" t="str">
            <v>23676</v>
          </cell>
        </row>
        <row r="2740">
          <cell r="A2740" t="str">
            <v>23677</v>
          </cell>
        </row>
        <row r="2741">
          <cell r="A2741" t="str">
            <v>23678</v>
          </cell>
        </row>
        <row r="2742">
          <cell r="A2742" t="str">
            <v>23679</v>
          </cell>
        </row>
        <row r="2743">
          <cell r="A2743" t="str">
            <v>23683</v>
          </cell>
        </row>
        <row r="2744">
          <cell r="A2744" t="str">
            <v>23689</v>
          </cell>
        </row>
        <row r="2745">
          <cell r="A2745" t="str">
            <v>23690</v>
          </cell>
        </row>
        <row r="2746">
          <cell r="A2746" t="str">
            <v>23691</v>
          </cell>
        </row>
        <row r="2747">
          <cell r="A2747" t="str">
            <v>23695</v>
          </cell>
        </row>
        <row r="2748">
          <cell r="A2748" t="str">
            <v>23697</v>
          </cell>
        </row>
        <row r="2749">
          <cell r="A2749" t="str">
            <v>23740</v>
          </cell>
        </row>
        <row r="2750">
          <cell r="A2750" t="str">
            <v>23741</v>
          </cell>
        </row>
        <row r="2751">
          <cell r="A2751" t="str">
            <v>23756</v>
          </cell>
        </row>
        <row r="2752">
          <cell r="A2752" t="str">
            <v>23761</v>
          </cell>
        </row>
        <row r="2753">
          <cell r="A2753" t="str">
            <v>23762</v>
          </cell>
        </row>
        <row r="2754">
          <cell r="A2754" t="str">
            <v>23763</v>
          </cell>
        </row>
        <row r="2755">
          <cell r="A2755" t="str">
            <v>23764</v>
          </cell>
        </row>
        <row r="2756">
          <cell r="A2756" t="str">
            <v>23771</v>
          </cell>
        </row>
        <row r="2757">
          <cell r="A2757" t="str">
            <v>23772</v>
          </cell>
        </row>
        <row r="2758">
          <cell r="A2758" t="str">
            <v>23777</v>
          </cell>
        </row>
        <row r="2759">
          <cell r="A2759" t="str">
            <v>23778</v>
          </cell>
        </row>
        <row r="2760">
          <cell r="A2760" t="str">
            <v>23799</v>
          </cell>
        </row>
        <row r="2761">
          <cell r="A2761" t="str">
            <v>23800</v>
          </cell>
        </row>
        <row r="2762">
          <cell r="A2762" t="str">
            <v>23801</v>
          </cell>
        </row>
        <row r="2763">
          <cell r="A2763" t="str">
            <v>23802</v>
          </cell>
        </row>
        <row r="2764">
          <cell r="A2764" t="str">
            <v>23803</v>
          </cell>
        </row>
        <row r="2765">
          <cell r="A2765" t="str">
            <v>23809</v>
          </cell>
        </row>
        <row r="2766">
          <cell r="A2766" t="str">
            <v>23810</v>
          </cell>
        </row>
        <row r="2767">
          <cell r="A2767" t="str">
            <v>23811</v>
          </cell>
        </row>
        <row r="2768">
          <cell r="A2768" t="str">
            <v>23814</v>
          </cell>
        </row>
        <row r="2769">
          <cell r="A2769" t="str">
            <v>23825</v>
          </cell>
        </row>
        <row r="2770">
          <cell r="A2770" t="str">
            <v>23834</v>
          </cell>
        </row>
        <row r="2771">
          <cell r="A2771" t="str">
            <v>23835</v>
          </cell>
        </row>
        <row r="2772">
          <cell r="A2772" t="str">
            <v>23836</v>
          </cell>
        </row>
        <row r="2773">
          <cell r="A2773" t="str">
            <v>23837</v>
          </cell>
        </row>
        <row r="2774">
          <cell r="A2774" t="str">
            <v>23838</v>
          </cell>
        </row>
        <row r="2775">
          <cell r="A2775" t="str">
            <v>23839</v>
          </cell>
        </row>
        <row r="2776">
          <cell r="A2776" t="str">
            <v>23848</v>
          </cell>
        </row>
        <row r="2777">
          <cell r="A2777" t="str">
            <v>23876</v>
          </cell>
        </row>
        <row r="2778">
          <cell r="A2778" t="str">
            <v>23877</v>
          </cell>
        </row>
        <row r="2779">
          <cell r="A2779" t="str">
            <v>23914</v>
          </cell>
        </row>
        <row r="2780">
          <cell r="A2780" t="str">
            <v>23924</v>
          </cell>
        </row>
        <row r="2781">
          <cell r="A2781" t="str">
            <v>23931</v>
          </cell>
        </row>
        <row r="2782">
          <cell r="A2782" t="str">
            <v>23932</v>
          </cell>
        </row>
        <row r="2783">
          <cell r="A2783" t="str">
            <v>24007</v>
          </cell>
        </row>
        <row r="2784">
          <cell r="A2784" t="str">
            <v>24008</v>
          </cell>
        </row>
        <row r="2785">
          <cell r="A2785" t="str">
            <v>24051</v>
          </cell>
        </row>
        <row r="2786">
          <cell r="A2786" t="str">
            <v>24052</v>
          </cell>
        </row>
        <row r="2787">
          <cell r="A2787" t="str">
            <v>24075</v>
          </cell>
        </row>
        <row r="2788">
          <cell r="A2788" t="str">
            <v>24421</v>
          </cell>
        </row>
        <row r="2789">
          <cell r="A2789" t="str">
            <v>24422</v>
          </cell>
        </row>
        <row r="2790">
          <cell r="A2790" t="str">
            <v>24426</v>
          </cell>
        </row>
        <row r="2791">
          <cell r="A2791" t="str">
            <v>24427</v>
          </cell>
        </row>
        <row r="2792">
          <cell r="A2792" t="str">
            <v>24448</v>
          </cell>
        </row>
        <row r="2793">
          <cell r="A2793" t="str">
            <v>24449</v>
          </cell>
        </row>
        <row r="2794">
          <cell r="A2794" t="str">
            <v>24451</v>
          </cell>
        </row>
        <row r="2795">
          <cell r="A2795" t="str">
            <v>24452</v>
          </cell>
        </row>
        <row r="2796">
          <cell r="A2796" t="str">
            <v>24475</v>
          </cell>
        </row>
        <row r="2797">
          <cell r="A2797" t="str">
            <v>24496</v>
          </cell>
        </row>
        <row r="2798">
          <cell r="A2798" t="str">
            <v>24507</v>
          </cell>
        </row>
        <row r="2799">
          <cell r="A2799" t="str">
            <v>24520</v>
          </cell>
        </row>
        <row r="2800">
          <cell r="A2800" t="str">
            <v>24521</v>
          </cell>
        </row>
        <row r="2801">
          <cell r="A2801" t="str">
            <v>24526</v>
          </cell>
        </row>
        <row r="2802">
          <cell r="A2802" t="str">
            <v>24549</v>
          </cell>
        </row>
        <row r="2803">
          <cell r="A2803" t="str">
            <v>24550</v>
          </cell>
        </row>
        <row r="2804">
          <cell r="A2804" t="str">
            <v>24591</v>
          </cell>
        </row>
        <row r="2805">
          <cell r="A2805" t="str">
            <v>24594</v>
          </cell>
        </row>
        <row r="2806">
          <cell r="A2806" t="str">
            <v>24595</v>
          </cell>
        </row>
        <row r="2807">
          <cell r="A2807" t="str">
            <v>10516</v>
          </cell>
        </row>
        <row r="2808">
          <cell r="A2808" t="str">
            <v>10606</v>
          </cell>
        </row>
        <row r="2809">
          <cell r="A2809" t="str">
            <v>10609</v>
          </cell>
        </row>
        <row r="2810">
          <cell r="A2810" t="str">
            <v>25001</v>
          </cell>
        </row>
        <row r="2811">
          <cell r="A2811" t="str">
            <v>25023</v>
          </cell>
        </row>
        <row r="2812">
          <cell r="A2812" t="str">
            <v>25029</v>
          </cell>
        </row>
        <row r="2813">
          <cell r="A2813" t="str">
            <v>10919</v>
          </cell>
        </row>
        <row r="2814">
          <cell r="A2814" t="str">
            <v>10973</v>
          </cell>
        </row>
        <row r="2815">
          <cell r="A2815" t="str">
            <v>10974</v>
          </cell>
        </row>
        <row r="2816">
          <cell r="A2816" t="str">
            <v>11113</v>
          </cell>
        </row>
        <row r="2817">
          <cell r="A2817" t="str">
            <v>11116</v>
          </cell>
        </row>
        <row r="2818">
          <cell r="A2818" t="str">
            <v>11118</v>
          </cell>
        </row>
        <row r="2819">
          <cell r="A2819" t="str">
            <v>11119</v>
          </cell>
        </row>
        <row r="2820">
          <cell r="A2820" t="str">
            <v>11120</v>
          </cell>
        </row>
        <row r="2821">
          <cell r="A2821" t="str">
            <v>11121</v>
          </cell>
        </row>
        <row r="2822">
          <cell r="A2822" t="str">
            <v>11122</v>
          </cell>
        </row>
        <row r="2823">
          <cell r="A2823" t="str">
            <v>11123</v>
          </cell>
        </row>
        <row r="2824">
          <cell r="A2824" t="str">
            <v>11124</v>
          </cell>
        </row>
        <row r="2825">
          <cell r="A2825" t="str">
            <v>11125</v>
          </cell>
        </row>
        <row r="2826">
          <cell r="A2826" t="str">
            <v>11126</v>
          </cell>
        </row>
        <row r="2827">
          <cell r="A2827" t="str">
            <v>11137</v>
          </cell>
        </row>
        <row r="2828">
          <cell r="A2828" t="str">
            <v>11138</v>
          </cell>
        </row>
        <row r="2829">
          <cell r="A2829" t="str">
            <v>20222</v>
          </cell>
        </row>
        <row r="2830">
          <cell r="A2830" t="str">
            <v>20225</v>
          </cell>
        </row>
        <row r="2831">
          <cell r="A2831" t="str">
            <v>20226</v>
          </cell>
        </row>
        <row r="2832">
          <cell r="A2832" t="str">
            <v>20227</v>
          </cell>
        </row>
        <row r="2833">
          <cell r="A2833" t="str">
            <v>20228</v>
          </cell>
        </row>
        <row r="2834">
          <cell r="A2834" t="str">
            <v>20232</v>
          </cell>
        </row>
        <row r="2835">
          <cell r="A2835" t="str">
            <v>20233</v>
          </cell>
        </row>
        <row r="2836">
          <cell r="A2836" t="str">
            <v>20234</v>
          </cell>
        </row>
        <row r="2837">
          <cell r="A2837" t="str">
            <v>20235</v>
          </cell>
        </row>
        <row r="2838">
          <cell r="A2838" t="str">
            <v>20236</v>
          </cell>
        </row>
        <row r="2839">
          <cell r="A2839" t="str">
            <v>20251</v>
          </cell>
        </row>
        <row r="2840">
          <cell r="A2840" t="str">
            <v>20254</v>
          </cell>
        </row>
        <row r="2841">
          <cell r="A2841" t="str">
            <v>25053</v>
          </cell>
        </row>
        <row r="2842">
          <cell r="A2842" t="str">
            <v>20311</v>
          </cell>
        </row>
        <row r="2843">
          <cell r="A2843" t="str">
            <v>20321</v>
          </cell>
        </row>
        <row r="2844">
          <cell r="A2844" t="str">
            <v>20322</v>
          </cell>
        </row>
        <row r="2845">
          <cell r="A2845" t="str">
            <v>20323</v>
          </cell>
        </row>
        <row r="2846">
          <cell r="A2846" t="str">
            <v>20324</v>
          </cell>
        </row>
        <row r="2847">
          <cell r="A2847" t="str">
            <v>20325</v>
          </cell>
        </row>
        <row r="2848">
          <cell r="A2848" t="str">
            <v>20326</v>
          </cell>
        </row>
        <row r="2849">
          <cell r="A2849" t="str">
            <v>20327</v>
          </cell>
        </row>
        <row r="2850">
          <cell r="A2850" t="str">
            <v>20328</v>
          </cell>
        </row>
        <row r="2851">
          <cell r="A2851" t="str">
            <v>25055</v>
          </cell>
        </row>
        <row r="2852">
          <cell r="A2852" t="str">
            <v>10136</v>
          </cell>
        </row>
        <row r="2853">
          <cell r="A2853" t="str">
            <v>10724</v>
          </cell>
        </row>
        <row r="2854">
          <cell r="A2854" t="str">
            <v>10903</v>
          </cell>
        </row>
        <row r="2855">
          <cell r="A2855" t="str">
            <v>10904</v>
          </cell>
        </row>
        <row r="2856">
          <cell r="A2856" t="str">
            <v>20239</v>
          </cell>
        </row>
        <row r="2857">
          <cell r="A2857" t="str">
            <v>25026</v>
          </cell>
        </row>
        <row r="2858">
          <cell r="A2858" t="str">
            <v>23863</v>
          </cell>
        </row>
        <row r="2859">
          <cell r="A2859" t="str">
            <v>23865</v>
          </cell>
        </row>
        <row r="2860">
          <cell r="A2860" t="str">
            <v>23935</v>
          </cell>
        </row>
        <row r="2861">
          <cell r="A2861" t="str">
            <v>23937</v>
          </cell>
        </row>
        <row r="2862">
          <cell r="A2862" t="str">
            <v>24001</v>
          </cell>
        </row>
        <row r="2863">
          <cell r="A2863" t="str">
            <v>24010</v>
          </cell>
        </row>
        <row r="2864">
          <cell r="A2864" t="str">
            <v>25035</v>
          </cell>
        </row>
        <row r="2865">
          <cell r="A2865" t="str">
            <v>25037</v>
          </cell>
        </row>
        <row r="2866">
          <cell r="A2866" t="str">
            <v>25038</v>
          </cell>
        </row>
        <row r="2867">
          <cell r="A2867" t="str">
            <v>25039</v>
          </cell>
        </row>
        <row r="2868">
          <cell r="A2868" t="str">
            <v>24066</v>
          </cell>
        </row>
        <row r="2869">
          <cell r="A2869" t="str">
            <v>24402</v>
          </cell>
        </row>
        <row r="2870">
          <cell r="A2870" t="str">
            <v>24409</v>
          </cell>
        </row>
        <row r="2871">
          <cell r="A2871" t="str">
            <v>24432</v>
          </cell>
        </row>
        <row r="2872">
          <cell r="A2872" t="str">
            <v>24434</v>
          </cell>
        </row>
        <row r="2873">
          <cell r="A2873" t="str">
            <v>24447</v>
          </cell>
        </row>
        <row r="2874">
          <cell r="A2874" t="str">
            <v>24462</v>
          </cell>
        </row>
        <row r="2875">
          <cell r="A2875" t="str">
            <v>10926</v>
          </cell>
        </row>
        <row r="2876">
          <cell r="A2876" t="str">
            <v>10912</v>
          </cell>
        </row>
        <row r="2877">
          <cell r="A2877" t="str">
            <v>23382</v>
          </cell>
        </row>
        <row r="2878">
          <cell r="A2878" t="str">
            <v>24135</v>
          </cell>
        </row>
        <row r="2879">
          <cell r="A2879" t="str">
            <v>10339</v>
          </cell>
        </row>
        <row r="2880">
          <cell r="A2880" t="str">
            <v>10340</v>
          </cell>
        </row>
        <row r="2881">
          <cell r="A2881" t="str">
            <v>10341</v>
          </cell>
        </row>
        <row r="2882">
          <cell r="A2882" t="str">
            <v>10343</v>
          </cell>
        </row>
        <row r="2883">
          <cell r="A2883" t="str">
            <v>10344</v>
          </cell>
        </row>
        <row r="2884">
          <cell r="A2884" t="str">
            <v>11146</v>
          </cell>
        </row>
        <row r="2885">
          <cell r="A2885" t="str">
            <v>24140</v>
          </cell>
        </row>
        <row r="2886">
          <cell r="A2886" t="str">
            <v>24141</v>
          </cell>
        </row>
        <row r="2887">
          <cell r="A2887" t="str">
            <v>24155</v>
          </cell>
        </row>
        <row r="2888">
          <cell r="A2888" t="str">
            <v>24156</v>
          </cell>
        </row>
        <row r="2889">
          <cell r="A2889" t="str">
            <v>24157</v>
          </cell>
        </row>
        <row r="2890">
          <cell r="A2890" t="str">
            <v>24158</v>
          </cell>
        </row>
        <row r="2891">
          <cell r="A2891" t="str">
            <v>24159</v>
          </cell>
        </row>
        <row r="2892">
          <cell r="A2892" t="str">
            <v>24164</v>
          </cell>
        </row>
        <row r="2893">
          <cell r="A2893" t="str">
            <v>24169</v>
          </cell>
        </row>
        <row r="2894">
          <cell r="A2894" t="str">
            <v>24170</v>
          </cell>
        </row>
        <row r="2895">
          <cell r="A2895" t="str">
            <v>24171</v>
          </cell>
        </row>
        <row r="2896">
          <cell r="A2896" t="str">
            <v>23514</v>
          </cell>
        </row>
        <row r="2897">
          <cell r="A2897" t="str">
            <v>23518</v>
          </cell>
        </row>
        <row r="2898">
          <cell r="A2898" t="str">
            <v>23536</v>
          </cell>
        </row>
        <row r="2899">
          <cell r="A2899" t="str">
            <v>23537</v>
          </cell>
        </row>
        <row r="2900">
          <cell r="A2900" t="str">
            <v>23538</v>
          </cell>
        </row>
        <row r="2901">
          <cell r="A2901" t="str">
            <v>23539</v>
          </cell>
        </row>
        <row r="2902">
          <cell r="A2902" t="str">
            <v>23540</v>
          </cell>
        </row>
        <row r="2903">
          <cell r="A2903" t="str">
            <v>23541</v>
          </cell>
        </row>
        <row r="2904">
          <cell r="A2904" t="str">
            <v>23542</v>
          </cell>
        </row>
        <row r="2905">
          <cell r="A2905" t="str">
            <v>23543</v>
          </cell>
        </row>
        <row r="2906">
          <cell r="A2906" t="str">
            <v>23544</v>
          </cell>
        </row>
        <row r="2907">
          <cell r="A2907" t="str">
            <v>23643</v>
          </cell>
        </row>
        <row r="2908">
          <cell r="A2908" t="str">
            <v>23650</v>
          </cell>
        </row>
        <row r="2909">
          <cell r="A2909" t="str">
            <v>23651</v>
          </cell>
        </row>
        <row r="2910">
          <cell r="A2910" t="str">
            <v>23655</v>
          </cell>
        </row>
        <row r="2911">
          <cell r="A2911" t="str">
            <v>23656</v>
          </cell>
        </row>
        <row r="2912">
          <cell r="A2912" t="str">
            <v>23858</v>
          </cell>
        </row>
        <row r="2913">
          <cell r="A2913" t="str">
            <v>24454</v>
          </cell>
        </row>
        <row r="2914">
          <cell r="A2914" t="str">
            <v>24455</v>
          </cell>
        </row>
        <row r="2915">
          <cell r="A2915" t="str">
            <v>24456</v>
          </cell>
        </row>
        <row r="2916">
          <cell r="A2916" t="str">
            <v>24457</v>
          </cell>
        </row>
        <row r="2917">
          <cell r="A2917" t="str">
            <v>24463</v>
          </cell>
        </row>
        <row r="2918">
          <cell r="A2918" t="str">
            <v>24519</v>
          </cell>
        </row>
        <row r="2919">
          <cell r="A2919" t="str">
            <v>24522</v>
          </cell>
        </row>
        <row r="2920">
          <cell r="A2920" t="str">
            <v>24523</v>
          </cell>
        </row>
        <row r="2921">
          <cell r="A2921" t="str">
            <v>24524</v>
          </cell>
        </row>
        <row r="2922">
          <cell r="A2922" t="str">
            <v>24525</v>
          </cell>
        </row>
        <row r="2923">
          <cell r="A2923" t="str">
            <v>24527</v>
          </cell>
        </row>
        <row r="2924">
          <cell r="A2924" t="str">
            <v>24528</v>
          </cell>
        </row>
        <row r="2925">
          <cell r="A2925" t="str">
            <v>24529</v>
          </cell>
        </row>
        <row r="2926">
          <cell r="A2926" t="str">
            <v>24530</v>
          </cell>
        </row>
        <row r="2927">
          <cell r="A2927" t="str">
            <v>24534</v>
          </cell>
        </row>
        <row r="2928">
          <cell r="A2928" t="str">
            <v>24535</v>
          </cell>
        </row>
        <row r="2929">
          <cell r="A2929" t="str">
            <v>24536</v>
          </cell>
        </row>
        <row r="2930">
          <cell r="A2930" t="str">
            <v>24537</v>
          </cell>
        </row>
        <row r="2931">
          <cell r="A2931" t="str">
            <v>24538</v>
          </cell>
        </row>
        <row r="2932">
          <cell r="A2932" t="str">
            <v>24539</v>
          </cell>
        </row>
        <row r="2933">
          <cell r="A2933" t="str">
            <v>24544</v>
          </cell>
        </row>
        <row r="2934">
          <cell r="A2934" t="str">
            <v>24545</v>
          </cell>
        </row>
        <row r="2935">
          <cell r="A2935" t="str">
            <v>24546</v>
          </cell>
        </row>
        <row r="2936">
          <cell r="A2936" t="str">
            <v>11135</v>
          </cell>
        </row>
        <row r="2937">
          <cell r="A2937" t="str">
            <v>11136</v>
          </cell>
        </row>
        <row r="2938">
          <cell r="A2938" t="str">
            <v>21593</v>
          </cell>
        </row>
        <row r="2939">
          <cell r="A2939" t="str">
            <v>21594</v>
          </cell>
        </row>
        <row r="2940">
          <cell r="A2940" t="str">
            <v>21710</v>
          </cell>
        </row>
        <row r="2941">
          <cell r="A2941" t="str">
            <v>21711</v>
          </cell>
        </row>
        <row r="2942">
          <cell r="A2942" t="str">
            <v>23859</v>
          </cell>
        </row>
        <row r="2943">
          <cell r="A2943" t="str">
            <v>23861</v>
          </cell>
        </row>
        <row r="2944">
          <cell r="A2944" t="str">
            <v>23864</v>
          </cell>
        </row>
        <row r="2945">
          <cell r="A2945" t="str">
            <v>23866</v>
          </cell>
        </row>
        <row r="2946">
          <cell r="A2946" t="str">
            <v>23891</v>
          </cell>
        </row>
        <row r="2947">
          <cell r="A2947" t="str">
            <v>23892</v>
          </cell>
        </row>
        <row r="2948">
          <cell r="A2948" t="str">
            <v>23902</v>
          </cell>
        </row>
        <row r="2949">
          <cell r="A2949" t="str">
            <v>23903</v>
          </cell>
        </row>
        <row r="2950">
          <cell r="A2950" t="str">
            <v>23904</v>
          </cell>
        </row>
        <row r="2951">
          <cell r="A2951" t="str">
            <v>23905</v>
          </cell>
        </row>
        <row r="2952">
          <cell r="A2952" t="str">
            <v>23908</v>
          </cell>
        </row>
        <row r="2953">
          <cell r="A2953" t="str">
            <v>23909</v>
          </cell>
        </row>
        <row r="2954">
          <cell r="A2954" t="str">
            <v>23936</v>
          </cell>
        </row>
        <row r="2955">
          <cell r="A2955" t="str">
            <v>23938</v>
          </cell>
        </row>
        <row r="2956">
          <cell r="A2956" t="str">
            <v>23945</v>
          </cell>
        </row>
        <row r="2957">
          <cell r="A2957" t="str">
            <v>23946</v>
          </cell>
        </row>
        <row r="2958">
          <cell r="A2958" t="str">
            <v>23947</v>
          </cell>
        </row>
        <row r="2959">
          <cell r="A2959" t="str">
            <v>23948</v>
          </cell>
        </row>
        <row r="2960">
          <cell r="A2960" t="str">
            <v>23949</v>
          </cell>
        </row>
        <row r="2961">
          <cell r="A2961" t="str">
            <v>23950</v>
          </cell>
        </row>
        <row r="2962">
          <cell r="A2962" t="str">
            <v>23951</v>
          </cell>
        </row>
        <row r="2963">
          <cell r="A2963" t="str">
            <v>23963</v>
          </cell>
        </row>
        <row r="2964">
          <cell r="A2964" t="str">
            <v>23964</v>
          </cell>
        </row>
        <row r="2965">
          <cell r="A2965" t="str">
            <v>23965</v>
          </cell>
        </row>
        <row r="2966">
          <cell r="A2966" t="str">
            <v>23966</v>
          </cell>
        </row>
        <row r="2967">
          <cell r="A2967" t="str">
            <v>23967</v>
          </cell>
        </row>
        <row r="2968">
          <cell r="A2968" t="str">
            <v>23968</v>
          </cell>
        </row>
        <row r="2969">
          <cell r="A2969" t="str">
            <v>23969</v>
          </cell>
        </row>
        <row r="2970">
          <cell r="A2970" t="str">
            <v>23970</v>
          </cell>
        </row>
        <row r="2971">
          <cell r="A2971" t="str">
            <v>23971</v>
          </cell>
        </row>
        <row r="2972">
          <cell r="A2972" t="str">
            <v>23972</v>
          </cell>
        </row>
        <row r="2973">
          <cell r="A2973" t="str">
            <v>23977</v>
          </cell>
        </row>
        <row r="2974">
          <cell r="A2974" t="str">
            <v>23978</v>
          </cell>
        </row>
        <row r="2975">
          <cell r="A2975" t="str">
            <v>23979</v>
          </cell>
        </row>
        <row r="2976">
          <cell r="A2976" t="str">
            <v>23984</v>
          </cell>
        </row>
        <row r="2977">
          <cell r="A2977" t="str">
            <v>23985</v>
          </cell>
        </row>
        <row r="2978">
          <cell r="A2978" t="str">
            <v>23989</v>
          </cell>
        </row>
        <row r="2979">
          <cell r="A2979" t="str">
            <v>23990</v>
          </cell>
        </row>
        <row r="2980">
          <cell r="A2980" t="str">
            <v>23991</v>
          </cell>
        </row>
        <row r="2981">
          <cell r="A2981" t="str">
            <v>23992</v>
          </cell>
        </row>
        <row r="2982">
          <cell r="A2982" t="str">
            <v>23997</v>
          </cell>
        </row>
        <row r="2983">
          <cell r="A2983" t="str">
            <v>23998</v>
          </cell>
        </row>
        <row r="2984">
          <cell r="A2984" t="str">
            <v>23999</v>
          </cell>
        </row>
        <row r="2985">
          <cell r="A2985" t="str">
            <v>24000</v>
          </cell>
        </row>
        <row r="2986">
          <cell r="A2986" t="str">
            <v>24002</v>
          </cell>
        </row>
        <row r="2987">
          <cell r="A2987" t="str">
            <v>24009</v>
          </cell>
        </row>
        <row r="2988">
          <cell r="A2988" t="str">
            <v>24012</v>
          </cell>
        </row>
        <row r="2989">
          <cell r="A2989" t="str">
            <v>24020</v>
          </cell>
        </row>
        <row r="2990">
          <cell r="A2990" t="str">
            <v>24021</v>
          </cell>
        </row>
        <row r="2991">
          <cell r="A2991" t="str">
            <v>24029</v>
          </cell>
        </row>
        <row r="2992">
          <cell r="A2992" t="str">
            <v>24030</v>
          </cell>
        </row>
        <row r="2993">
          <cell r="A2993" t="str">
            <v>24031</v>
          </cell>
        </row>
        <row r="2994">
          <cell r="A2994" t="str">
            <v>24039</v>
          </cell>
        </row>
        <row r="2995">
          <cell r="A2995" t="str">
            <v>24040</v>
          </cell>
        </row>
        <row r="2996">
          <cell r="A2996" t="str">
            <v>24054</v>
          </cell>
        </row>
        <row r="2997">
          <cell r="A2997" t="str">
            <v>24055</v>
          </cell>
        </row>
        <row r="2998">
          <cell r="A2998" t="str">
            <v>24056</v>
          </cell>
        </row>
        <row r="2999">
          <cell r="A2999" t="str">
            <v>24058</v>
          </cell>
        </row>
        <row r="3000">
          <cell r="A3000" t="str">
            <v>24059</v>
          </cell>
        </row>
        <row r="3001">
          <cell r="A3001" t="str">
            <v>24062</v>
          </cell>
        </row>
        <row r="3002">
          <cell r="A3002" t="str">
            <v>24065</v>
          </cell>
        </row>
        <row r="3003">
          <cell r="A3003" t="str">
            <v>24087</v>
          </cell>
        </row>
        <row r="3004">
          <cell r="A3004" t="str">
            <v>24088</v>
          </cell>
        </row>
        <row r="3005">
          <cell r="A3005" t="str">
            <v>24091</v>
          </cell>
        </row>
        <row r="3006">
          <cell r="A3006" t="str">
            <v>24092</v>
          </cell>
        </row>
        <row r="3007">
          <cell r="A3007" t="str">
            <v>24093</v>
          </cell>
        </row>
        <row r="3008">
          <cell r="A3008" t="str">
            <v>24094</v>
          </cell>
        </row>
        <row r="3009">
          <cell r="A3009" t="str">
            <v>24095</v>
          </cell>
        </row>
        <row r="3010">
          <cell r="A3010" t="str">
            <v>24096</v>
          </cell>
        </row>
        <row r="3011">
          <cell r="A3011" t="str">
            <v>24406</v>
          </cell>
        </row>
        <row r="3012">
          <cell r="A3012" t="str">
            <v>24414</v>
          </cell>
        </row>
        <row r="3013">
          <cell r="A3013" t="str">
            <v>24415</v>
          </cell>
        </row>
        <row r="3014">
          <cell r="A3014" t="str">
            <v>24416</v>
          </cell>
        </row>
        <row r="3015">
          <cell r="A3015" t="str">
            <v>24417</v>
          </cell>
        </row>
        <row r="3016">
          <cell r="A3016" t="str">
            <v>24418</v>
          </cell>
        </row>
        <row r="3017">
          <cell r="A3017" t="str">
            <v>24419</v>
          </cell>
        </row>
        <row r="3018">
          <cell r="A3018" t="str">
            <v>24420</v>
          </cell>
        </row>
        <row r="3019">
          <cell r="A3019" t="str">
            <v>24423</v>
          </cell>
        </row>
        <row r="3020">
          <cell r="A3020" t="str">
            <v>24424</v>
          </cell>
        </row>
        <row r="3021">
          <cell r="A3021" t="str">
            <v>24425</v>
          </cell>
        </row>
        <row r="3022">
          <cell r="A3022" t="str">
            <v>24429</v>
          </cell>
        </row>
        <row r="3023">
          <cell r="A3023" t="str">
            <v>24430</v>
          </cell>
        </row>
        <row r="3024">
          <cell r="A3024" t="str">
            <v>24431</v>
          </cell>
        </row>
        <row r="3025">
          <cell r="A3025" t="str">
            <v>24436</v>
          </cell>
        </row>
        <row r="3026">
          <cell r="A3026" t="str">
            <v>24437</v>
          </cell>
        </row>
        <row r="3027">
          <cell r="A3027" t="str">
            <v>24440</v>
          </cell>
        </row>
        <row r="3028">
          <cell r="A3028" t="str">
            <v>24441</v>
          </cell>
        </row>
        <row r="3029">
          <cell r="A3029" t="str">
            <v>24445</v>
          </cell>
        </row>
        <row r="3030">
          <cell r="A3030" t="str">
            <v>24446</v>
          </cell>
        </row>
        <row r="3031">
          <cell r="A3031" t="str">
            <v>24450</v>
          </cell>
        </row>
        <row r="3032">
          <cell r="A3032" t="str">
            <v>24458</v>
          </cell>
        </row>
        <row r="3033">
          <cell r="A3033" t="str">
            <v>24464</v>
          </cell>
        </row>
        <row r="3034">
          <cell r="A3034" t="str">
            <v>24465</v>
          </cell>
        </row>
        <row r="3035">
          <cell r="A3035" t="str">
            <v>24467</v>
          </cell>
        </row>
        <row r="3036">
          <cell r="A3036" t="str">
            <v>24468</v>
          </cell>
        </row>
        <row r="3037">
          <cell r="A3037" t="str">
            <v>24469</v>
          </cell>
        </row>
        <row r="3038">
          <cell r="A3038" t="str">
            <v>24477</v>
          </cell>
        </row>
        <row r="3039">
          <cell r="A3039" t="str">
            <v>24482</v>
          </cell>
        </row>
        <row r="3040">
          <cell r="A3040" t="str">
            <v>24483</v>
          </cell>
        </row>
        <row r="3041">
          <cell r="A3041" t="str">
            <v>24484</v>
          </cell>
        </row>
        <row r="3042">
          <cell r="A3042" t="str">
            <v>24485</v>
          </cell>
        </row>
        <row r="3043">
          <cell r="A3043" t="str">
            <v>24486</v>
          </cell>
        </row>
        <row r="3044">
          <cell r="A3044" t="str">
            <v>24487</v>
          </cell>
        </row>
        <row r="3045">
          <cell r="A3045" t="str">
            <v>24488</v>
          </cell>
        </row>
        <row r="3046">
          <cell r="A3046" t="str">
            <v>24489</v>
          </cell>
        </row>
        <row r="3047">
          <cell r="A3047" t="str">
            <v>24490</v>
          </cell>
        </row>
        <row r="3048">
          <cell r="A3048" t="str">
            <v>24491</v>
          </cell>
        </row>
        <row r="3049">
          <cell r="A3049" t="str">
            <v>24492</v>
          </cell>
        </row>
        <row r="3050">
          <cell r="A3050" t="str">
            <v>24495</v>
          </cell>
        </row>
        <row r="3051">
          <cell r="A3051" t="str">
            <v>24499</v>
          </cell>
        </row>
        <row r="3052">
          <cell r="A3052" t="str">
            <v>24500</v>
          </cell>
        </row>
        <row r="3053">
          <cell r="A3053" t="str">
            <v>24501</v>
          </cell>
        </row>
        <row r="3054">
          <cell r="A3054" t="str">
            <v>24502</v>
          </cell>
        </row>
        <row r="3055">
          <cell r="A3055" t="str">
            <v>24503</v>
          </cell>
        </row>
        <row r="3056">
          <cell r="A3056" t="str">
            <v>24504</v>
          </cell>
        </row>
        <row r="3057">
          <cell r="A3057" t="str">
            <v>24505</v>
          </cell>
        </row>
        <row r="3058">
          <cell r="A3058" t="str">
            <v>24506</v>
          </cell>
        </row>
        <row r="3059">
          <cell r="A3059" t="str">
            <v>24508</v>
          </cell>
        </row>
        <row r="3060">
          <cell r="A3060" t="str">
            <v>24509</v>
          </cell>
        </row>
        <row r="3061">
          <cell r="A3061" t="str">
            <v>24510</v>
          </cell>
        </row>
        <row r="3062">
          <cell r="A3062" t="str">
            <v>24511</v>
          </cell>
        </row>
        <row r="3063">
          <cell r="A3063" t="str">
            <v>24516</v>
          </cell>
        </row>
        <row r="3064">
          <cell r="A3064" t="str">
            <v>24533</v>
          </cell>
        </row>
        <row r="3065">
          <cell r="A3065" t="str">
            <v>24543</v>
          </cell>
        </row>
        <row r="3066">
          <cell r="A3066" t="str">
            <v>24547</v>
          </cell>
        </row>
        <row r="3067">
          <cell r="A3067" t="str">
            <v>24551</v>
          </cell>
        </row>
        <row r="3068">
          <cell r="A3068" t="str">
            <v>24552</v>
          </cell>
        </row>
        <row r="3069">
          <cell r="A3069" t="str">
            <v>24553</v>
          </cell>
        </row>
        <row r="3070">
          <cell r="A3070" t="str">
            <v>24555</v>
          </cell>
        </row>
        <row r="3071">
          <cell r="A3071" t="str">
            <v>24556</v>
          </cell>
        </row>
        <row r="3072">
          <cell r="A3072" t="str">
            <v>24557</v>
          </cell>
        </row>
        <row r="3073">
          <cell r="A3073" t="str">
            <v>24558</v>
          </cell>
        </row>
        <row r="3074">
          <cell r="A3074" t="str">
            <v>24559</v>
          </cell>
        </row>
        <row r="3075">
          <cell r="A3075" t="str">
            <v>24566</v>
          </cell>
        </row>
        <row r="3076">
          <cell r="A3076" t="str">
            <v>24567</v>
          </cell>
        </row>
        <row r="3077">
          <cell r="A3077" t="str">
            <v>24575</v>
          </cell>
        </row>
        <row r="3078">
          <cell r="A3078" t="str">
            <v>24576</v>
          </cell>
        </row>
        <row r="3079">
          <cell r="A3079" t="str">
            <v>24577</v>
          </cell>
        </row>
        <row r="3080">
          <cell r="A3080" t="str">
            <v>24578</v>
          </cell>
        </row>
        <row r="3081">
          <cell r="A3081" t="str">
            <v>24579</v>
          </cell>
        </row>
        <row r="3082">
          <cell r="A3082" t="str">
            <v>24580</v>
          </cell>
        </row>
        <row r="3083">
          <cell r="A3083" t="str">
            <v>24584</v>
          </cell>
        </row>
        <row r="3084">
          <cell r="A3084" t="str">
            <v>24585</v>
          </cell>
        </row>
        <row r="3085">
          <cell r="A3085" t="str">
            <v>24586</v>
          </cell>
        </row>
        <row r="3086">
          <cell r="A3086" t="str">
            <v>24587</v>
          </cell>
        </row>
        <row r="3087">
          <cell r="A3087" t="str">
            <v>24588</v>
          </cell>
        </row>
        <row r="3088">
          <cell r="A3088" t="str">
            <v>24589</v>
          </cell>
        </row>
        <row r="3089">
          <cell r="A3089" t="str">
            <v>24592</v>
          </cell>
        </row>
        <row r="3090">
          <cell r="A3090" t="str">
            <v>11215</v>
          </cell>
        </row>
        <row r="3091">
          <cell r="A3091" t="str">
            <v>11295</v>
          </cell>
        </row>
        <row r="3092">
          <cell r="A3092" t="str">
            <v>11320</v>
          </cell>
        </row>
        <row r="3093">
          <cell r="A3093" t="str">
            <v>20193</v>
          </cell>
        </row>
        <row r="3094">
          <cell r="A3094" t="str">
            <v>20614</v>
          </cell>
        </row>
        <row r="3095">
          <cell r="A3095" t="str">
            <v>20617</v>
          </cell>
        </row>
        <row r="3096">
          <cell r="A3096" t="str">
            <v>25006</v>
          </cell>
        </row>
        <row r="3097">
          <cell r="A3097" t="str">
            <v>20213</v>
          </cell>
        </row>
        <row r="3098">
          <cell r="A3098" t="str">
            <v>20214</v>
          </cell>
        </row>
        <row r="3099">
          <cell r="A3099" t="str">
            <v>20215</v>
          </cell>
        </row>
        <row r="3100">
          <cell r="A3100" t="str">
            <v>20223</v>
          </cell>
        </row>
        <row r="3101">
          <cell r="A3101" t="str">
            <v>20224</v>
          </cell>
        </row>
        <row r="3102">
          <cell r="A3102" t="str">
            <v>20237</v>
          </cell>
        </row>
        <row r="3103">
          <cell r="A3103" t="str">
            <v>10163</v>
          </cell>
        </row>
        <row r="3104">
          <cell r="A3104" t="str">
            <v>10168</v>
          </cell>
        </row>
        <row r="3105">
          <cell r="A3105" t="str">
            <v>10172</v>
          </cell>
        </row>
        <row r="3106">
          <cell r="A3106" t="str">
            <v>10607</v>
          </cell>
        </row>
        <row r="3107">
          <cell r="A3107" t="str">
            <v>10608</v>
          </cell>
        </row>
        <row r="3108">
          <cell r="A3108" t="str">
            <v>10610</v>
          </cell>
        </row>
        <row r="3109">
          <cell r="A3109" t="str">
            <v>10980</v>
          </cell>
        </row>
        <row r="3110">
          <cell r="A3110" t="str">
            <v>10989</v>
          </cell>
        </row>
        <row r="3111">
          <cell r="A3111" t="str">
            <v>10994</v>
          </cell>
        </row>
        <row r="3112">
          <cell r="A3112" t="str">
            <v>11011</v>
          </cell>
        </row>
        <row r="3113">
          <cell r="A3113" t="str">
            <v>11061</v>
          </cell>
        </row>
        <row r="3114">
          <cell r="A3114" t="str">
            <v>11157</v>
          </cell>
        </row>
        <row r="3115">
          <cell r="A3115" t="str">
            <v>21047</v>
          </cell>
        </row>
        <row r="3116">
          <cell r="A3116" t="str">
            <v>21048</v>
          </cell>
        </row>
        <row r="3117">
          <cell r="A3117" t="str">
            <v>21085</v>
          </cell>
        </row>
        <row r="3118">
          <cell r="A3118" t="str">
            <v>21107</v>
          </cell>
        </row>
        <row r="3119">
          <cell r="A3119" t="str">
            <v>21115</v>
          </cell>
        </row>
        <row r="3120">
          <cell r="A3120" t="str">
            <v>21160</v>
          </cell>
        </row>
        <row r="3121">
          <cell r="A3121" t="str">
            <v>21174</v>
          </cell>
        </row>
        <row r="3122">
          <cell r="A3122" t="str">
            <v>21177</v>
          </cell>
        </row>
        <row r="3123">
          <cell r="A3123" t="str">
            <v>21178</v>
          </cell>
        </row>
        <row r="3124">
          <cell r="A3124" t="str">
            <v>21192</v>
          </cell>
        </row>
        <row r="3125">
          <cell r="A3125" t="str">
            <v>21238</v>
          </cell>
        </row>
        <row r="3126">
          <cell r="A3126" t="str">
            <v>21287</v>
          </cell>
        </row>
        <row r="3127">
          <cell r="A3127" t="str">
            <v>21312</v>
          </cell>
        </row>
        <row r="3128">
          <cell r="A3128" t="str">
            <v>21328</v>
          </cell>
        </row>
        <row r="3129">
          <cell r="A3129" t="str">
            <v>21353</v>
          </cell>
        </row>
        <row r="3130">
          <cell r="A3130" t="str">
            <v>21367</v>
          </cell>
        </row>
        <row r="3131">
          <cell r="A3131" t="str">
            <v>21369</v>
          </cell>
        </row>
        <row r="3132">
          <cell r="A3132" t="str">
            <v>21384</v>
          </cell>
        </row>
        <row r="3133">
          <cell r="A3133" t="str">
            <v>21396</v>
          </cell>
        </row>
        <row r="3134">
          <cell r="A3134" t="str">
            <v>21397</v>
          </cell>
        </row>
        <row r="3135">
          <cell r="A3135" t="str">
            <v>21427</v>
          </cell>
        </row>
        <row r="3136">
          <cell r="A3136" t="str">
            <v>21438</v>
          </cell>
        </row>
        <row r="3137">
          <cell r="A3137" t="str">
            <v>21441</v>
          </cell>
        </row>
        <row r="3138">
          <cell r="A3138" t="str">
            <v>21445</v>
          </cell>
        </row>
        <row r="3139">
          <cell r="A3139" t="str">
            <v>21450</v>
          </cell>
        </row>
        <row r="3140">
          <cell r="A3140" t="str">
            <v>21453</v>
          </cell>
        </row>
        <row r="3141">
          <cell r="A3141" t="str">
            <v>21457</v>
          </cell>
        </row>
        <row r="3142">
          <cell r="A3142" t="str">
            <v>21469</v>
          </cell>
        </row>
        <row r="3143">
          <cell r="A3143" t="str">
            <v>21475</v>
          </cell>
        </row>
        <row r="3144">
          <cell r="A3144" t="str">
            <v>21486</v>
          </cell>
        </row>
        <row r="3145">
          <cell r="A3145" t="str">
            <v>21488</v>
          </cell>
        </row>
        <row r="3146">
          <cell r="A3146" t="str">
            <v>21489</v>
          </cell>
        </row>
        <row r="3147">
          <cell r="A3147" t="str">
            <v>21537</v>
          </cell>
        </row>
        <row r="3148">
          <cell r="A3148" t="str">
            <v>21541</v>
          </cell>
        </row>
        <row r="3149">
          <cell r="A3149" t="str">
            <v>21550</v>
          </cell>
        </row>
        <row r="3150">
          <cell r="A3150" t="str">
            <v>21552</v>
          </cell>
        </row>
        <row r="3151">
          <cell r="A3151" t="str">
            <v>21595</v>
          </cell>
        </row>
        <row r="3152">
          <cell r="A3152" t="str">
            <v>21596</v>
          </cell>
        </row>
        <row r="3153">
          <cell r="A3153" t="str">
            <v>21597</v>
          </cell>
        </row>
        <row r="3154">
          <cell r="A3154" t="str">
            <v>21725</v>
          </cell>
        </row>
        <row r="3155">
          <cell r="A3155" t="str">
            <v>21729</v>
          </cell>
        </row>
        <row r="3156">
          <cell r="A3156" t="str">
            <v>21730</v>
          </cell>
        </row>
        <row r="3157">
          <cell r="A3157" t="str">
            <v>21735</v>
          </cell>
        </row>
        <row r="3158">
          <cell r="A3158" t="str">
            <v>21736</v>
          </cell>
        </row>
        <row r="3159">
          <cell r="A3159" t="str">
            <v>21739</v>
          </cell>
        </row>
        <row r="3160">
          <cell r="A3160" t="str">
            <v>21740</v>
          </cell>
        </row>
        <row r="3161">
          <cell r="A3161" t="str">
            <v>21742</v>
          </cell>
        </row>
        <row r="3162">
          <cell r="A3162" t="str">
            <v>21743</v>
          </cell>
        </row>
        <row r="3163">
          <cell r="A3163" t="str">
            <v>21744</v>
          </cell>
        </row>
        <row r="3164">
          <cell r="A3164" t="str">
            <v>23366</v>
          </cell>
        </row>
        <row r="3165">
          <cell r="A3165" t="str">
            <v>23367</v>
          </cell>
        </row>
        <row r="3166">
          <cell r="A3166" t="str">
            <v>23464</v>
          </cell>
        </row>
        <row r="3167">
          <cell r="A3167" t="str">
            <v>23545</v>
          </cell>
        </row>
        <row r="3168">
          <cell r="A3168" t="str">
            <v>23546</v>
          </cell>
        </row>
        <row r="3169">
          <cell r="A3169" t="str">
            <v>23547</v>
          </cell>
        </row>
        <row r="3170">
          <cell r="A3170" t="str">
            <v>23580</v>
          </cell>
        </row>
        <row r="3171">
          <cell r="A3171" t="str">
            <v>23581</v>
          </cell>
        </row>
        <row r="3172">
          <cell r="A3172" t="str">
            <v>23660</v>
          </cell>
        </row>
        <row r="3173">
          <cell r="A3173" t="str">
            <v>23745</v>
          </cell>
        </row>
        <row r="3174">
          <cell r="A3174" t="str">
            <v>23758</v>
          </cell>
        </row>
        <row r="3175">
          <cell r="A3175" t="str">
            <v>23760</v>
          </cell>
        </row>
        <row r="3176">
          <cell r="A3176" t="str">
            <v>23797</v>
          </cell>
        </row>
        <row r="3177">
          <cell r="A3177" t="str">
            <v>23798</v>
          </cell>
        </row>
        <row r="3178">
          <cell r="A3178" t="str">
            <v>23818</v>
          </cell>
        </row>
        <row r="3179">
          <cell r="A3179" t="str">
            <v>24106</v>
          </cell>
        </row>
        <row r="3180">
          <cell r="A3180" t="str">
            <v>24130</v>
          </cell>
        </row>
        <row r="3181">
          <cell r="A3181" t="str">
            <v>24134</v>
          </cell>
        </row>
        <row r="3182">
          <cell r="A3182" t="str">
            <v>24151</v>
          </cell>
        </row>
        <row r="3183">
          <cell r="A3183" t="str">
            <v>24152</v>
          </cell>
        </row>
        <row r="3184">
          <cell r="A3184" t="str">
            <v>24154</v>
          </cell>
        </row>
        <row r="3185">
          <cell r="A3185" t="str">
            <v>24160</v>
          </cell>
        </row>
        <row r="3186">
          <cell r="A3186" t="str">
            <v>24172</v>
          </cell>
        </row>
        <row r="3187">
          <cell r="A3187" t="str">
            <v>24173</v>
          </cell>
        </row>
        <row r="3188">
          <cell r="A3188" t="str">
            <v>24174</v>
          </cell>
        </row>
        <row r="3189">
          <cell r="A3189" t="str">
            <v>24175</v>
          </cell>
        </row>
        <row r="3190">
          <cell r="A3190" t="str">
            <v>24180</v>
          </cell>
        </row>
        <row r="3191">
          <cell r="A3191" t="str">
            <v>24183</v>
          </cell>
        </row>
        <row r="3192">
          <cell r="A3192" t="str">
            <v>24188</v>
          </cell>
        </row>
        <row r="3193">
          <cell r="A3193" t="str">
            <v>24196</v>
          </cell>
        </row>
        <row r="3194">
          <cell r="A3194" t="str">
            <v>24200</v>
          </cell>
        </row>
        <row r="3195">
          <cell r="A3195" t="str">
            <v>24201</v>
          </cell>
        </row>
        <row r="3196">
          <cell r="A3196" t="str">
            <v>24211</v>
          </cell>
        </row>
        <row r="3197">
          <cell r="A3197" t="str">
            <v>24219</v>
          </cell>
        </row>
        <row r="3198">
          <cell r="A3198" t="str">
            <v>24220</v>
          </cell>
        </row>
        <row r="3199">
          <cell r="A3199" t="str">
            <v>24221</v>
          </cell>
        </row>
        <row r="3200">
          <cell r="A3200" t="str">
            <v>24223</v>
          </cell>
        </row>
        <row r="3201">
          <cell r="A3201" t="str">
            <v>24228</v>
          </cell>
        </row>
        <row r="3202">
          <cell r="A3202" t="str">
            <v>24231</v>
          </cell>
        </row>
        <row r="3203">
          <cell r="A3203" t="str">
            <v>24232</v>
          </cell>
        </row>
        <row r="3204">
          <cell r="A3204" t="str">
            <v>24235</v>
          </cell>
        </row>
        <row r="3205">
          <cell r="A3205" t="str">
            <v>24236</v>
          </cell>
        </row>
        <row r="3206">
          <cell r="A3206" t="str">
            <v>24239</v>
          </cell>
        </row>
        <row r="3207">
          <cell r="A3207" t="str">
            <v>24240</v>
          </cell>
        </row>
        <row r="3208">
          <cell r="A3208" t="str">
            <v>24242</v>
          </cell>
        </row>
        <row r="3209">
          <cell r="A3209" t="str">
            <v>24244</v>
          </cell>
        </row>
        <row r="3210">
          <cell r="A3210" t="str">
            <v>24247</v>
          </cell>
        </row>
        <row r="3211">
          <cell r="A3211" t="str">
            <v>24248</v>
          </cell>
        </row>
        <row r="3212">
          <cell r="A3212" t="str">
            <v>24249</v>
          </cell>
        </row>
        <row r="3213">
          <cell r="A3213" t="str">
            <v>24250</v>
          </cell>
        </row>
        <row r="3214">
          <cell r="A3214" t="str">
            <v>24251</v>
          </cell>
        </row>
        <row r="3215">
          <cell r="A3215" t="str">
            <v>25005</v>
          </cell>
        </row>
        <row r="3216">
          <cell r="A3216" t="str">
            <v>25017</v>
          </cell>
        </row>
        <row r="3217">
          <cell r="A3217" t="str">
            <v>25030</v>
          </cell>
        </row>
        <row r="3218">
          <cell r="A3218" t="str">
            <v>25031</v>
          </cell>
        </row>
        <row r="3219">
          <cell r="A3219" t="str">
            <v>25033</v>
          </cell>
        </row>
        <row r="3220">
          <cell r="A3220" t="str">
            <v>25034</v>
          </cell>
        </row>
        <row r="3221">
          <cell r="A3221" t="str">
            <v>25051</v>
          </cell>
        </row>
        <row r="3222">
          <cell r="A3222" t="str">
            <v>25077</v>
          </cell>
        </row>
        <row r="3223">
          <cell r="A3223" t="str">
            <v>25099</v>
          </cell>
        </row>
        <row r="3224">
          <cell r="A3224" t="str">
            <v>25108</v>
          </cell>
        </row>
        <row r="3225">
          <cell r="A3225" t="str">
            <v>25109</v>
          </cell>
        </row>
        <row r="3226">
          <cell r="A3226" t="str">
            <v>25110</v>
          </cell>
        </row>
        <row r="3227">
          <cell r="A3227" t="str">
            <v>25111</v>
          </cell>
        </row>
        <row r="3228">
          <cell r="A3228" t="str">
            <v>25116</v>
          </cell>
        </row>
        <row r="3229">
          <cell r="A3229" t="str">
            <v>25117</v>
          </cell>
        </row>
        <row r="3230">
          <cell r="A3230" t="str">
            <v>25120</v>
          </cell>
        </row>
        <row r="3231">
          <cell r="A3231" t="str">
            <v>25121</v>
          </cell>
        </row>
        <row r="3232">
          <cell r="A3232" t="str">
            <v>25122</v>
          </cell>
        </row>
        <row r="3233">
          <cell r="A3233" t="str">
            <v>25132</v>
          </cell>
        </row>
        <row r="3234">
          <cell r="A3234" t="str">
            <v>25134</v>
          </cell>
        </row>
        <row r="3235">
          <cell r="A3235" t="str">
            <v>25200</v>
          </cell>
        </row>
        <row r="3236">
          <cell r="A3236" t="str">
            <v>25300</v>
          </cell>
        </row>
        <row r="3237">
          <cell r="A3237" t="str">
            <v>25301</v>
          </cell>
        </row>
        <row r="3238">
          <cell r="A3238" t="str">
            <v>25302</v>
          </cell>
        </row>
        <row r="3239">
          <cell r="A3239" t="str">
            <v>25303</v>
          </cell>
        </row>
        <row r="3240">
          <cell r="A3240" t="str">
            <v>25304</v>
          </cell>
        </row>
        <row r="3241">
          <cell r="A3241" t="str">
            <v>25308</v>
          </cell>
        </row>
        <row r="3242">
          <cell r="A3242" t="str">
            <v>25310</v>
          </cell>
        </row>
        <row r="3243">
          <cell r="A3243" t="str">
            <v>25311</v>
          </cell>
        </row>
        <row r="3244">
          <cell r="A3244" t="str">
            <v>25312</v>
          </cell>
        </row>
        <row r="3245">
          <cell r="A3245" t="str">
            <v>25313</v>
          </cell>
        </row>
        <row r="3246">
          <cell r="A3246" t="str">
            <v>25315</v>
          </cell>
        </row>
        <row r="3247">
          <cell r="A3247" t="str">
            <v>25316</v>
          </cell>
        </row>
        <row r="3248">
          <cell r="A3248" t="str">
            <v>25317</v>
          </cell>
        </row>
        <row r="3249">
          <cell r="A3249" t="str">
            <v>25319</v>
          </cell>
        </row>
        <row r="3250">
          <cell r="A3250" t="str">
            <v>24255</v>
          </cell>
        </row>
        <row r="3251">
          <cell r="A3251" t="str">
            <v>25324</v>
          </cell>
        </row>
        <row r="3252">
          <cell r="A3252" t="str">
            <v>24256</v>
          </cell>
        </row>
        <row r="3253">
          <cell r="A3253" t="str">
            <v>24026</v>
          </cell>
        </row>
        <row r="3254">
          <cell r="A3254" t="str">
            <v>25325</v>
          </cell>
        </row>
        <row r="3255">
          <cell r="A3255" t="str">
            <v>25326</v>
          </cell>
        </row>
        <row r="3256">
          <cell r="A3256" t="str">
            <v>25327</v>
          </cell>
        </row>
        <row r="3257">
          <cell r="A3257" t="str">
            <v>24259</v>
          </cell>
        </row>
        <row r="3258">
          <cell r="A3258" t="str">
            <v>24036</v>
          </cell>
        </row>
        <row r="3259">
          <cell r="A3259" t="str">
            <v>24260</v>
          </cell>
        </row>
        <row r="3260">
          <cell r="A3260" t="str">
            <v>25136</v>
          </cell>
        </row>
        <row r="3261">
          <cell r="A3261" t="str">
            <v>24262</v>
          </cell>
        </row>
        <row r="3262">
          <cell r="A3262" t="str">
            <v>21754</v>
          </cell>
        </row>
        <row r="3263">
          <cell r="A3263" t="str">
            <v>21755</v>
          </cell>
        </row>
        <row r="3264">
          <cell r="A3264" t="str">
            <v>24263</v>
          </cell>
        </row>
        <row r="3265">
          <cell r="A3265" t="str">
            <v>25224</v>
          </cell>
        </row>
        <row r="3266">
          <cell r="A3266" t="str">
            <v>21757</v>
          </cell>
        </row>
        <row r="3267">
          <cell r="A3267" t="str">
            <v>24197</v>
          </cell>
        </row>
        <row r="3268">
          <cell r="A3268" t="str">
            <v>24266</v>
          </cell>
        </row>
        <row r="3269">
          <cell r="A3269" t="str">
            <v>21758</v>
          </cell>
        </row>
        <row r="3270">
          <cell r="A3270" t="str">
            <v>21769</v>
          </cell>
        </row>
        <row r="3271">
          <cell r="A3271" t="str">
            <v>25328</v>
          </cell>
        </row>
        <row r="3272">
          <cell r="A3272" t="str">
            <v>24271</v>
          </cell>
        </row>
        <row r="3273">
          <cell r="A3273" t="str">
            <v>25329</v>
          </cell>
        </row>
        <row r="3274">
          <cell r="A3274" t="str">
            <v>24275</v>
          </cell>
        </row>
        <row r="3275">
          <cell r="A3275" t="str">
            <v>24276</v>
          </cell>
        </row>
        <row r="3276">
          <cell r="A3276" t="str">
            <v>24277</v>
          </cell>
        </row>
        <row r="3277">
          <cell r="A3277" t="str">
            <v>24278</v>
          </cell>
        </row>
        <row r="3278">
          <cell r="A3278" t="str">
            <v>21772</v>
          </cell>
        </row>
        <row r="3279">
          <cell r="A3279" t="str">
            <v>25331</v>
          </cell>
        </row>
        <row r="3280">
          <cell r="A3280" t="str">
            <v>25332</v>
          </cell>
        </row>
        <row r="3281">
          <cell r="A3281" t="str">
            <v>21773</v>
          </cell>
        </row>
        <row r="3282">
          <cell r="A3282" t="str">
            <v>24281</v>
          </cell>
        </row>
        <row r="3283">
          <cell r="A3283" t="str">
            <v>24282</v>
          </cell>
        </row>
        <row r="3284">
          <cell r="A3284" t="str">
            <v>25333</v>
          </cell>
        </row>
        <row r="3285">
          <cell r="A3285" t="str">
            <v>24283</v>
          </cell>
        </row>
        <row r="3286">
          <cell r="A3286" t="str">
            <v>24284</v>
          </cell>
        </row>
        <row r="3287">
          <cell r="A3287" t="str">
            <v>21774</v>
          </cell>
        </row>
        <row r="3288">
          <cell r="A3288" t="str">
            <v>24285</v>
          </cell>
        </row>
        <row r="3289">
          <cell r="A3289" t="str">
            <v>25334</v>
          </cell>
        </row>
        <row r="3290">
          <cell r="A3290" t="str">
            <v>25335</v>
          </cell>
        </row>
        <row r="3291">
          <cell r="A3291" t="str">
            <v>25336</v>
          </cell>
        </row>
        <row r="3292">
          <cell r="A3292" t="str">
            <v>25337</v>
          </cell>
        </row>
        <row r="3293">
          <cell r="A3293" t="str">
            <v>25338</v>
          </cell>
        </row>
        <row r="3294">
          <cell r="A3294" t="str">
            <v>25339</v>
          </cell>
        </row>
        <row r="3295">
          <cell r="A3295" t="str">
            <v>25340</v>
          </cell>
        </row>
        <row r="3296">
          <cell r="A3296" t="str">
            <v>24293</v>
          </cell>
        </row>
        <row r="3297">
          <cell r="A3297" t="str">
            <v>24295</v>
          </cell>
        </row>
        <row r="3298">
          <cell r="A3298" t="str">
            <v>24296</v>
          </cell>
        </row>
        <row r="3299">
          <cell r="A3299" t="str">
            <v>24297</v>
          </cell>
        </row>
        <row r="3300">
          <cell r="A3300" t="str">
            <v>24298</v>
          </cell>
        </row>
        <row r="3301">
          <cell r="A3301" t="str">
            <v>25341</v>
          </cell>
        </row>
        <row r="3302">
          <cell r="A3302" t="str">
            <v>24299</v>
          </cell>
        </row>
        <row r="3303">
          <cell r="A3303" t="str">
            <v>25342</v>
          </cell>
        </row>
        <row r="3304">
          <cell r="A3304" t="str">
            <v>21791</v>
          </cell>
        </row>
        <row r="3305">
          <cell r="A3305" t="str">
            <v>21792</v>
          </cell>
        </row>
        <row r="3306">
          <cell r="A3306" t="str">
            <v>25343</v>
          </cell>
        </row>
        <row r="3307">
          <cell r="A3307" t="str">
            <v>21793</v>
          </cell>
        </row>
        <row r="3308">
          <cell r="A3308" t="str">
            <v>21794</v>
          </cell>
        </row>
        <row r="3309">
          <cell r="A3309" t="str">
            <v>25605</v>
          </cell>
        </row>
        <row r="3310">
          <cell r="A3310" t="str">
            <v>25345</v>
          </cell>
        </row>
        <row r="3311">
          <cell r="A3311" t="str">
            <v>21795</v>
          </cell>
        </row>
        <row r="3312">
          <cell r="A3312" t="str">
            <v>25607</v>
          </cell>
        </row>
        <row r="3313">
          <cell r="A3313" t="str">
            <v>25608</v>
          </cell>
        </row>
        <row r="3314">
          <cell r="A3314" t="str">
            <v>25612</v>
          </cell>
        </row>
        <row r="3315">
          <cell r="A3315" t="str">
            <v>25615</v>
          </cell>
        </row>
        <row r="3316">
          <cell r="A3316" t="str">
            <v>25616</v>
          </cell>
        </row>
        <row r="3317">
          <cell r="A3317" t="str">
            <v>21810</v>
          </cell>
        </row>
        <row r="3318">
          <cell r="A3318" t="str">
            <v>21812</v>
          </cell>
        </row>
        <row r="3319">
          <cell r="A3319" t="str">
            <v>25348</v>
          </cell>
        </row>
        <row r="3320">
          <cell r="A3320" t="str">
            <v>25349</v>
          </cell>
        </row>
        <row r="3321">
          <cell r="A3321" t="str">
            <v>21817</v>
          </cell>
        </row>
        <row r="3322">
          <cell r="A3322" t="str">
            <v>24199</v>
          </cell>
        </row>
        <row r="3323">
          <cell r="A3323" t="str">
            <v>10913</v>
          </cell>
        </row>
        <row r="3324">
          <cell r="A3324" t="str">
            <v>10914</v>
          </cell>
        </row>
        <row r="3325">
          <cell r="A3325" t="str">
            <v>10915</v>
          </cell>
        </row>
        <row r="3326">
          <cell r="A3326" t="str">
            <v>10916</v>
          </cell>
        </row>
        <row r="3327">
          <cell r="A3327" t="str">
            <v>10917</v>
          </cell>
        </row>
        <row r="3328">
          <cell r="A3328" t="str">
            <v>10918</v>
          </cell>
        </row>
        <row r="3329">
          <cell r="A3329" t="str">
            <v>10940</v>
          </cell>
        </row>
        <row r="3330">
          <cell r="A3330" t="str">
            <v>10941</v>
          </cell>
        </row>
        <row r="3331">
          <cell r="A3331" t="str">
            <v>10955</v>
          </cell>
        </row>
        <row r="3332">
          <cell r="A3332" t="str">
            <v>10956</v>
          </cell>
        </row>
        <row r="3333">
          <cell r="A3333" t="str">
            <v>10957</v>
          </cell>
        </row>
        <row r="3334">
          <cell r="A3334" t="str">
            <v>10961</v>
          </cell>
        </row>
        <row r="3335">
          <cell r="A3335" t="str">
            <v>10998</v>
          </cell>
        </row>
        <row r="3336">
          <cell r="A3336" t="str">
            <v>10999</v>
          </cell>
        </row>
        <row r="3337">
          <cell r="A3337" t="str">
            <v>11000</v>
          </cell>
        </row>
        <row r="3338">
          <cell r="A3338" t="str">
            <v>21032</v>
          </cell>
        </row>
        <row r="3339">
          <cell r="A3339" t="str">
            <v>21033</v>
          </cell>
        </row>
        <row r="3340">
          <cell r="A3340" t="str">
            <v>11201</v>
          </cell>
        </row>
        <row r="3341">
          <cell r="A3341" t="str">
            <v>21034</v>
          </cell>
        </row>
        <row r="3342">
          <cell r="A3342" t="str">
            <v>20238</v>
          </cell>
        </row>
        <row r="3343">
          <cell r="A3343" t="str">
            <v>25018</v>
          </cell>
        </row>
        <row r="3344">
          <cell r="A3344" t="str">
            <v>25025</v>
          </cell>
        </row>
        <row r="3345">
          <cell r="A3345" t="str">
            <v>25015</v>
          </cell>
        </row>
        <row r="3346">
          <cell r="A3346" t="str">
            <v>25016</v>
          </cell>
        </row>
        <row r="3347">
          <cell r="A3347" t="str">
            <v>25036</v>
          </cell>
        </row>
        <row r="3348">
          <cell r="A3348" t="str">
            <v>10988</v>
          </cell>
        </row>
        <row r="3349">
          <cell r="A3349" t="str">
            <v>10166</v>
          </cell>
        </row>
        <row r="3350">
          <cell r="A3350" t="str">
            <v>10173</v>
          </cell>
        </row>
        <row r="3351">
          <cell r="A3351" t="str">
            <v>10248</v>
          </cell>
        </row>
        <row r="3352">
          <cell r="A3352" t="str">
            <v>10482</v>
          </cell>
        </row>
        <row r="3353">
          <cell r="A3353" t="str">
            <v>10483</v>
          </cell>
        </row>
        <row r="3354">
          <cell r="A3354" t="str">
            <v>10497</v>
          </cell>
        </row>
        <row r="3355">
          <cell r="A3355" t="str">
            <v>11128</v>
          </cell>
        </row>
        <row r="3356">
          <cell r="A3356" t="str">
            <v>11129</v>
          </cell>
        </row>
        <row r="3357">
          <cell r="A3357" t="str">
            <v>10198</v>
          </cell>
        </row>
        <row r="3358">
          <cell r="A3358" t="str">
            <v>11414</v>
          </cell>
        </row>
        <row r="3359">
          <cell r="A3359" t="str">
            <v>11428</v>
          </cell>
        </row>
        <row r="3360">
          <cell r="A3360" t="str">
            <v>11429</v>
          </cell>
        </row>
        <row r="3361">
          <cell r="A3361" t="str">
            <v>11445</v>
          </cell>
        </row>
        <row r="3362">
          <cell r="A3362" t="str">
            <v>11523</v>
          </cell>
        </row>
        <row r="3363">
          <cell r="A3363" t="str">
            <v>11525</v>
          </cell>
        </row>
        <row r="3364">
          <cell r="A3364" t="str">
            <v>11062</v>
          </cell>
        </row>
        <row r="3365">
          <cell r="A3365" t="str">
            <v>11063</v>
          </cell>
        </row>
        <row r="3366">
          <cell r="A3366" t="str">
            <v>11064</v>
          </cell>
        </row>
        <row r="3367">
          <cell r="A3367" t="str">
            <v>11065</v>
          </cell>
        </row>
        <row r="3368">
          <cell r="A3368" t="str">
            <v>11067</v>
          </cell>
        </row>
        <row r="3369">
          <cell r="A3369" t="str">
            <v>11068</v>
          </cell>
        </row>
        <row r="3370">
          <cell r="A3370" t="str">
            <v>11070</v>
          </cell>
        </row>
        <row r="3371">
          <cell r="A3371" t="str">
            <v>11073</v>
          </cell>
        </row>
        <row r="3372">
          <cell r="A3372" t="str">
            <v>11074</v>
          </cell>
        </row>
        <row r="3373">
          <cell r="A3373" t="str">
            <v>23714</v>
          </cell>
        </row>
        <row r="3374">
          <cell r="A3374" t="str">
            <v>23715</v>
          </cell>
        </row>
        <row r="3375">
          <cell r="A3375" t="str">
            <v>23719</v>
          </cell>
        </row>
        <row r="3376">
          <cell r="A3376" t="str">
            <v>23860</v>
          </cell>
        </row>
        <row r="3377">
          <cell r="A3377" t="str">
            <v>23862</v>
          </cell>
        </row>
        <row r="3378">
          <cell r="A3378" t="str">
            <v>24185</v>
          </cell>
        </row>
        <row r="3379">
          <cell r="A3379" t="str">
            <v>24186</v>
          </cell>
        </row>
        <row r="3380">
          <cell r="A3380" t="str">
            <v>24187</v>
          </cell>
        </row>
        <row r="3381">
          <cell r="A3381" t="str">
            <v>24189</v>
          </cell>
        </row>
        <row r="3382">
          <cell r="A3382" t="str">
            <v>24190</v>
          </cell>
        </row>
        <row r="3383">
          <cell r="A3383" t="str">
            <v>24191</v>
          </cell>
        </row>
        <row r="3384">
          <cell r="A3384" t="str">
            <v>24192</v>
          </cell>
        </row>
        <row r="3385">
          <cell r="A3385" t="str">
            <v>24193</v>
          </cell>
        </row>
        <row r="3386">
          <cell r="A3386" t="str">
            <v>24194</v>
          </cell>
        </row>
        <row r="3387">
          <cell r="A3387" t="str">
            <v>24195</v>
          </cell>
        </row>
        <row r="3388">
          <cell r="A3388" t="str">
            <v>24245</v>
          </cell>
        </row>
        <row r="3389">
          <cell r="A3389" t="str">
            <v>24246</v>
          </cell>
        </row>
        <row r="3390">
          <cell r="A3390" t="str">
            <v>25204</v>
          </cell>
        </row>
        <row r="3391">
          <cell r="A3391" t="str">
            <v>25205</v>
          </cell>
        </row>
        <row r="3392">
          <cell r="A3392" t="str">
            <v>25210</v>
          </cell>
        </row>
        <row r="3393">
          <cell r="A3393" t="str">
            <v>25211</v>
          </cell>
        </row>
        <row r="3394">
          <cell r="A3394" t="str">
            <v>25216</v>
          </cell>
        </row>
        <row r="3395">
          <cell r="A3395" t="str">
            <v>25220</v>
          </cell>
        </row>
        <row r="3396">
          <cell r="A3396" t="str">
            <v>25221</v>
          </cell>
        </row>
        <row r="3397">
          <cell r="A3397" t="str">
            <v>24264</v>
          </cell>
        </row>
        <row r="3398">
          <cell r="A3398" t="str">
            <v>25227</v>
          </cell>
        </row>
        <row r="3399">
          <cell r="A3399" t="str">
            <v>24267</v>
          </cell>
        </row>
        <row r="3400">
          <cell r="A3400" t="str">
            <v>25234</v>
          </cell>
        </row>
        <row r="3401">
          <cell r="A3401" t="str">
            <v>24268</v>
          </cell>
        </row>
        <row r="3402">
          <cell r="A3402" t="str">
            <v>25245</v>
          </cell>
        </row>
        <row r="3403">
          <cell r="A3403" t="str">
            <v>24280</v>
          </cell>
        </row>
        <row r="3404">
          <cell r="A3404" t="str">
            <v>25246</v>
          </cell>
        </row>
        <row r="3405">
          <cell r="A3405" t="str">
            <v>24288</v>
          </cell>
        </row>
        <row r="3406">
          <cell r="A3406" t="str">
            <v>24198</v>
          </cell>
        </row>
        <row r="3407">
          <cell r="A3407" t="str">
            <v>25251</v>
          </cell>
        </row>
        <row r="3408">
          <cell r="A3408" t="str">
            <v>25252</v>
          </cell>
        </row>
        <row r="3409">
          <cell r="A3409" t="str">
            <v>25401</v>
          </cell>
        </row>
        <row r="3410">
          <cell r="A3410" t="str">
            <v>25259</v>
          </cell>
        </row>
        <row r="3411">
          <cell r="A3411" t="str">
            <v>25611</v>
          </cell>
        </row>
        <row r="3412">
          <cell r="A3412" t="str">
            <v>25613</v>
          </cell>
        </row>
        <row r="3413">
          <cell r="A3413" t="str">
            <v>21814</v>
          </cell>
        </row>
        <row r="3414">
          <cell r="A3414" t="str">
            <v>24460</v>
          </cell>
        </row>
        <row r="3415">
          <cell r="A3415" t="str">
            <v>24461</v>
          </cell>
        </row>
        <row r="3416">
          <cell r="A3416" t="str">
            <v>11283</v>
          </cell>
        </row>
        <row r="3417">
          <cell r="A3417" t="str">
            <v>11285</v>
          </cell>
        </row>
        <row r="3418">
          <cell r="A3418" t="str">
            <v>11292</v>
          </cell>
        </row>
        <row r="3419">
          <cell r="A3419" t="str">
            <v>11307</v>
          </cell>
        </row>
        <row r="3420">
          <cell r="A3420" t="str">
            <v>11339</v>
          </cell>
        </row>
        <row r="3421">
          <cell r="A3421" t="str">
            <v>20332</v>
          </cell>
        </row>
        <row r="3422">
          <cell r="A3422" t="str">
            <v>10224</v>
          </cell>
        </row>
        <row r="3423">
          <cell r="A3423" t="str">
            <v>10234</v>
          </cell>
        </row>
        <row r="3424">
          <cell r="A3424" t="str">
            <v>10440</v>
          </cell>
        </row>
        <row r="3425">
          <cell r="A3425" t="str">
            <v>10498</v>
          </cell>
        </row>
        <row r="3426">
          <cell r="A3426" t="str">
            <v>11325</v>
          </cell>
        </row>
        <row r="3427">
          <cell r="A3427" t="str">
            <v>11342</v>
          </cell>
        </row>
        <row r="3428">
          <cell r="A3428" t="str">
            <v>11343</v>
          </cell>
        </row>
        <row r="3429">
          <cell r="A3429" t="str">
            <v>10179</v>
          </cell>
        </row>
        <row r="3430">
          <cell r="A3430" t="str">
            <v>10192</v>
          </cell>
        </row>
        <row r="3431">
          <cell r="A3431" t="str">
            <v>10191</v>
          </cell>
        </row>
        <row r="3432">
          <cell r="A3432" t="str">
            <v>10195</v>
          </cell>
        </row>
        <row r="3433">
          <cell r="A3433" t="str">
            <v>11505</v>
          </cell>
        </row>
        <row r="3434">
          <cell r="A3434" t="str">
            <v>11511</v>
          </cell>
        </row>
        <row r="3435">
          <cell r="A3435" t="str">
            <v>11433</v>
          </cell>
        </row>
        <row r="3436">
          <cell r="A3436" t="str">
            <v>11522</v>
          </cell>
        </row>
        <row r="3437">
          <cell r="A3437" t="str">
            <v>11444</v>
          </cell>
        </row>
        <row r="3438">
          <cell r="A3438" t="str">
            <v>11529</v>
          </cell>
        </row>
        <row r="3439">
          <cell r="A3439" t="str">
            <v>10942</v>
          </cell>
        </row>
        <row r="3440">
          <cell r="A3440" t="str">
            <v>11206</v>
          </cell>
        </row>
        <row r="3441">
          <cell r="A3441" t="str">
            <v>20618</v>
          </cell>
        </row>
        <row r="3442">
          <cell r="A3442" t="str">
            <v>25021</v>
          </cell>
        </row>
        <row r="3443">
          <cell r="A3443" t="str">
            <v>11020</v>
          </cell>
        </row>
        <row r="3444">
          <cell r="A3444" t="str">
            <v>20250</v>
          </cell>
        </row>
        <row r="3445">
          <cell r="A3445" t="str">
            <v>11217</v>
          </cell>
        </row>
        <row r="3446">
          <cell r="A3446" t="str">
            <v>11218</v>
          </cell>
        </row>
        <row r="3447">
          <cell r="A3447" t="str">
            <v>11224</v>
          </cell>
        </row>
        <row r="3448">
          <cell r="A3448" t="str">
            <v>11227</v>
          </cell>
        </row>
        <row r="3449">
          <cell r="A3449" t="str">
            <v>11340</v>
          </cell>
        </row>
        <row r="3450">
          <cell r="A3450" t="str">
            <v>10748</v>
          </cell>
        </row>
        <row r="3451">
          <cell r="A3451" t="str">
            <v>10982</v>
          </cell>
        </row>
        <row r="3452">
          <cell r="A3452" t="str">
            <v>10995</v>
          </cell>
        </row>
        <row r="3453">
          <cell r="A3453" t="str">
            <v>11323</v>
          </cell>
        </row>
        <row r="3454">
          <cell r="A3454" t="str">
            <v>11256</v>
          </cell>
        </row>
        <row r="3455">
          <cell r="A3455" t="str">
            <v>11268</v>
          </cell>
        </row>
        <row r="3456">
          <cell r="A3456" t="str">
            <v>11274</v>
          </cell>
        </row>
        <row r="3457">
          <cell r="A3457" t="str">
            <v>20231</v>
          </cell>
        </row>
        <row r="3458">
          <cell r="A3458" t="str">
            <v>11330</v>
          </cell>
        </row>
        <row r="3459">
          <cell r="A3459" t="str">
            <v>11332</v>
          </cell>
        </row>
        <row r="3460">
          <cell r="A3460" t="str">
            <v>24042</v>
          </cell>
        </row>
        <row r="3461">
          <cell r="A3461" t="str">
            <v>24043</v>
          </cell>
        </row>
        <row r="3462">
          <cell r="A3462" t="str">
            <v>24044</v>
          </cell>
        </row>
        <row r="3463">
          <cell r="A3463" t="str">
            <v>24045</v>
          </cell>
        </row>
        <row r="3464">
          <cell r="A3464" t="str">
            <v>24046</v>
          </cell>
        </row>
        <row r="3465">
          <cell r="A3465" t="str">
            <v>24069</v>
          </cell>
        </row>
        <row r="3466">
          <cell r="A3466" t="str">
            <v>24070</v>
          </cell>
        </row>
        <row r="3467">
          <cell r="A3467" t="str">
            <v>11432</v>
          </cell>
        </row>
        <row r="3468">
          <cell r="A3468" t="str">
            <v>11436</v>
          </cell>
        </row>
        <row r="3469">
          <cell r="A3469" t="str">
            <v>11437</v>
          </cell>
        </row>
        <row r="3470">
          <cell r="A3470" t="str">
            <v>11442</v>
          </cell>
        </row>
        <row r="3471">
          <cell r="A3471" t="str">
            <v>11443</v>
          </cell>
        </row>
        <row r="3472">
          <cell r="A3472" t="str">
            <v>11447</v>
          </cell>
        </row>
        <row r="3473">
          <cell r="A3473" t="str">
            <v>11448</v>
          </cell>
        </row>
        <row r="3474">
          <cell r="A3474" t="str">
            <v>11335</v>
          </cell>
        </row>
        <row r="3475">
          <cell r="A3475" t="str">
            <v>10342</v>
          </cell>
        </row>
        <row r="3476">
          <cell r="A3476" t="str">
            <v>10345</v>
          </cell>
        </row>
        <row r="3477">
          <cell r="A3477" t="str">
            <v>10346</v>
          </cell>
        </row>
        <row r="3478">
          <cell r="A3478" t="str">
            <v>11165</v>
          </cell>
        </row>
        <row r="3479">
          <cell r="A3479" t="str">
            <v>11166</v>
          </cell>
        </row>
        <row r="3480">
          <cell r="A3480" t="str">
            <v>24286</v>
          </cell>
        </row>
        <row r="3481">
          <cell r="A3481" t="str">
            <v>24287</v>
          </cell>
        </row>
        <row r="3482">
          <cell r="A3482" t="str">
            <v>24290</v>
          </cell>
        </row>
        <row r="3483">
          <cell r="A3483" t="str">
            <v>24291</v>
          </cell>
        </row>
        <row r="3484">
          <cell r="A3484" t="str">
            <v>10347</v>
          </cell>
        </row>
        <row r="3485">
          <cell r="A3485" t="str">
            <v>10348</v>
          </cell>
        </row>
        <row r="3486">
          <cell r="A3486" t="str">
            <v>11180</v>
          </cell>
        </row>
        <row r="3487">
          <cell r="A3487" t="str">
            <v>11181</v>
          </cell>
        </row>
        <row r="3488">
          <cell r="A3488" t="str">
            <v>11186</v>
          </cell>
        </row>
        <row r="3489">
          <cell r="A3489" t="str">
            <v>11341</v>
          </cell>
        </row>
        <row r="3490">
          <cell r="A3490" t="str">
            <v>24453</v>
          </cell>
        </row>
        <row r="3491">
          <cell r="A3491" t="str">
            <v>11345</v>
          </cell>
        </row>
        <row r="3492">
          <cell r="A3492" t="str">
            <v>11344</v>
          </cell>
        </row>
        <row r="3493">
          <cell r="A3493" t="str">
            <v>11351</v>
          </cell>
        </row>
        <row r="3494">
          <cell r="A3494" t="str">
            <v>11347</v>
          </cell>
        </row>
        <row r="3495">
          <cell r="A3495" t="str">
            <v>11348</v>
          </cell>
        </row>
        <row r="3496">
          <cell r="A3496" t="str">
            <v>24470</v>
          </cell>
        </row>
        <row r="3497">
          <cell r="A3497" t="str">
            <v>24471</v>
          </cell>
        </row>
        <row r="3498">
          <cell r="A3498" t="str">
            <v>24472</v>
          </cell>
        </row>
        <row r="3499">
          <cell r="A3499" t="str">
            <v>24473</v>
          </cell>
        </row>
        <row r="3500">
          <cell r="A3500" t="str">
            <v>24478</v>
          </cell>
        </row>
        <row r="3501">
          <cell r="A3501" t="str">
            <v>24479</v>
          </cell>
        </row>
        <row r="3502">
          <cell r="A3502" t="str">
            <v>24480</v>
          </cell>
        </row>
        <row r="3503">
          <cell r="A3503" t="str">
            <v>24582</v>
          </cell>
        </row>
        <row r="3504">
          <cell r="A3504" t="str">
            <v>11361</v>
          </cell>
        </row>
        <row r="3505">
          <cell r="A3505" t="str">
            <v>11526</v>
          </cell>
        </row>
      </sheetData>
      <sheetData sheetId="2"/>
      <sheetData sheetId="3"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進捗グラフ純Ｐ５"/>
      <sheetName val="86期Ｐ５ (集計）"/>
      <sheetName val="86期Ｐ５ (継続詳細)"/>
      <sheetName val="86期Ｐ５ (４月詳細)"/>
      <sheetName val="86期Ｐ５ (５月詳細) "/>
      <sheetName val="86期Ｐ５ (６月詳細)"/>
      <sheetName val="86期Ｐ５ (７月詳細)"/>
      <sheetName val="86期Ｐ５ (８月詳細)"/>
      <sheetName val="86期Ｐ５ (９月詳細) "/>
      <sheetName val="86期Ｐ５ (１０月詳細)"/>
      <sheetName val="86期Ｐ５ (１１月詳細)"/>
      <sheetName val="86期Ｐ５ (１２月詳細)"/>
      <sheetName val="86期Ｐ５ (１月詳細)"/>
      <sheetName val="86期Ｐ５ (２月詳細) "/>
      <sheetName val="86期Ｐ５ (３月詳細)"/>
      <sheetName val="明細一覧（新規計画審議分）"/>
      <sheetName val="明細一覧（計画）"/>
      <sheetName val="明細一覧（実績）"/>
      <sheetName val="マクロ実行"/>
      <sheetName val="集計元データ"/>
      <sheetName val="集計"/>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1">
          <cell r="A1" t="str">
            <v>シート名</v>
          </cell>
          <cell r="B1" t="str">
            <v>月</v>
          </cell>
          <cell r="C1" t="str">
            <v>コード</v>
          </cell>
          <cell r="D1" t="str">
            <v>数量</v>
          </cell>
          <cell r="E1" t="str">
            <v>単価</v>
          </cell>
          <cell r="F1" t="str">
            <v>金額</v>
          </cell>
        </row>
        <row r="2">
          <cell r="A2" t="str">
            <v>86期Ｐ５ (継続詳細)</v>
          </cell>
        </row>
        <row r="3">
          <cell r="A3" t="str">
            <v>86期Ｐ５ (継続詳細)</v>
          </cell>
        </row>
        <row r="4">
          <cell r="A4" t="str">
            <v>86期Ｐ５ (継続詳細)</v>
          </cell>
        </row>
        <row r="5">
          <cell r="A5" t="str">
            <v>86期Ｐ５ (継続詳細)</v>
          </cell>
        </row>
        <row r="6">
          <cell r="A6" t="str">
            <v>86期Ｐ５ (継続詳細)</v>
          </cell>
        </row>
        <row r="7">
          <cell r="A7" t="str">
            <v>86期Ｐ５ (継続詳細)</v>
          </cell>
        </row>
        <row r="8">
          <cell r="A8" t="str">
            <v>86期Ｐ５ (継続詳細)</v>
          </cell>
        </row>
        <row r="9">
          <cell r="A9" t="str">
            <v>86期Ｐ５ (継続詳細)</v>
          </cell>
        </row>
        <row r="10">
          <cell r="A10" t="str">
            <v>86期Ｐ５ (継続詳細)</v>
          </cell>
        </row>
        <row r="11">
          <cell r="A11" t="str">
            <v>86期Ｐ５ (継続詳細)</v>
          </cell>
        </row>
        <row r="12">
          <cell r="A12" t="str">
            <v>86期Ｐ５ (継続詳細)</v>
          </cell>
        </row>
        <row r="13">
          <cell r="A13" t="str">
            <v>86期Ｐ５ (継続詳細)</v>
          </cell>
        </row>
        <row r="14">
          <cell r="A14" t="str">
            <v>86期Ｐ５ (継続詳細)</v>
          </cell>
        </row>
        <row r="15">
          <cell r="A15" t="str">
            <v>86期Ｐ５ (継続詳細)</v>
          </cell>
        </row>
        <row r="16">
          <cell r="A16" t="str">
            <v>86期Ｐ５ (継続詳細)</v>
          </cell>
        </row>
        <row r="17">
          <cell r="A17" t="str">
            <v>86期Ｐ５ (継続詳細)</v>
          </cell>
        </row>
        <row r="18">
          <cell r="A18" t="str">
            <v>86期Ｐ５ (継続詳細)</v>
          </cell>
        </row>
        <row r="19">
          <cell r="A19" t="str">
            <v>86期Ｐ５ (継続詳細)</v>
          </cell>
        </row>
        <row r="20">
          <cell r="A20" t="str">
            <v>86期Ｐ５ (継続詳細)</v>
          </cell>
        </row>
        <row r="21">
          <cell r="A21" t="str">
            <v>86期Ｐ５ (継続詳細)</v>
          </cell>
        </row>
        <row r="22">
          <cell r="A22" t="str">
            <v>86期Ｐ５ (継続詳細)</v>
          </cell>
        </row>
        <row r="23">
          <cell r="A23" t="str">
            <v>86期Ｐ５ (継続詳細)</v>
          </cell>
        </row>
        <row r="24">
          <cell r="A24" t="str">
            <v>86期Ｐ５ (継続詳細)</v>
          </cell>
        </row>
        <row r="25">
          <cell r="A25" t="str">
            <v>86期Ｐ５ (継続詳細)</v>
          </cell>
        </row>
        <row r="26">
          <cell r="A26" t="str">
            <v>86期Ｐ５ (継続詳細)</v>
          </cell>
        </row>
        <row r="27">
          <cell r="A27" t="str">
            <v>86期Ｐ５ (継続詳細)</v>
          </cell>
        </row>
        <row r="28">
          <cell r="A28" t="str">
            <v>86期Ｐ５ (継続詳細)</v>
          </cell>
        </row>
        <row r="29">
          <cell r="A29" t="str">
            <v>86期Ｐ５ (継続詳細)</v>
          </cell>
        </row>
        <row r="30">
          <cell r="A30" t="str">
            <v>86期Ｐ５ (継続詳細)</v>
          </cell>
        </row>
        <row r="31">
          <cell r="A31" t="str">
            <v>86期Ｐ５ (継続詳細)</v>
          </cell>
        </row>
        <row r="32">
          <cell r="A32" t="str">
            <v>86期Ｐ５ (継続詳細)</v>
          </cell>
        </row>
        <row r="33">
          <cell r="A33" t="str">
            <v>86期Ｐ５ (継続詳細)</v>
          </cell>
        </row>
        <row r="34">
          <cell r="A34" t="str">
            <v>86期Ｐ５ (継続詳細)</v>
          </cell>
        </row>
        <row r="35">
          <cell r="A35" t="str">
            <v>86期Ｐ５ (継続詳細)</v>
          </cell>
        </row>
        <row r="36">
          <cell r="A36" t="str">
            <v>86期Ｐ５ (継続詳細)</v>
          </cell>
        </row>
        <row r="37">
          <cell r="A37" t="str">
            <v>86期Ｐ５ (継続詳細)</v>
          </cell>
        </row>
        <row r="38">
          <cell r="A38" t="str">
            <v>86期Ｐ５ (継続詳細)</v>
          </cell>
        </row>
        <row r="39">
          <cell r="A39" t="str">
            <v>86期Ｐ５ (継続詳細)</v>
          </cell>
        </row>
        <row r="40">
          <cell r="A40" t="str">
            <v>86期Ｐ５ (継続詳細)</v>
          </cell>
        </row>
        <row r="41">
          <cell r="A41" t="str">
            <v>86期Ｐ５ (継続詳細)</v>
          </cell>
        </row>
        <row r="42">
          <cell r="A42" t="str">
            <v>86期Ｐ５ (継続詳細)</v>
          </cell>
        </row>
        <row r="43">
          <cell r="A43" t="str">
            <v>86期Ｐ５ (継続詳細)</v>
          </cell>
        </row>
        <row r="44">
          <cell r="A44" t="str">
            <v>86期Ｐ５ (継続詳細)</v>
          </cell>
        </row>
        <row r="45">
          <cell r="A45" t="str">
            <v>86期Ｐ５ (継続詳細)</v>
          </cell>
        </row>
        <row r="46">
          <cell r="A46" t="str">
            <v>86期Ｐ５ (継続詳細)</v>
          </cell>
        </row>
        <row r="47">
          <cell r="A47" t="str">
            <v>86期Ｐ５ (継続詳細)</v>
          </cell>
        </row>
        <row r="48">
          <cell r="A48" t="str">
            <v>86期Ｐ５ (継続詳細)</v>
          </cell>
        </row>
        <row r="49">
          <cell r="A49" t="str">
            <v>86期Ｐ５ (継続詳細)</v>
          </cell>
        </row>
        <row r="50">
          <cell r="A50" t="str">
            <v>86期Ｐ５ (継続詳細)</v>
          </cell>
        </row>
        <row r="51">
          <cell r="A51" t="str">
            <v>86期Ｐ５ (継続詳細)</v>
          </cell>
        </row>
        <row r="52">
          <cell r="A52" t="str">
            <v>86期Ｐ５ (継続詳細)</v>
          </cell>
        </row>
        <row r="53">
          <cell r="A53" t="str">
            <v>86期Ｐ５ (継続詳細)</v>
          </cell>
        </row>
        <row r="54">
          <cell r="A54" t="str">
            <v>86期Ｐ５ (継続詳細)</v>
          </cell>
        </row>
        <row r="55">
          <cell r="A55" t="str">
            <v>86期Ｐ５ (継続詳細)</v>
          </cell>
        </row>
        <row r="56">
          <cell r="A56" t="str">
            <v>86期Ｐ５ (継続詳細)</v>
          </cell>
        </row>
        <row r="57">
          <cell r="A57" t="str">
            <v>86期Ｐ５ (継続詳細)</v>
          </cell>
        </row>
        <row r="58">
          <cell r="A58" t="str">
            <v>86期Ｐ５ (継続詳細)</v>
          </cell>
        </row>
        <row r="59">
          <cell r="A59" t="str">
            <v>86期Ｐ５ (継続詳細)</v>
          </cell>
        </row>
        <row r="60">
          <cell r="A60" t="str">
            <v>86期Ｐ５ (継続詳細)</v>
          </cell>
        </row>
        <row r="61">
          <cell r="A61" t="str">
            <v>86期Ｐ５ (継続詳細)</v>
          </cell>
        </row>
        <row r="62">
          <cell r="A62" t="str">
            <v>86期Ｐ５ (継続詳細)</v>
          </cell>
        </row>
        <row r="63">
          <cell r="A63" t="str">
            <v>86期Ｐ５ (継続詳細)</v>
          </cell>
        </row>
        <row r="64">
          <cell r="A64" t="str">
            <v>86期Ｐ５ (継続詳細)</v>
          </cell>
        </row>
        <row r="65">
          <cell r="A65" t="str">
            <v>86期Ｐ５ (継続詳細)</v>
          </cell>
        </row>
        <row r="66">
          <cell r="A66" t="str">
            <v>86期Ｐ５ (継続詳細)</v>
          </cell>
        </row>
        <row r="67">
          <cell r="A67" t="str">
            <v>86期Ｐ５ (継続詳細)</v>
          </cell>
        </row>
        <row r="68">
          <cell r="A68" t="str">
            <v>86期Ｐ５ (継続詳細)</v>
          </cell>
        </row>
        <row r="69">
          <cell r="A69" t="str">
            <v>86期Ｐ５ (継続詳細)</v>
          </cell>
        </row>
        <row r="70">
          <cell r="A70" t="str">
            <v>86期Ｐ５ (継続詳細)</v>
          </cell>
        </row>
        <row r="71">
          <cell r="A71" t="str">
            <v>86期Ｐ５ (継続詳細)</v>
          </cell>
        </row>
        <row r="72">
          <cell r="A72" t="str">
            <v>86期Ｐ５ (継続詳細)</v>
          </cell>
        </row>
        <row r="73">
          <cell r="A73" t="str">
            <v>86期Ｐ５ (継続詳細)</v>
          </cell>
        </row>
        <row r="74">
          <cell r="A74" t="str">
            <v>86期Ｐ５ (継続詳細)</v>
          </cell>
        </row>
        <row r="75">
          <cell r="A75" t="str">
            <v>86期Ｐ５ (継続詳細)</v>
          </cell>
        </row>
        <row r="76">
          <cell r="A76" t="str">
            <v>86期Ｐ５ (継続詳細)</v>
          </cell>
        </row>
        <row r="77">
          <cell r="A77" t="str">
            <v>86期Ｐ５ (継続詳細)</v>
          </cell>
        </row>
        <row r="78">
          <cell r="A78" t="str">
            <v>86期Ｐ５ (継続詳細)</v>
          </cell>
        </row>
        <row r="79">
          <cell r="A79" t="str">
            <v>86期Ｐ５ (継続詳細)</v>
          </cell>
        </row>
        <row r="80">
          <cell r="A80" t="str">
            <v>86期Ｐ５ (継続詳細)</v>
          </cell>
        </row>
        <row r="81">
          <cell r="A81" t="str">
            <v>86期Ｐ５ (継続詳細)</v>
          </cell>
        </row>
        <row r="82">
          <cell r="A82" t="str">
            <v>86期Ｐ５ (継続詳細)</v>
          </cell>
        </row>
        <row r="83">
          <cell r="A83" t="str">
            <v>86期Ｐ５ (継続詳細)</v>
          </cell>
        </row>
        <row r="84">
          <cell r="A84" t="str">
            <v>86期Ｐ５ (継続詳細)</v>
          </cell>
        </row>
        <row r="85">
          <cell r="A85" t="str">
            <v>86期Ｐ５ (継続詳細)</v>
          </cell>
        </row>
        <row r="86">
          <cell r="A86" t="str">
            <v>86期Ｐ５ (継続詳細)</v>
          </cell>
        </row>
        <row r="87">
          <cell r="A87" t="str">
            <v>86期Ｐ５ (継続詳細)</v>
          </cell>
        </row>
        <row r="88">
          <cell r="A88" t="str">
            <v>86期Ｐ５ (継続詳細)</v>
          </cell>
        </row>
        <row r="89">
          <cell r="A89" t="str">
            <v>86期Ｐ５ (継続詳細)</v>
          </cell>
        </row>
        <row r="90">
          <cell r="A90" t="str">
            <v>86期Ｐ５ (継続詳細)</v>
          </cell>
        </row>
        <row r="91">
          <cell r="A91" t="str">
            <v>86期Ｐ５ (継続詳細)</v>
          </cell>
        </row>
        <row r="92">
          <cell r="A92" t="str">
            <v>86期Ｐ５ (継続詳細)</v>
          </cell>
        </row>
        <row r="93">
          <cell r="A93" t="str">
            <v>86期Ｐ５ (継続詳細)</v>
          </cell>
        </row>
        <row r="94">
          <cell r="A94" t="str">
            <v>86期Ｐ５ (継続詳細)</v>
          </cell>
        </row>
        <row r="95">
          <cell r="A95" t="str">
            <v>86期Ｐ５ (継続詳細)</v>
          </cell>
        </row>
        <row r="96">
          <cell r="A96" t="str">
            <v>86期Ｐ５ (継続詳細)</v>
          </cell>
        </row>
        <row r="97">
          <cell r="A97" t="str">
            <v>86期Ｐ５ (継続詳細)</v>
          </cell>
        </row>
        <row r="98">
          <cell r="A98" t="str">
            <v>86期Ｐ５ (継続詳細)</v>
          </cell>
        </row>
        <row r="99">
          <cell r="A99" t="str">
            <v>86期Ｐ５ (継続詳細)</v>
          </cell>
        </row>
        <row r="100">
          <cell r="A100" t="str">
            <v>86期Ｐ５ (継続詳細)</v>
          </cell>
        </row>
        <row r="101">
          <cell r="A101" t="str">
            <v>86期Ｐ５ (継続詳細)</v>
          </cell>
        </row>
        <row r="102">
          <cell r="A102" t="str">
            <v>86期Ｐ５ (継続詳細)</v>
          </cell>
        </row>
        <row r="103">
          <cell r="A103" t="str">
            <v>86期Ｐ５ (継続詳細)</v>
          </cell>
        </row>
        <row r="104">
          <cell r="A104" t="str">
            <v>86期Ｐ５ (継続詳細)</v>
          </cell>
        </row>
        <row r="105">
          <cell r="A105" t="str">
            <v>86期Ｐ５ (継続詳細)</v>
          </cell>
        </row>
        <row r="106">
          <cell r="A106" t="str">
            <v>86期Ｐ５ (継続詳細)</v>
          </cell>
        </row>
        <row r="107">
          <cell r="A107" t="str">
            <v>86期Ｐ５ (継続詳細)</v>
          </cell>
        </row>
        <row r="108">
          <cell r="A108" t="str">
            <v>86期Ｐ５ (継続詳細)</v>
          </cell>
        </row>
        <row r="109">
          <cell r="A109" t="str">
            <v>86期Ｐ５ (継続詳細)</v>
          </cell>
        </row>
        <row r="110">
          <cell r="A110" t="str">
            <v>86期Ｐ５ (継続詳細)</v>
          </cell>
        </row>
        <row r="111">
          <cell r="A111" t="str">
            <v>86期Ｐ５ (継続詳細)</v>
          </cell>
        </row>
        <row r="112">
          <cell r="A112" t="str">
            <v>86期Ｐ５ (継続詳細)</v>
          </cell>
        </row>
        <row r="113">
          <cell r="A113" t="str">
            <v>86期Ｐ５ (継続詳細)</v>
          </cell>
        </row>
        <row r="114">
          <cell r="A114" t="str">
            <v>86期Ｐ５ (継続詳細)</v>
          </cell>
        </row>
        <row r="115">
          <cell r="A115" t="str">
            <v>86期Ｐ５ (継続詳細)</v>
          </cell>
        </row>
        <row r="116">
          <cell r="A116" t="str">
            <v>86期Ｐ５ (継続詳細)</v>
          </cell>
        </row>
        <row r="117">
          <cell r="A117" t="str">
            <v>86期Ｐ５ (継続詳細)</v>
          </cell>
        </row>
        <row r="118">
          <cell r="A118" t="str">
            <v>86期Ｐ５ (継続詳細)</v>
          </cell>
        </row>
        <row r="119">
          <cell r="A119" t="str">
            <v>86期Ｐ５ (継続詳細)</v>
          </cell>
        </row>
        <row r="120">
          <cell r="A120" t="str">
            <v>86期Ｐ５ (継続詳細)</v>
          </cell>
        </row>
        <row r="121">
          <cell r="A121" t="str">
            <v>86期Ｐ５ (継続詳細)</v>
          </cell>
        </row>
        <row r="122">
          <cell r="A122" t="str">
            <v>86期Ｐ５ (継続詳細)</v>
          </cell>
        </row>
        <row r="123">
          <cell r="A123" t="str">
            <v>86期Ｐ５ (継続詳細)</v>
          </cell>
        </row>
        <row r="124">
          <cell r="A124" t="str">
            <v>86期Ｐ５ (継続詳細)</v>
          </cell>
        </row>
        <row r="125">
          <cell r="A125" t="str">
            <v>86期Ｐ５ (継続詳細)</v>
          </cell>
        </row>
        <row r="126">
          <cell r="A126" t="str">
            <v>86期Ｐ５ (継続詳細)</v>
          </cell>
        </row>
        <row r="127">
          <cell r="A127" t="str">
            <v>86期Ｐ５ (継続詳細)</v>
          </cell>
        </row>
        <row r="128">
          <cell r="A128" t="str">
            <v>86期Ｐ５ (継続詳細)</v>
          </cell>
        </row>
        <row r="129">
          <cell r="A129" t="str">
            <v>86期Ｐ５ (継続詳細)</v>
          </cell>
        </row>
        <row r="130">
          <cell r="A130" t="str">
            <v>86期Ｐ５ (継続詳細)</v>
          </cell>
        </row>
        <row r="131">
          <cell r="A131" t="str">
            <v>86期Ｐ５ (継続詳細)</v>
          </cell>
        </row>
        <row r="132">
          <cell r="A132" t="str">
            <v>86期Ｐ５ (継続詳細)</v>
          </cell>
        </row>
        <row r="133">
          <cell r="A133" t="str">
            <v>86期Ｐ５ (継続詳細)</v>
          </cell>
        </row>
        <row r="134">
          <cell r="A134" t="str">
            <v>86期Ｐ５ (継続詳細)</v>
          </cell>
        </row>
        <row r="135">
          <cell r="A135" t="str">
            <v>86期Ｐ５ (継続詳細)</v>
          </cell>
        </row>
        <row r="136">
          <cell r="A136" t="str">
            <v>86期Ｐ５ (継続詳細)</v>
          </cell>
        </row>
        <row r="137">
          <cell r="A137" t="str">
            <v>86期Ｐ５ (継続詳細)</v>
          </cell>
        </row>
        <row r="138">
          <cell r="A138" t="str">
            <v>86期Ｐ５ (継続詳細)</v>
          </cell>
        </row>
        <row r="139">
          <cell r="A139" t="str">
            <v>86期Ｐ５ (継続詳細)</v>
          </cell>
        </row>
        <row r="140">
          <cell r="A140" t="str">
            <v>86期Ｐ５ (継続詳細)</v>
          </cell>
        </row>
        <row r="141">
          <cell r="A141" t="str">
            <v>86期Ｐ５ (継続詳細)</v>
          </cell>
        </row>
        <row r="142">
          <cell r="A142" t="str">
            <v>86期Ｐ５ (継続詳細)</v>
          </cell>
        </row>
        <row r="143">
          <cell r="A143" t="str">
            <v>86期Ｐ５ (継続詳細)</v>
          </cell>
        </row>
        <row r="144">
          <cell r="A144" t="str">
            <v>86期Ｐ５ (継続詳細)</v>
          </cell>
        </row>
        <row r="145">
          <cell r="A145" t="str">
            <v>86期Ｐ５ (継続詳細)</v>
          </cell>
        </row>
        <row r="146">
          <cell r="A146" t="str">
            <v>86期Ｐ５ (４月詳細)</v>
          </cell>
        </row>
        <row r="147">
          <cell r="A147" t="str">
            <v>86期Ｐ５ (４月詳細)</v>
          </cell>
        </row>
        <row r="148">
          <cell r="A148" t="str">
            <v>86期Ｐ５ (４月詳細)</v>
          </cell>
        </row>
        <row r="149">
          <cell r="A149" t="str">
            <v>86期Ｐ５ (４月詳細)</v>
          </cell>
        </row>
        <row r="150">
          <cell r="A150" t="str">
            <v>86期Ｐ５ (４月詳細)</v>
          </cell>
        </row>
        <row r="151">
          <cell r="A151" t="str">
            <v>86期Ｐ５ (４月詳細)</v>
          </cell>
        </row>
        <row r="152">
          <cell r="A152" t="str">
            <v>86期Ｐ５ (４月詳細)</v>
          </cell>
        </row>
        <row r="153">
          <cell r="A153" t="str">
            <v>86期Ｐ５ (４月詳細)</v>
          </cell>
        </row>
        <row r="154">
          <cell r="A154" t="str">
            <v>86期Ｐ５ (４月詳細)</v>
          </cell>
        </row>
        <row r="155">
          <cell r="A155" t="str">
            <v>86期Ｐ５ (４月詳細)</v>
          </cell>
        </row>
        <row r="156">
          <cell r="A156" t="str">
            <v>86期Ｐ５ (４月詳細)</v>
          </cell>
        </row>
        <row r="157">
          <cell r="A157" t="str">
            <v>86期Ｐ５ (４月詳細)</v>
          </cell>
        </row>
        <row r="158">
          <cell r="A158" t="str">
            <v>86期Ｐ５ (４月詳細)</v>
          </cell>
        </row>
        <row r="159">
          <cell r="A159" t="str">
            <v>86期Ｐ５ (４月詳細)</v>
          </cell>
        </row>
        <row r="160">
          <cell r="A160" t="str">
            <v>86期Ｐ５ (４月詳細)</v>
          </cell>
        </row>
        <row r="161">
          <cell r="A161" t="str">
            <v>86期Ｐ５ (４月詳細)</v>
          </cell>
        </row>
        <row r="162">
          <cell r="A162" t="str">
            <v>86期Ｐ５ (４月詳細)</v>
          </cell>
        </row>
        <row r="163">
          <cell r="A163" t="str">
            <v>86期Ｐ５ (４月詳細)</v>
          </cell>
        </row>
        <row r="164">
          <cell r="A164" t="str">
            <v>86期Ｐ５ (４月詳細)</v>
          </cell>
        </row>
        <row r="165">
          <cell r="A165" t="str">
            <v>86期Ｐ５ (４月詳細)</v>
          </cell>
        </row>
        <row r="166">
          <cell r="A166" t="str">
            <v>86期Ｐ５ (４月詳細)</v>
          </cell>
        </row>
        <row r="167">
          <cell r="A167" t="str">
            <v>86期Ｐ５ (４月詳細)</v>
          </cell>
        </row>
        <row r="168">
          <cell r="A168" t="str">
            <v>86期Ｐ５ (４月詳細)</v>
          </cell>
        </row>
        <row r="169">
          <cell r="A169" t="str">
            <v>86期Ｐ５ (４月詳細)</v>
          </cell>
        </row>
        <row r="170">
          <cell r="A170" t="str">
            <v>86期Ｐ５ (４月詳細)</v>
          </cell>
        </row>
        <row r="171">
          <cell r="A171" t="str">
            <v>86期Ｐ５ (４月詳細)</v>
          </cell>
        </row>
        <row r="172">
          <cell r="A172" t="str">
            <v>86期Ｐ５ (４月詳細)</v>
          </cell>
        </row>
        <row r="173">
          <cell r="A173" t="str">
            <v>86期Ｐ５ (４月詳細)</v>
          </cell>
        </row>
        <row r="174">
          <cell r="A174" t="str">
            <v>86期Ｐ５ (４月詳細)</v>
          </cell>
        </row>
        <row r="175">
          <cell r="A175" t="str">
            <v>86期Ｐ５ (４月詳細)</v>
          </cell>
        </row>
        <row r="176">
          <cell r="A176" t="str">
            <v>86期Ｐ５ (４月詳細)</v>
          </cell>
        </row>
        <row r="177">
          <cell r="A177" t="str">
            <v>86期Ｐ５ (４月詳細)</v>
          </cell>
        </row>
        <row r="178">
          <cell r="A178" t="str">
            <v>86期Ｐ５ (４月詳細)</v>
          </cell>
        </row>
        <row r="179">
          <cell r="A179" t="str">
            <v>86期Ｐ５ (４月詳細)</v>
          </cell>
        </row>
        <row r="180">
          <cell r="A180" t="str">
            <v>86期Ｐ５ (４月詳細)</v>
          </cell>
        </row>
        <row r="181">
          <cell r="A181" t="str">
            <v>86期Ｐ５ (４月詳細)</v>
          </cell>
        </row>
        <row r="182">
          <cell r="A182" t="str">
            <v>86期Ｐ５ (４月詳細)</v>
          </cell>
        </row>
        <row r="183">
          <cell r="A183" t="str">
            <v>86期Ｐ５ (４月詳細)</v>
          </cell>
        </row>
        <row r="184">
          <cell r="A184" t="str">
            <v>86期Ｐ５ (４月詳細)</v>
          </cell>
        </row>
        <row r="185">
          <cell r="A185" t="str">
            <v>86期Ｐ５ (４月詳細)</v>
          </cell>
        </row>
        <row r="186">
          <cell r="A186" t="str">
            <v>86期Ｐ５ (４月詳細)</v>
          </cell>
        </row>
        <row r="187">
          <cell r="A187" t="str">
            <v>86期Ｐ５ (４月詳細)</v>
          </cell>
        </row>
        <row r="188">
          <cell r="A188" t="str">
            <v>86期Ｐ５ (４月詳細)</v>
          </cell>
        </row>
        <row r="189">
          <cell r="A189" t="str">
            <v>86期Ｐ５ (４月詳細)</v>
          </cell>
        </row>
        <row r="190">
          <cell r="A190" t="str">
            <v>86期Ｐ５ (４月詳細)</v>
          </cell>
        </row>
        <row r="191">
          <cell r="A191" t="str">
            <v>86期Ｐ５ (４月詳細)</v>
          </cell>
        </row>
        <row r="192">
          <cell r="A192" t="str">
            <v>86期Ｐ５ (４月詳細)</v>
          </cell>
        </row>
        <row r="193">
          <cell r="A193" t="str">
            <v>86期Ｐ５ (４月詳細)</v>
          </cell>
        </row>
        <row r="194">
          <cell r="A194" t="str">
            <v>86期Ｐ５ (４月詳細)</v>
          </cell>
        </row>
        <row r="195">
          <cell r="A195" t="str">
            <v>86期Ｐ５ (４月詳細)</v>
          </cell>
        </row>
        <row r="196">
          <cell r="A196" t="str">
            <v>86期Ｐ５ (４月詳細)</v>
          </cell>
        </row>
        <row r="197">
          <cell r="A197" t="str">
            <v>86期Ｐ５ (４月詳細)</v>
          </cell>
        </row>
        <row r="198">
          <cell r="A198" t="str">
            <v>86期Ｐ５ (４月詳細)</v>
          </cell>
        </row>
        <row r="199">
          <cell r="A199" t="str">
            <v>86期Ｐ５ (４月詳細)</v>
          </cell>
        </row>
        <row r="200">
          <cell r="A200" t="str">
            <v>86期Ｐ５ (４月詳細)</v>
          </cell>
        </row>
        <row r="201">
          <cell r="A201" t="str">
            <v>86期Ｐ５ (４月詳細)</v>
          </cell>
        </row>
        <row r="202">
          <cell r="A202" t="str">
            <v>86期Ｐ５ (４月詳細)</v>
          </cell>
        </row>
        <row r="203">
          <cell r="A203" t="str">
            <v>86期Ｐ５ (４月詳細)</v>
          </cell>
        </row>
        <row r="204">
          <cell r="A204" t="str">
            <v>86期Ｐ５ (４月詳細)</v>
          </cell>
        </row>
        <row r="205">
          <cell r="A205" t="str">
            <v>86期Ｐ５ (４月詳細)</v>
          </cell>
        </row>
        <row r="206">
          <cell r="A206" t="str">
            <v>86期Ｐ５ (４月詳細)</v>
          </cell>
        </row>
        <row r="207">
          <cell r="A207" t="str">
            <v>86期Ｐ５ (４月詳細)</v>
          </cell>
        </row>
        <row r="208">
          <cell r="A208" t="str">
            <v>86期Ｐ５ (４月詳細)</v>
          </cell>
        </row>
        <row r="209">
          <cell r="A209" t="str">
            <v>86期Ｐ５ (４月詳細)</v>
          </cell>
        </row>
        <row r="210">
          <cell r="A210" t="str">
            <v>86期Ｐ５ (４月詳細)</v>
          </cell>
        </row>
        <row r="211">
          <cell r="A211" t="str">
            <v>86期Ｐ５ (４月詳細)</v>
          </cell>
        </row>
        <row r="212">
          <cell r="A212" t="str">
            <v>86期Ｐ５ (４月詳細)</v>
          </cell>
        </row>
        <row r="213">
          <cell r="A213" t="str">
            <v>86期Ｐ５ (４月詳細)</v>
          </cell>
        </row>
        <row r="214">
          <cell r="A214" t="str">
            <v>86期Ｐ５ (４月詳細)</v>
          </cell>
        </row>
        <row r="215">
          <cell r="A215" t="str">
            <v>86期Ｐ５ (４月詳細)</v>
          </cell>
        </row>
        <row r="216">
          <cell r="A216" t="str">
            <v>86期Ｐ５ (４月詳細)</v>
          </cell>
        </row>
        <row r="217">
          <cell r="A217" t="str">
            <v>86期Ｐ５ (４月詳細)</v>
          </cell>
        </row>
        <row r="218">
          <cell r="A218" t="str">
            <v>86期Ｐ５ (４月詳細)</v>
          </cell>
        </row>
        <row r="219">
          <cell r="A219" t="str">
            <v>86期Ｐ５ (４月詳細)</v>
          </cell>
        </row>
        <row r="220">
          <cell r="A220" t="str">
            <v>86期Ｐ５ (４月詳細)</v>
          </cell>
        </row>
        <row r="221">
          <cell r="A221" t="str">
            <v>86期Ｐ５ (４月詳細)</v>
          </cell>
        </row>
        <row r="222">
          <cell r="A222" t="str">
            <v>86期Ｐ５ (４月詳細)</v>
          </cell>
        </row>
        <row r="223">
          <cell r="A223" t="str">
            <v>86期Ｐ５ (４月詳細)</v>
          </cell>
        </row>
        <row r="224">
          <cell r="A224" t="str">
            <v>86期Ｐ５ (４月詳細)</v>
          </cell>
        </row>
        <row r="225">
          <cell r="A225" t="str">
            <v>86期Ｐ５ (４月詳細)</v>
          </cell>
        </row>
        <row r="226">
          <cell r="A226" t="str">
            <v>86期Ｐ５ (４月詳細)</v>
          </cell>
        </row>
        <row r="227">
          <cell r="A227" t="str">
            <v>86期Ｐ５ (４月詳細)</v>
          </cell>
        </row>
        <row r="228">
          <cell r="A228" t="str">
            <v>86期Ｐ５ (４月詳細)</v>
          </cell>
        </row>
        <row r="229">
          <cell r="A229" t="str">
            <v>86期Ｐ５ (４月詳細)</v>
          </cell>
        </row>
        <row r="230">
          <cell r="A230" t="str">
            <v>86期Ｐ５ (４月詳細)</v>
          </cell>
        </row>
        <row r="231">
          <cell r="A231" t="str">
            <v>86期Ｐ５ (４月詳細)</v>
          </cell>
        </row>
        <row r="232">
          <cell r="A232" t="str">
            <v>86期Ｐ５ (４月詳細)</v>
          </cell>
        </row>
        <row r="233">
          <cell r="A233" t="str">
            <v>86期Ｐ５ (４月詳細)</v>
          </cell>
        </row>
        <row r="234">
          <cell r="A234" t="str">
            <v>86期Ｐ５ (４月詳細)</v>
          </cell>
        </row>
        <row r="235">
          <cell r="A235" t="str">
            <v>86期Ｐ５ (４月詳細)</v>
          </cell>
        </row>
        <row r="236">
          <cell r="A236" t="str">
            <v>86期Ｐ５ (４月詳細)</v>
          </cell>
        </row>
        <row r="237">
          <cell r="A237" t="str">
            <v>86期Ｐ５ (４月詳細)</v>
          </cell>
        </row>
        <row r="238">
          <cell r="A238" t="str">
            <v>86期Ｐ５ (４月詳細)</v>
          </cell>
        </row>
        <row r="239">
          <cell r="A239" t="str">
            <v>86期Ｐ５ (４月詳細)</v>
          </cell>
        </row>
        <row r="240">
          <cell r="A240" t="str">
            <v>86期Ｐ５ (４月詳細)</v>
          </cell>
        </row>
        <row r="241">
          <cell r="A241" t="str">
            <v>86期Ｐ５ (４月詳細)</v>
          </cell>
        </row>
        <row r="242">
          <cell r="A242" t="str">
            <v>86期Ｐ５ (４月詳細)</v>
          </cell>
        </row>
        <row r="243">
          <cell r="A243" t="str">
            <v>86期Ｐ５ (４月詳細)</v>
          </cell>
        </row>
        <row r="244">
          <cell r="A244" t="str">
            <v>86期Ｐ５ (４月詳細)</v>
          </cell>
        </row>
        <row r="245">
          <cell r="A245" t="str">
            <v>86期Ｐ５ (４月詳細)</v>
          </cell>
        </row>
        <row r="246">
          <cell r="A246" t="str">
            <v>86期Ｐ５ (４月詳細)</v>
          </cell>
        </row>
        <row r="247">
          <cell r="A247" t="str">
            <v>86期Ｐ５ (４月詳細)</v>
          </cell>
        </row>
        <row r="248">
          <cell r="A248" t="str">
            <v>86期Ｐ５ (４月詳細)</v>
          </cell>
        </row>
        <row r="249">
          <cell r="A249" t="str">
            <v>86期Ｐ５ (４月詳細)</v>
          </cell>
        </row>
        <row r="250">
          <cell r="A250" t="str">
            <v>86期Ｐ５ (４月詳細)</v>
          </cell>
        </row>
        <row r="251">
          <cell r="A251" t="str">
            <v>86期Ｐ５ (４月詳細)</v>
          </cell>
        </row>
        <row r="252">
          <cell r="A252" t="str">
            <v>86期Ｐ５ (４月詳細)</v>
          </cell>
        </row>
        <row r="253">
          <cell r="A253" t="str">
            <v>86期Ｐ５ (４月詳細)</v>
          </cell>
        </row>
        <row r="254">
          <cell r="A254" t="str">
            <v>86期Ｐ５ (４月詳細)</v>
          </cell>
        </row>
        <row r="255">
          <cell r="A255" t="str">
            <v>86期Ｐ５ (４月詳細)</v>
          </cell>
        </row>
        <row r="256">
          <cell r="A256" t="str">
            <v>86期Ｐ５ (４月詳細)</v>
          </cell>
        </row>
        <row r="257">
          <cell r="A257" t="str">
            <v>86期Ｐ５ (４月詳細)</v>
          </cell>
        </row>
        <row r="258">
          <cell r="A258" t="str">
            <v>86期Ｐ５ (４月詳細)</v>
          </cell>
        </row>
        <row r="259">
          <cell r="A259" t="str">
            <v>86期Ｐ５ (４月詳細)</v>
          </cell>
        </row>
        <row r="260">
          <cell r="A260" t="str">
            <v>86期Ｐ５ (４月詳細)</v>
          </cell>
        </row>
        <row r="261">
          <cell r="A261" t="str">
            <v>86期Ｐ５ (４月詳細)</v>
          </cell>
        </row>
        <row r="262">
          <cell r="A262" t="str">
            <v>86期Ｐ５ (４月詳細)</v>
          </cell>
        </row>
        <row r="263">
          <cell r="A263" t="str">
            <v>86期Ｐ５ (４月詳細)</v>
          </cell>
        </row>
        <row r="264">
          <cell r="A264" t="str">
            <v>86期Ｐ５ (４月詳細)</v>
          </cell>
        </row>
        <row r="265">
          <cell r="A265" t="str">
            <v>86期Ｐ５ (４月詳細)</v>
          </cell>
        </row>
        <row r="266">
          <cell r="A266" t="str">
            <v>86期Ｐ５ (４月詳細)</v>
          </cell>
        </row>
        <row r="267">
          <cell r="A267" t="str">
            <v>86期Ｐ５ (４月詳細)</v>
          </cell>
        </row>
        <row r="268">
          <cell r="A268" t="str">
            <v>86期Ｐ５ (４月詳細)</v>
          </cell>
        </row>
        <row r="269">
          <cell r="A269" t="str">
            <v>86期Ｐ５ (４月詳細)</v>
          </cell>
        </row>
        <row r="270">
          <cell r="A270" t="str">
            <v>86期Ｐ５ (４月詳細)</v>
          </cell>
        </row>
        <row r="271">
          <cell r="A271" t="str">
            <v>86期Ｐ５ (４月詳細)</v>
          </cell>
        </row>
        <row r="272">
          <cell r="A272" t="str">
            <v>86期Ｐ５ (４月詳細)</v>
          </cell>
        </row>
        <row r="273">
          <cell r="A273" t="str">
            <v>86期Ｐ５ (４月詳細)</v>
          </cell>
        </row>
        <row r="274">
          <cell r="A274" t="str">
            <v>86期Ｐ５ (４月詳細)</v>
          </cell>
        </row>
        <row r="275">
          <cell r="A275" t="str">
            <v>86期Ｐ５ (４月詳細)</v>
          </cell>
        </row>
        <row r="276">
          <cell r="A276" t="str">
            <v>86期Ｐ５ (４月詳細)</v>
          </cell>
        </row>
        <row r="277">
          <cell r="A277" t="str">
            <v>86期Ｐ５ (４月詳細)</v>
          </cell>
        </row>
        <row r="278">
          <cell r="A278" t="str">
            <v>86期Ｐ５ (４月詳細)</v>
          </cell>
        </row>
        <row r="279">
          <cell r="A279" t="str">
            <v>86期Ｐ５ (４月詳細)</v>
          </cell>
        </row>
        <row r="280">
          <cell r="A280" t="str">
            <v>86期Ｐ５ (４月詳細)</v>
          </cell>
        </row>
        <row r="281">
          <cell r="A281" t="str">
            <v>86期Ｐ５ (４月詳細)</v>
          </cell>
        </row>
        <row r="282">
          <cell r="A282" t="str">
            <v>86期Ｐ５ (４月詳細)</v>
          </cell>
        </row>
        <row r="283">
          <cell r="A283" t="str">
            <v>86期Ｐ５ (４月詳細)</v>
          </cell>
        </row>
        <row r="284">
          <cell r="A284" t="str">
            <v>86期Ｐ５ (４月詳細)</v>
          </cell>
        </row>
        <row r="285">
          <cell r="A285" t="str">
            <v>86期Ｐ５ (４月詳細)</v>
          </cell>
        </row>
        <row r="286">
          <cell r="A286" t="str">
            <v>86期Ｐ５ (４月詳細)</v>
          </cell>
        </row>
        <row r="287">
          <cell r="A287" t="str">
            <v>86期Ｐ５ (４月詳細)</v>
          </cell>
        </row>
        <row r="288">
          <cell r="A288" t="str">
            <v>86期Ｐ５ (４月詳細)</v>
          </cell>
        </row>
        <row r="289">
          <cell r="A289" t="str">
            <v>86期Ｐ５ (４月詳細)</v>
          </cell>
        </row>
        <row r="290">
          <cell r="A290" t="str">
            <v>86期Ｐ５ (４月詳細)</v>
          </cell>
        </row>
        <row r="291">
          <cell r="A291" t="str">
            <v>86期Ｐ５ (４月詳細)</v>
          </cell>
        </row>
        <row r="292">
          <cell r="A292" t="str">
            <v>86期Ｐ５ (４月詳細)</v>
          </cell>
        </row>
        <row r="293">
          <cell r="A293" t="str">
            <v>86期Ｐ５ (４月詳細)</v>
          </cell>
        </row>
        <row r="294">
          <cell r="A294" t="str">
            <v>86期Ｐ５ (４月詳細)</v>
          </cell>
        </row>
        <row r="295">
          <cell r="A295" t="str">
            <v>86期Ｐ５ (４月詳細)</v>
          </cell>
        </row>
        <row r="296">
          <cell r="A296" t="str">
            <v>86期Ｐ５ (４月詳細)</v>
          </cell>
        </row>
        <row r="297">
          <cell r="A297" t="str">
            <v>86期Ｐ５ (４月詳細)</v>
          </cell>
        </row>
        <row r="298">
          <cell r="A298" t="str">
            <v>86期Ｐ５ (４月詳細)</v>
          </cell>
        </row>
        <row r="299">
          <cell r="A299" t="str">
            <v>86期Ｐ５ (４月詳細)</v>
          </cell>
        </row>
        <row r="300">
          <cell r="A300" t="str">
            <v>86期Ｐ５ (４月詳細)</v>
          </cell>
        </row>
        <row r="301">
          <cell r="A301" t="str">
            <v>86期Ｐ５ (４月詳細)</v>
          </cell>
        </row>
        <row r="302">
          <cell r="A302" t="str">
            <v>86期Ｐ５ (４月詳細)</v>
          </cell>
        </row>
        <row r="303">
          <cell r="A303" t="str">
            <v>86期Ｐ５ (４月詳細)</v>
          </cell>
        </row>
        <row r="304">
          <cell r="A304" t="str">
            <v>86期Ｐ５ (４月詳細)</v>
          </cell>
        </row>
        <row r="305">
          <cell r="A305" t="str">
            <v>86期Ｐ５ (４月詳細)</v>
          </cell>
        </row>
        <row r="306">
          <cell r="A306" t="str">
            <v>86期Ｐ５ (４月詳細)</v>
          </cell>
        </row>
        <row r="307">
          <cell r="A307" t="str">
            <v>86期Ｐ５ (４月詳細)</v>
          </cell>
        </row>
        <row r="308">
          <cell r="A308" t="str">
            <v xml:space="preserve">86期Ｐ５ (５月詳細) </v>
          </cell>
        </row>
        <row r="309">
          <cell r="A309" t="str">
            <v xml:space="preserve">86期Ｐ５ (５月詳細) </v>
          </cell>
        </row>
        <row r="310">
          <cell r="A310" t="str">
            <v xml:space="preserve">86期Ｐ５ (５月詳細) </v>
          </cell>
        </row>
        <row r="311">
          <cell r="A311" t="str">
            <v xml:space="preserve">86期Ｐ５ (５月詳細) </v>
          </cell>
        </row>
        <row r="312">
          <cell r="A312" t="str">
            <v xml:space="preserve">86期Ｐ５ (５月詳細) </v>
          </cell>
        </row>
        <row r="313">
          <cell r="A313" t="str">
            <v xml:space="preserve">86期Ｐ５ (５月詳細) </v>
          </cell>
        </row>
        <row r="314">
          <cell r="A314" t="str">
            <v xml:space="preserve">86期Ｐ５ (５月詳細) </v>
          </cell>
        </row>
        <row r="315">
          <cell r="A315" t="str">
            <v xml:space="preserve">86期Ｐ５ (５月詳細) </v>
          </cell>
        </row>
        <row r="316">
          <cell r="A316" t="str">
            <v xml:space="preserve">86期Ｐ５ (５月詳細) </v>
          </cell>
        </row>
        <row r="317">
          <cell r="A317" t="str">
            <v xml:space="preserve">86期Ｐ５ (５月詳細) </v>
          </cell>
        </row>
        <row r="318">
          <cell r="A318" t="str">
            <v xml:space="preserve">86期Ｐ５ (５月詳細) </v>
          </cell>
        </row>
        <row r="319">
          <cell r="A319" t="str">
            <v xml:space="preserve">86期Ｐ５ (５月詳細) </v>
          </cell>
        </row>
        <row r="320">
          <cell r="A320" t="str">
            <v xml:space="preserve">86期Ｐ５ (５月詳細) </v>
          </cell>
        </row>
        <row r="321">
          <cell r="A321" t="str">
            <v xml:space="preserve">86期Ｐ５ (５月詳細) </v>
          </cell>
        </row>
        <row r="322">
          <cell r="A322" t="str">
            <v xml:space="preserve">86期Ｐ５ (５月詳細) </v>
          </cell>
        </row>
        <row r="323">
          <cell r="A323" t="str">
            <v xml:space="preserve">86期Ｐ５ (５月詳細) </v>
          </cell>
        </row>
        <row r="324">
          <cell r="A324" t="str">
            <v xml:space="preserve">86期Ｐ５ (５月詳細) </v>
          </cell>
        </row>
        <row r="325">
          <cell r="A325" t="str">
            <v xml:space="preserve">86期Ｐ５ (５月詳細) </v>
          </cell>
        </row>
        <row r="326">
          <cell r="A326" t="str">
            <v xml:space="preserve">86期Ｐ５ (５月詳細) </v>
          </cell>
        </row>
        <row r="327">
          <cell r="A327" t="str">
            <v xml:space="preserve">86期Ｐ５ (５月詳細) </v>
          </cell>
        </row>
        <row r="328">
          <cell r="A328" t="str">
            <v xml:space="preserve">86期Ｐ５ (５月詳細) </v>
          </cell>
        </row>
        <row r="329">
          <cell r="A329" t="str">
            <v xml:space="preserve">86期Ｐ５ (５月詳細) </v>
          </cell>
        </row>
        <row r="330">
          <cell r="A330" t="str">
            <v xml:space="preserve">86期Ｐ５ (５月詳細) </v>
          </cell>
        </row>
        <row r="331">
          <cell r="A331" t="str">
            <v xml:space="preserve">86期Ｐ５ (５月詳細) </v>
          </cell>
        </row>
        <row r="332">
          <cell r="A332" t="str">
            <v xml:space="preserve">86期Ｐ５ (５月詳細) </v>
          </cell>
        </row>
        <row r="333">
          <cell r="A333" t="str">
            <v xml:space="preserve">86期Ｐ５ (５月詳細) </v>
          </cell>
        </row>
        <row r="334">
          <cell r="A334" t="str">
            <v xml:space="preserve">86期Ｐ５ (５月詳細) </v>
          </cell>
        </row>
        <row r="335">
          <cell r="A335" t="str">
            <v xml:space="preserve">86期Ｐ５ (５月詳細) </v>
          </cell>
        </row>
        <row r="336">
          <cell r="A336" t="str">
            <v xml:space="preserve">86期Ｐ５ (５月詳細) </v>
          </cell>
        </row>
        <row r="337">
          <cell r="A337" t="str">
            <v xml:space="preserve">86期Ｐ５ (５月詳細) </v>
          </cell>
        </row>
        <row r="338">
          <cell r="A338" t="str">
            <v xml:space="preserve">86期Ｐ５ (５月詳細) </v>
          </cell>
        </row>
        <row r="339">
          <cell r="A339" t="str">
            <v xml:space="preserve">86期Ｐ５ (５月詳細) </v>
          </cell>
        </row>
        <row r="340">
          <cell r="A340" t="str">
            <v xml:space="preserve">86期Ｐ５ (５月詳細) </v>
          </cell>
        </row>
        <row r="341">
          <cell r="A341" t="str">
            <v xml:space="preserve">86期Ｐ５ (５月詳細) </v>
          </cell>
        </row>
        <row r="342">
          <cell r="A342" t="str">
            <v xml:space="preserve">86期Ｐ５ (５月詳細) </v>
          </cell>
        </row>
        <row r="343">
          <cell r="A343" t="str">
            <v xml:space="preserve">86期Ｐ５ (５月詳細) </v>
          </cell>
        </row>
        <row r="344">
          <cell r="A344" t="str">
            <v xml:space="preserve">86期Ｐ５ (５月詳細) </v>
          </cell>
        </row>
        <row r="345">
          <cell r="A345" t="str">
            <v xml:space="preserve">86期Ｐ５ (５月詳細) </v>
          </cell>
        </row>
        <row r="346">
          <cell r="A346" t="str">
            <v xml:space="preserve">86期Ｐ５ (５月詳細) </v>
          </cell>
        </row>
        <row r="347">
          <cell r="A347" t="str">
            <v xml:space="preserve">86期Ｐ５ (５月詳細) </v>
          </cell>
        </row>
        <row r="348">
          <cell r="A348" t="str">
            <v xml:space="preserve">86期Ｐ５ (５月詳細) </v>
          </cell>
        </row>
        <row r="349">
          <cell r="A349" t="str">
            <v xml:space="preserve">86期Ｐ５ (５月詳細) </v>
          </cell>
        </row>
        <row r="350">
          <cell r="A350" t="str">
            <v xml:space="preserve">86期Ｐ５ (５月詳細) </v>
          </cell>
        </row>
        <row r="351">
          <cell r="A351" t="str">
            <v xml:space="preserve">86期Ｐ５ (５月詳細) </v>
          </cell>
        </row>
        <row r="352">
          <cell r="A352" t="str">
            <v xml:space="preserve">86期Ｐ５ (５月詳細) </v>
          </cell>
        </row>
        <row r="353">
          <cell r="A353" t="str">
            <v xml:space="preserve">86期Ｐ５ (５月詳細) </v>
          </cell>
        </row>
        <row r="354">
          <cell r="A354" t="str">
            <v xml:space="preserve">86期Ｐ５ (５月詳細) </v>
          </cell>
        </row>
        <row r="355">
          <cell r="A355" t="str">
            <v xml:space="preserve">86期Ｐ５ (５月詳細) </v>
          </cell>
        </row>
        <row r="356">
          <cell r="A356" t="str">
            <v xml:space="preserve">86期Ｐ５ (５月詳細) </v>
          </cell>
        </row>
        <row r="357">
          <cell r="A357" t="str">
            <v xml:space="preserve">86期Ｐ５ (５月詳細) </v>
          </cell>
        </row>
        <row r="358">
          <cell r="A358" t="str">
            <v xml:space="preserve">86期Ｐ５ (５月詳細) </v>
          </cell>
        </row>
        <row r="359">
          <cell r="A359" t="str">
            <v xml:space="preserve">86期Ｐ５ (５月詳細) </v>
          </cell>
        </row>
        <row r="360">
          <cell r="A360" t="str">
            <v xml:space="preserve">86期Ｐ５ (５月詳細) </v>
          </cell>
        </row>
        <row r="361">
          <cell r="A361" t="str">
            <v xml:space="preserve">86期Ｐ５ (５月詳細) </v>
          </cell>
        </row>
        <row r="362">
          <cell r="A362" t="str">
            <v xml:space="preserve">86期Ｐ５ (５月詳細) </v>
          </cell>
        </row>
        <row r="363">
          <cell r="A363" t="str">
            <v xml:space="preserve">86期Ｐ５ (５月詳細) </v>
          </cell>
        </row>
        <row r="364">
          <cell r="A364" t="str">
            <v xml:space="preserve">86期Ｐ５ (５月詳細) </v>
          </cell>
        </row>
        <row r="365">
          <cell r="A365" t="str">
            <v xml:space="preserve">86期Ｐ５ (５月詳細) </v>
          </cell>
        </row>
        <row r="366">
          <cell r="A366" t="str">
            <v xml:space="preserve">86期Ｐ５ (５月詳細) </v>
          </cell>
        </row>
        <row r="367">
          <cell r="A367" t="str">
            <v xml:space="preserve">86期Ｐ５ (５月詳細) </v>
          </cell>
        </row>
        <row r="368">
          <cell r="A368" t="str">
            <v xml:space="preserve">86期Ｐ５ (５月詳細) </v>
          </cell>
        </row>
        <row r="369">
          <cell r="A369" t="str">
            <v xml:space="preserve">86期Ｐ５ (５月詳細) </v>
          </cell>
        </row>
        <row r="370">
          <cell r="A370" t="str">
            <v xml:space="preserve">86期Ｐ５ (５月詳細) </v>
          </cell>
        </row>
        <row r="371">
          <cell r="A371" t="str">
            <v xml:space="preserve">86期Ｐ５ (５月詳細) </v>
          </cell>
        </row>
        <row r="372">
          <cell r="A372" t="str">
            <v xml:space="preserve">86期Ｐ５ (５月詳細) </v>
          </cell>
        </row>
        <row r="373">
          <cell r="A373" t="str">
            <v xml:space="preserve">86期Ｐ５ (５月詳細) </v>
          </cell>
        </row>
        <row r="374">
          <cell r="A374" t="str">
            <v xml:space="preserve">86期Ｐ５ (５月詳細) </v>
          </cell>
        </row>
        <row r="375">
          <cell r="A375" t="str">
            <v xml:space="preserve">86期Ｐ５ (５月詳細) </v>
          </cell>
        </row>
        <row r="376">
          <cell r="A376" t="str">
            <v xml:space="preserve">86期Ｐ５ (５月詳細) </v>
          </cell>
        </row>
        <row r="377">
          <cell r="A377" t="str">
            <v xml:space="preserve">86期Ｐ５ (５月詳細) </v>
          </cell>
        </row>
        <row r="378">
          <cell r="A378" t="str">
            <v xml:space="preserve">86期Ｐ５ (５月詳細) </v>
          </cell>
        </row>
        <row r="379">
          <cell r="A379" t="str">
            <v xml:space="preserve">86期Ｐ５ (５月詳細) </v>
          </cell>
        </row>
        <row r="380">
          <cell r="A380" t="str">
            <v xml:space="preserve">86期Ｐ５ (５月詳細) </v>
          </cell>
        </row>
        <row r="381">
          <cell r="A381" t="str">
            <v xml:space="preserve">86期Ｐ５ (５月詳細) </v>
          </cell>
        </row>
        <row r="382">
          <cell r="A382" t="str">
            <v xml:space="preserve">86期Ｐ５ (５月詳細) </v>
          </cell>
        </row>
        <row r="383">
          <cell r="A383" t="str">
            <v xml:space="preserve">86期Ｐ５ (５月詳細) </v>
          </cell>
        </row>
        <row r="384">
          <cell r="A384" t="str">
            <v xml:space="preserve">86期Ｐ５ (５月詳細) </v>
          </cell>
        </row>
        <row r="385">
          <cell r="A385" t="str">
            <v xml:space="preserve">86期Ｐ５ (５月詳細) </v>
          </cell>
        </row>
        <row r="386">
          <cell r="A386" t="str">
            <v xml:space="preserve">86期Ｐ５ (５月詳細) </v>
          </cell>
        </row>
        <row r="387">
          <cell r="A387" t="str">
            <v xml:space="preserve">86期Ｐ５ (５月詳細) </v>
          </cell>
        </row>
        <row r="388">
          <cell r="A388" t="str">
            <v xml:space="preserve">86期Ｐ５ (５月詳細) </v>
          </cell>
        </row>
        <row r="389">
          <cell r="A389" t="str">
            <v xml:space="preserve">86期Ｐ５ (５月詳細) </v>
          </cell>
        </row>
        <row r="390">
          <cell r="A390" t="str">
            <v xml:space="preserve">86期Ｐ５ (５月詳細) </v>
          </cell>
        </row>
        <row r="391">
          <cell r="A391" t="str">
            <v xml:space="preserve">86期Ｐ５ (５月詳細) </v>
          </cell>
        </row>
        <row r="392">
          <cell r="A392" t="str">
            <v xml:space="preserve">86期Ｐ５ (５月詳細) </v>
          </cell>
        </row>
        <row r="393">
          <cell r="A393" t="str">
            <v xml:space="preserve">86期Ｐ５ (５月詳細) </v>
          </cell>
        </row>
        <row r="394">
          <cell r="A394" t="str">
            <v xml:space="preserve">86期Ｐ５ (５月詳細) </v>
          </cell>
        </row>
        <row r="395">
          <cell r="A395" t="str">
            <v xml:space="preserve">86期Ｐ５ (５月詳細) </v>
          </cell>
        </row>
        <row r="396">
          <cell r="A396" t="str">
            <v xml:space="preserve">86期Ｐ５ (５月詳細) </v>
          </cell>
        </row>
        <row r="397">
          <cell r="A397" t="str">
            <v xml:space="preserve">86期Ｐ５ (５月詳細) </v>
          </cell>
        </row>
        <row r="398">
          <cell r="A398" t="str">
            <v xml:space="preserve">86期Ｐ５ (５月詳細) </v>
          </cell>
        </row>
        <row r="399">
          <cell r="A399" t="str">
            <v xml:space="preserve">86期Ｐ５ (５月詳細) </v>
          </cell>
        </row>
        <row r="400">
          <cell r="A400" t="str">
            <v xml:space="preserve">86期Ｐ５ (５月詳細) </v>
          </cell>
        </row>
        <row r="401">
          <cell r="A401" t="str">
            <v xml:space="preserve">86期Ｐ５ (５月詳細) </v>
          </cell>
        </row>
        <row r="402">
          <cell r="A402" t="str">
            <v xml:space="preserve">86期Ｐ５ (５月詳細) </v>
          </cell>
        </row>
        <row r="403">
          <cell r="A403" t="str">
            <v xml:space="preserve">86期Ｐ５ (５月詳細) </v>
          </cell>
        </row>
        <row r="404">
          <cell r="A404" t="str">
            <v xml:space="preserve">86期Ｐ５ (５月詳細) </v>
          </cell>
        </row>
        <row r="405">
          <cell r="A405" t="str">
            <v xml:space="preserve">86期Ｐ５ (５月詳細) </v>
          </cell>
        </row>
        <row r="406">
          <cell r="A406" t="str">
            <v xml:space="preserve">86期Ｐ５ (５月詳細) </v>
          </cell>
        </row>
        <row r="407">
          <cell r="A407" t="str">
            <v xml:space="preserve">86期Ｐ５ (５月詳細) </v>
          </cell>
        </row>
        <row r="408">
          <cell r="A408" t="str">
            <v>86期Ｐ５ (６月詳細)</v>
          </cell>
        </row>
        <row r="409">
          <cell r="A409" t="str">
            <v>86期Ｐ５ (６月詳細)</v>
          </cell>
        </row>
        <row r="410">
          <cell r="A410" t="str">
            <v>86期Ｐ５ (６月詳細)</v>
          </cell>
        </row>
        <row r="411">
          <cell r="A411" t="str">
            <v>86期Ｐ５ (６月詳細)</v>
          </cell>
        </row>
        <row r="412">
          <cell r="A412" t="str">
            <v>86期Ｐ５ (６月詳細)</v>
          </cell>
        </row>
        <row r="413">
          <cell r="A413" t="str">
            <v>86期Ｐ５ (６月詳細)</v>
          </cell>
        </row>
        <row r="414">
          <cell r="A414" t="str">
            <v>86期Ｐ５ (６月詳細)</v>
          </cell>
        </row>
        <row r="415">
          <cell r="A415" t="str">
            <v>86期Ｐ５ (６月詳細)</v>
          </cell>
        </row>
        <row r="416">
          <cell r="A416" t="str">
            <v>86期Ｐ５ (６月詳細)</v>
          </cell>
        </row>
        <row r="417">
          <cell r="A417" t="str">
            <v>86期Ｐ５ (６月詳細)</v>
          </cell>
        </row>
        <row r="418">
          <cell r="A418" t="str">
            <v>86期Ｐ５ (６月詳細)</v>
          </cell>
        </row>
        <row r="419">
          <cell r="A419" t="str">
            <v>86期Ｐ５ (６月詳細)</v>
          </cell>
        </row>
        <row r="420">
          <cell r="A420" t="str">
            <v>86期Ｐ５ (６月詳細)</v>
          </cell>
        </row>
        <row r="421">
          <cell r="A421" t="str">
            <v>86期Ｐ５ (６月詳細)</v>
          </cell>
        </row>
        <row r="422">
          <cell r="A422" t="str">
            <v>86期Ｐ５ (６月詳細)</v>
          </cell>
        </row>
        <row r="423">
          <cell r="A423" t="str">
            <v>86期Ｐ５ (６月詳細)</v>
          </cell>
        </row>
        <row r="424">
          <cell r="A424" t="str">
            <v>86期Ｐ５ (６月詳細)</v>
          </cell>
        </row>
        <row r="425">
          <cell r="A425" t="str">
            <v>86期Ｐ５ (６月詳細)</v>
          </cell>
        </row>
        <row r="426">
          <cell r="A426" t="str">
            <v>86期Ｐ５ (６月詳細)</v>
          </cell>
        </row>
        <row r="427">
          <cell r="A427" t="str">
            <v>86期Ｐ５ (６月詳細)</v>
          </cell>
        </row>
        <row r="428">
          <cell r="A428" t="str">
            <v>86期Ｐ５ (６月詳細)</v>
          </cell>
        </row>
        <row r="429">
          <cell r="A429" t="str">
            <v>86期Ｐ５ (６月詳細)</v>
          </cell>
        </row>
        <row r="430">
          <cell r="A430" t="str">
            <v>86期Ｐ５ (６月詳細)</v>
          </cell>
        </row>
        <row r="431">
          <cell r="A431" t="str">
            <v>86期Ｐ５ (６月詳細)</v>
          </cell>
        </row>
        <row r="432">
          <cell r="A432" t="str">
            <v>86期Ｐ５ (６月詳細)</v>
          </cell>
        </row>
        <row r="433">
          <cell r="A433" t="str">
            <v>86期Ｐ５ (６月詳細)</v>
          </cell>
        </row>
        <row r="434">
          <cell r="A434" t="str">
            <v>86期Ｐ５ (６月詳細)</v>
          </cell>
        </row>
        <row r="435">
          <cell r="A435" t="str">
            <v>86期Ｐ５ (６月詳細)</v>
          </cell>
        </row>
        <row r="436">
          <cell r="A436" t="str">
            <v>86期Ｐ５ (６月詳細)</v>
          </cell>
        </row>
        <row r="437">
          <cell r="A437" t="str">
            <v>86期Ｐ５ (６月詳細)</v>
          </cell>
        </row>
        <row r="438">
          <cell r="A438" t="str">
            <v>86期Ｐ５ (６月詳細)</v>
          </cell>
        </row>
        <row r="439">
          <cell r="A439" t="str">
            <v>86期Ｐ５ (６月詳細)</v>
          </cell>
        </row>
        <row r="440">
          <cell r="A440" t="str">
            <v>86期Ｐ５ (６月詳細)</v>
          </cell>
        </row>
        <row r="441">
          <cell r="A441" t="str">
            <v>86期Ｐ５ (６月詳細)</v>
          </cell>
        </row>
        <row r="442">
          <cell r="A442" t="str">
            <v>86期Ｐ５ (６月詳細)</v>
          </cell>
        </row>
        <row r="443">
          <cell r="A443" t="str">
            <v>86期Ｐ５ (６月詳細)</v>
          </cell>
        </row>
        <row r="444">
          <cell r="A444" t="str">
            <v>86期Ｐ５ (６月詳細)</v>
          </cell>
        </row>
        <row r="445">
          <cell r="A445" t="str">
            <v>86期Ｐ５ (６月詳細)</v>
          </cell>
        </row>
        <row r="446">
          <cell r="A446" t="str">
            <v>86期Ｐ５ (６月詳細)</v>
          </cell>
        </row>
        <row r="447">
          <cell r="A447" t="str">
            <v>86期Ｐ５ (６月詳細)</v>
          </cell>
        </row>
        <row r="448">
          <cell r="A448" t="str">
            <v>86期Ｐ５ (６月詳細)</v>
          </cell>
        </row>
        <row r="449">
          <cell r="A449" t="str">
            <v>86期Ｐ５ (６月詳細)</v>
          </cell>
        </row>
        <row r="450">
          <cell r="A450" t="str">
            <v>86期Ｐ５ (６月詳細)</v>
          </cell>
        </row>
        <row r="451">
          <cell r="A451" t="str">
            <v>86期Ｐ５ (６月詳細)</v>
          </cell>
        </row>
        <row r="452">
          <cell r="A452" t="str">
            <v>86期Ｐ５ (６月詳細)</v>
          </cell>
        </row>
        <row r="453">
          <cell r="A453" t="str">
            <v>86期Ｐ５ (６月詳細)</v>
          </cell>
        </row>
        <row r="454">
          <cell r="A454" t="str">
            <v>86期Ｐ５ (６月詳細)</v>
          </cell>
        </row>
        <row r="455">
          <cell r="A455" t="str">
            <v>86期Ｐ５ (６月詳細)</v>
          </cell>
        </row>
        <row r="456">
          <cell r="A456" t="str">
            <v>86期Ｐ５ (６月詳細)</v>
          </cell>
        </row>
        <row r="457">
          <cell r="A457" t="str">
            <v>86期Ｐ５ (６月詳細)</v>
          </cell>
        </row>
        <row r="458">
          <cell r="A458" t="str">
            <v>86期Ｐ５ (６月詳細)</v>
          </cell>
        </row>
        <row r="459">
          <cell r="A459" t="str">
            <v>86期Ｐ５ (６月詳細)</v>
          </cell>
        </row>
        <row r="460">
          <cell r="A460" t="str">
            <v>86期Ｐ５ (６月詳細)</v>
          </cell>
        </row>
        <row r="461">
          <cell r="A461" t="str">
            <v>86期Ｐ５ (６月詳細)</v>
          </cell>
        </row>
        <row r="462">
          <cell r="A462" t="str">
            <v>86期Ｐ５ (６月詳細)</v>
          </cell>
        </row>
        <row r="463">
          <cell r="A463" t="str">
            <v>86期Ｐ５ (６月詳細)</v>
          </cell>
        </row>
        <row r="464">
          <cell r="A464" t="str">
            <v>86期Ｐ５ (６月詳細)</v>
          </cell>
        </row>
        <row r="465">
          <cell r="A465" t="str">
            <v>86期Ｐ５ (６月詳細)</v>
          </cell>
        </row>
        <row r="466">
          <cell r="A466" t="str">
            <v>86期Ｐ５ (６月詳細)</v>
          </cell>
        </row>
        <row r="467">
          <cell r="A467" t="str">
            <v>86期Ｐ５ (６月詳細)</v>
          </cell>
        </row>
        <row r="468">
          <cell r="A468" t="str">
            <v>86期Ｐ５ (６月詳細)</v>
          </cell>
        </row>
        <row r="469">
          <cell r="A469" t="str">
            <v>86期Ｐ５ (６月詳細)</v>
          </cell>
        </row>
        <row r="470">
          <cell r="A470" t="str">
            <v>86期Ｐ５ (６月詳細)</v>
          </cell>
        </row>
        <row r="471">
          <cell r="A471" t="str">
            <v>86期Ｐ５ (６月詳細)</v>
          </cell>
        </row>
        <row r="472">
          <cell r="A472" t="str">
            <v>86期Ｐ５ (６月詳細)</v>
          </cell>
        </row>
        <row r="473">
          <cell r="A473" t="str">
            <v>86期Ｐ５ (６月詳細)</v>
          </cell>
        </row>
        <row r="474">
          <cell r="A474" t="str">
            <v>86期Ｐ５ (６月詳細)</v>
          </cell>
        </row>
        <row r="475">
          <cell r="A475" t="str">
            <v>86期Ｐ５ (６月詳細)</v>
          </cell>
        </row>
        <row r="476">
          <cell r="A476" t="str">
            <v>86期Ｐ５ (６月詳細)</v>
          </cell>
        </row>
        <row r="477">
          <cell r="A477" t="str">
            <v>86期Ｐ５ (６月詳細)</v>
          </cell>
        </row>
        <row r="478">
          <cell r="A478" t="str">
            <v>86期Ｐ５ (６月詳細)</v>
          </cell>
        </row>
        <row r="479">
          <cell r="A479" t="str">
            <v>86期Ｐ５ (６月詳細)</v>
          </cell>
        </row>
        <row r="480">
          <cell r="A480" t="str">
            <v>86期Ｐ５ (６月詳細)</v>
          </cell>
        </row>
        <row r="481">
          <cell r="A481" t="str">
            <v>86期Ｐ５ (６月詳細)</v>
          </cell>
        </row>
        <row r="482">
          <cell r="A482" t="str">
            <v>86期Ｐ５ (６月詳細)</v>
          </cell>
        </row>
        <row r="483">
          <cell r="A483" t="str">
            <v>86期Ｐ５ (６月詳細)</v>
          </cell>
        </row>
        <row r="484">
          <cell r="A484" t="str">
            <v>86期Ｐ５ (６月詳細)</v>
          </cell>
        </row>
        <row r="485">
          <cell r="A485" t="str">
            <v>86期Ｐ５ (６月詳細)</v>
          </cell>
        </row>
        <row r="486">
          <cell r="A486" t="str">
            <v>86期Ｐ５ (６月詳細)</v>
          </cell>
        </row>
        <row r="487">
          <cell r="A487" t="str">
            <v>86期Ｐ５ (６月詳細)</v>
          </cell>
        </row>
        <row r="488">
          <cell r="A488" t="str">
            <v>86期Ｐ５ (６月詳細)</v>
          </cell>
        </row>
        <row r="489">
          <cell r="A489" t="str">
            <v>86期Ｐ５ (６月詳細)</v>
          </cell>
        </row>
        <row r="490">
          <cell r="A490" t="str">
            <v>86期Ｐ５ (６月詳細)</v>
          </cell>
        </row>
        <row r="491">
          <cell r="A491" t="str">
            <v>86期Ｐ５ (６月詳細)</v>
          </cell>
        </row>
        <row r="492">
          <cell r="A492" t="str">
            <v>86期Ｐ５ (６月詳細)</v>
          </cell>
        </row>
        <row r="493">
          <cell r="A493" t="str">
            <v>86期Ｐ５ (６月詳細)</v>
          </cell>
        </row>
        <row r="494">
          <cell r="A494" t="str">
            <v>86期Ｐ５ (６月詳細)</v>
          </cell>
        </row>
        <row r="495">
          <cell r="A495" t="str">
            <v>86期Ｐ５ (６月詳細)</v>
          </cell>
        </row>
        <row r="496">
          <cell r="A496" t="str">
            <v>86期Ｐ５ (６月詳細)</v>
          </cell>
        </row>
        <row r="497">
          <cell r="A497" t="str">
            <v>86期Ｐ５ (６月詳細)</v>
          </cell>
        </row>
        <row r="498">
          <cell r="A498" t="str">
            <v>86期Ｐ５ (６月詳細)</v>
          </cell>
        </row>
        <row r="499">
          <cell r="A499" t="str">
            <v>86期Ｐ５ (６月詳細)</v>
          </cell>
        </row>
        <row r="500">
          <cell r="A500" t="str">
            <v>86期Ｐ５ (７月詳細)</v>
          </cell>
        </row>
        <row r="501">
          <cell r="A501" t="str">
            <v>86期Ｐ５ (７月詳細)</v>
          </cell>
        </row>
        <row r="502">
          <cell r="A502" t="str">
            <v>86期Ｐ５ (７月詳細)</v>
          </cell>
        </row>
        <row r="503">
          <cell r="A503" t="str">
            <v>86期Ｐ５ (７月詳細)</v>
          </cell>
        </row>
        <row r="504">
          <cell r="A504" t="str">
            <v>86期Ｐ５ (７月詳細)</v>
          </cell>
        </row>
        <row r="505">
          <cell r="A505" t="str">
            <v>86期Ｐ５ (７月詳細)</v>
          </cell>
        </row>
        <row r="506">
          <cell r="A506" t="str">
            <v>86期Ｐ５ (７月詳細)</v>
          </cell>
        </row>
        <row r="507">
          <cell r="A507" t="str">
            <v>86期Ｐ５ (７月詳細)</v>
          </cell>
        </row>
        <row r="508">
          <cell r="A508" t="str">
            <v>86期Ｐ５ (７月詳細)</v>
          </cell>
        </row>
        <row r="509">
          <cell r="A509" t="str">
            <v>86期Ｐ５ (７月詳細)</v>
          </cell>
        </row>
        <row r="510">
          <cell r="A510" t="str">
            <v>86期Ｐ５ (７月詳細)</v>
          </cell>
        </row>
        <row r="511">
          <cell r="A511" t="str">
            <v>86期Ｐ５ (７月詳細)</v>
          </cell>
        </row>
        <row r="512">
          <cell r="A512" t="str">
            <v>86期Ｐ５ (７月詳細)</v>
          </cell>
        </row>
        <row r="513">
          <cell r="A513" t="str">
            <v>86期Ｐ５ (７月詳細)</v>
          </cell>
        </row>
        <row r="514">
          <cell r="A514" t="str">
            <v>86期Ｐ５ (７月詳細)</v>
          </cell>
        </row>
        <row r="515">
          <cell r="A515" t="str">
            <v>86期Ｐ５ (７月詳細)</v>
          </cell>
        </row>
        <row r="516">
          <cell r="A516" t="str">
            <v>86期Ｐ５ (７月詳細)</v>
          </cell>
        </row>
        <row r="517">
          <cell r="A517" t="str">
            <v>86期Ｐ５ (７月詳細)</v>
          </cell>
        </row>
        <row r="518">
          <cell r="A518" t="str">
            <v>86期Ｐ５ (７月詳細)</v>
          </cell>
        </row>
        <row r="519">
          <cell r="A519" t="str">
            <v>86期Ｐ５ (７月詳細)</v>
          </cell>
        </row>
        <row r="520">
          <cell r="A520" t="str">
            <v>86期Ｐ５ (７月詳細)</v>
          </cell>
        </row>
        <row r="521">
          <cell r="A521" t="str">
            <v>86期Ｐ５ (７月詳細)</v>
          </cell>
        </row>
        <row r="522">
          <cell r="A522" t="str">
            <v>86期Ｐ５ (７月詳細)</v>
          </cell>
        </row>
        <row r="523">
          <cell r="A523" t="str">
            <v>86期Ｐ５ (７月詳細)</v>
          </cell>
        </row>
        <row r="524">
          <cell r="A524" t="str">
            <v>86期Ｐ５ (７月詳細)</v>
          </cell>
        </row>
        <row r="525">
          <cell r="A525" t="str">
            <v>86期Ｐ５ (７月詳細)</v>
          </cell>
        </row>
        <row r="526">
          <cell r="A526" t="str">
            <v>86期Ｐ５ (７月詳細)</v>
          </cell>
        </row>
        <row r="527">
          <cell r="A527" t="str">
            <v>86期Ｐ５ (７月詳細)</v>
          </cell>
        </row>
        <row r="528">
          <cell r="A528" t="str">
            <v>86期Ｐ５ (７月詳細)</v>
          </cell>
        </row>
        <row r="529">
          <cell r="A529" t="str">
            <v>86期Ｐ５ (７月詳細)</v>
          </cell>
        </row>
        <row r="530">
          <cell r="A530" t="str">
            <v>86期Ｐ５ (７月詳細)</v>
          </cell>
        </row>
        <row r="531">
          <cell r="A531" t="str">
            <v>86期Ｐ５ (７月詳細)</v>
          </cell>
        </row>
        <row r="532">
          <cell r="A532" t="str">
            <v>86期Ｐ５ (７月詳細)</v>
          </cell>
        </row>
        <row r="533">
          <cell r="A533" t="str">
            <v>86期Ｐ５ (７月詳細)</v>
          </cell>
        </row>
        <row r="534">
          <cell r="A534" t="str">
            <v>86期Ｐ５ (７月詳細)</v>
          </cell>
        </row>
        <row r="535">
          <cell r="A535" t="str">
            <v>86期Ｐ５ (７月詳細)</v>
          </cell>
        </row>
        <row r="536">
          <cell r="A536" t="str">
            <v>86期Ｐ５ (７月詳細)</v>
          </cell>
        </row>
        <row r="537">
          <cell r="A537" t="str">
            <v>86期Ｐ５ (７月詳細)</v>
          </cell>
        </row>
        <row r="538">
          <cell r="A538" t="str">
            <v>86期Ｐ５ (７月詳細)</v>
          </cell>
        </row>
        <row r="539">
          <cell r="A539" t="str">
            <v>86期Ｐ５ (７月詳細)</v>
          </cell>
        </row>
        <row r="540">
          <cell r="A540" t="str">
            <v>86期Ｐ５ (７月詳細)</v>
          </cell>
        </row>
        <row r="541">
          <cell r="A541" t="str">
            <v>86期Ｐ５ (７月詳細)</v>
          </cell>
        </row>
        <row r="542">
          <cell r="A542" t="str">
            <v>86期Ｐ５ (７月詳細)</v>
          </cell>
        </row>
        <row r="543">
          <cell r="A543" t="str">
            <v>86期Ｐ５ (７月詳細)</v>
          </cell>
        </row>
        <row r="544">
          <cell r="A544" t="str">
            <v>86期Ｐ５ (７月詳細)</v>
          </cell>
        </row>
        <row r="545">
          <cell r="A545" t="str">
            <v>86期Ｐ５ (７月詳細)</v>
          </cell>
        </row>
        <row r="546">
          <cell r="A546" t="str">
            <v>86期Ｐ５ (７月詳細)</v>
          </cell>
        </row>
        <row r="547">
          <cell r="A547" t="str">
            <v>86期Ｐ５ (７月詳細)</v>
          </cell>
        </row>
        <row r="548">
          <cell r="A548" t="str">
            <v>86期Ｐ５ (８月詳細)</v>
          </cell>
        </row>
        <row r="549">
          <cell r="A549" t="str">
            <v>86期Ｐ５ (８月詳細)</v>
          </cell>
        </row>
        <row r="550">
          <cell r="A550" t="str">
            <v>86期Ｐ５ (８月詳細)</v>
          </cell>
        </row>
        <row r="551">
          <cell r="A551" t="str">
            <v>86期Ｐ５ (８月詳細)</v>
          </cell>
        </row>
        <row r="552">
          <cell r="A552" t="str">
            <v>86期Ｐ５ (８月詳細)</v>
          </cell>
        </row>
        <row r="553">
          <cell r="A553" t="str">
            <v>86期Ｐ５ (８月詳細)</v>
          </cell>
        </row>
        <row r="554">
          <cell r="A554" t="str">
            <v>86期Ｐ５ (８月詳細)</v>
          </cell>
        </row>
        <row r="555">
          <cell r="A555" t="str">
            <v>86期Ｐ５ (８月詳細)</v>
          </cell>
        </row>
        <row r="556">
          <cell r="A556" t="str">
            <v>86期Ｐ５ (８月詳細)</v>
          </cell>
        </row>
        <row r="557">
          <cell r="A557" t="str">
            <v>86期Ｐ５ (８月詳細)</v>
          </cell>
        </row>
        <row r="558">
          <cell r="A558" t="str">
            <v>86期Ｐ５ (８月詳細)</v>
          </cell>
        </row>
        <row r="559">
          <cell r="A559" t="str">
            <v>86期Ｐ５ (８月詳細)</v>
          </cell>
        </row>
        <row r="560">
          <cell r="A560" t="str">
            <v>86期Ｐ５ (８月詳細)</v>
          </cell>
        </row>
        <row r="561">
          <cell r="A561" t="str">
            <v>86期Ｐ５ (８月詳細)</v>
          </cell>
        </row>
        <row r="562">
          <cell r="A562" t="str">
            <v>86期Ｐ５ (８月詳細)</v>
          </cell>
        </row>
        <row r="563">
          <cell r="A563" t="str">
            <v>86期Ｐ５ (８月詳細)</v>
          </cell>
        </row>
        <row r="564">
          <cell r="A564" t="str">
            <v>86期Ｐ５ (８月詳細)</v>
          </cell>
        </row>
        <row r="565">
          <cell r="A565" t="str">
            <v>86期Ｐ５ (８月詳細)</v>
          </cell>
        </row>
        <row r="566">
          <cell r="A566" t="str">
            <v>86期Ｐ５ (８月詳細)</v>
          </cell>
        </row>
        <row r="567">
          <cell r="A567" t="str">
            <v>86期Ｐ５ (８月詳細)</v>
          </cell>
        </row>
        <row r="568">
          <cell r="A568" t="str">
            <v>86期Ｐ５ (８月詳細)</v>
          </cell>
        </row>
        <row r="569">
          <cell r="A569" t="str">
            <v>86期Ｐ５ (８月詳細)</v>
          </cell>
        </row>
        <row r="570">
          <cell r="A570" t="str">
            <v>86期Ｐ５ (８月詳細)</v>
          </cell>
        </row>
        <row r="571">
          <cell r="A571" t="str">
            <v>86期Ｐ５ (８月詳細)</v>
          </cell>
        </row>
        <row r="572">
          <cell r="A572" t="str">
            <v>86期Ｐ５ (８月詳細)</v>
          </cell>
        </row>
        <row r="573">
          <cell r="A573" t="str">
            <v>86期Ｐ５ (８月詳細)</v>
          </cell>
        </row>
        <row r="574">
          <cell r="A574" t="str">
            <v>86期Ｐ５ (８月詳細)</v>
          </cell>
        </row>
        <row r="575">
          <cell r="A575" t="str">
            <v>86期Ｐ５ (８月詳細)</v>
          </cell>
        </row>
        <row r="576">
          <cell r="A576" t="str">
            <v>86期Ｐ５ (８月詳細)</v>
          </cell>
        </row>
        <row r="577">
          <cell r="A577" t="str">
            <v>86期Ｐ５ (８月詳細)</v>
          </cell>
        </row>
        <row r="578">
          <cell r="A578" t="str">
            <v>86期Ｐ５ (８月詳細)</v>
          </cell>
        </row>
        <row r="579">
          <cell r="A579" t="str">
            <v>86期Ｐ５ (８月詳細)</v>
          </cell>
        </row>
        <row r="580">
          <cell r="A580" t="str">
            <v xml:space="preserve">86期Ｐ５ (９月詳細) </v>
          </cell>
        </row>
        <row r="581">
          <cell r="A581" t="str">
            <v xml:space="preserve">86期Ｐ５ (９月詳細) </v>
          </cell>
        </row>
        <row r="582">
          <cell r="A582" t="str">
            <v xml:space="preserve">86期Ｐ５ (９月詳細) </v>
          </cell>
        </row>
        <row r="583">
          <cell r="A583" t="str">
            <v xml:space="preserve">86期Ｐ５ (９月詳細) </v>
          </cell>
        </row>
        <row r="584">
          <cell r="A584" t="str">
            <v xml:space="preserve">86期Ｐ５ (９月詳細) </v>
          </cell>
        </row>
        <row r="585">
          <cell r="A585" t="str">
            <v xml:space="preserve">86期Ｐ５ (９月詳細) </v>
          </cell>
        </row>
        <row r="586">
          <cell r="A586" t="str">
            <v xml:space="preserve">86期Ｐ５ (９月詳細) </v>
          </cell>
        </row>
        <row r="587">
          <cell r="A587" t="str">
            <v xml:space="preserve">86期Ｐ５ (９月詳細) </v>
          </cell>
        </row>
        <row r="588">
          <cell r="A588" t="str">
            <v xml:space="preserve">86期Ｐ５ (９月詳細) </v>
          </cell>
        </row>
        <row r="589">
          <cell r="A589" t="str">
            <v xml:space="preserve">86期Ｐ５ (９月詳細) </v>
          </cell>
        </row>
        <row r="590">
          <cell r="A590" t="str">
            <v xml:space="preserve">86期Ｐ５ (９月詳細) </v>
          </cell>
        </row>
        <row r="591">
          <cell r="A591" t="str">
            <v xml:space="preserve">86期Ｐ５ (９月詳細) </v>
          </cell>
        </row>
        <row r="592">
          <cell r="A592" t="str">
            <v xml:space="preserve">86期Ｐ５ (９月詳細) </v>
          </cell>
        </row>
        <row r="593">
          <cell r="A593" t="str">
            <v xml:space="preserve">86期Ｐ５ (９月詳細) </v>
          </cell>
        </row>
        <row r="594">
          <cell r="A594" t="str">
            <v xml:space="preserve">86期Ｐ５ (９月詳細) </v>
          </cell>
        </row>
        <row r="595">
          <cell r="A595" t="str">
            <v xml:space="preserve">86期Ｐ５ (９月詳細) </v>
          </cell>
        </row>
      </sheetData>
      <sheetData sheetId="20"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原簿"/>
      <sheetName val="祝日"/>
      <sheetName val="1月"/>
      <sheetName val="2月"/>
      <sheetName val="3月"/>
      <sheetName val="4月"/>
      <sheetName val="5月"/>
      <sheetName val="6月"/>
      <sheetName val="7月"/>
      <sheetName val="8月"/>
      <sheetName val="9月"/>
      <sheetName val="集計元データ"/>
    </sheetNames>
    <sheetDataSet>
      <sheetData sheetId="0"/>
      <sheetData sheetId="1">
        <row r="1">
          <cell r="A1">
            <v>38353</v>
          </cell>
          <cell r="B1" t="str">
            <v>元日</v>
          </cell>
        </row>
        <row r="2">
          <cell r="A2">
            <v>38354</v>
          </cell>
          <cell r="B2" t="str">
            <v>会社休み</v>
          </cell>
        </row>
        <row r="3">
          <cell r="A3">
            <v>38355</v>
          </cell>
          <cell r="B3" t="str">
            <v>会社休み</v>
          </cell>
        </row>
        <row r="4">
          <cell r="A4">
            <v>38362</v>
          </cell>
          <cell r="B4" t="str">
            <v>成人の日</v>
          </cell>
        </row>
        <row r="5">
          <cell r="A5">
            <v>38394</v>
          </cell>
          <cell r="B5" t="str">
            <v>建国記念の日</v>
          </cell>
        </row>
        <row r="6">
          <cell r="A6">
            <v>38431</v>
          </cell>
          <cell r="B6" t="str">
            <v>春分の日</v>
          </cell>
        </row>
        <row r="7">
          <cell r="A7">
            <v>38432</v>
          </cell>
          <cell r="B7" t="str">
            <v>振替休日</v>
          </cell>
        </row>
        <row r="8">
          <cell r="A8">
            <v>38471</v>
          </cell>
          <cell r="B8" t="str">
            <v>みどりの日</v>
          </cell>
        </row>
        <row r="9">
          <cell r="A9">
            <v>38475</v>
          </cell>
          <cell r="B9" t="str">
            <v>憲法記念日</v>
          </cell>
        </row>
        <row r="10">
          <cell r="A10">
            <v>38477</v>
          </cell>
          <cell r="B10" t="str">
            <v>こどもの日</v>
          </cell>
        </row>
        <row r="11">
          <cell r="A11">
            <v>38476</v>
          </cell>
          <cell r="B11" t="str">
            <v>振替休日</v>
          </cell>
        </row>
        <row r="12">
          <cell r="A12">
            <v>38551</v>
          </cell>
          <cell r="B12" t="str">
            <v>海の日</v>
          </cell>
        </row>
        <row r="13">
          <cell r="A13">
            <v>38575</v>
          </cell>
          <cell r="B13" t="str">
            <v>夏季休暇</v>
          </cell>
        </row>
        <row r="14">
          <cell r="A14">
            <v>38576</v>
          </cell>
          <cell r="B14" t="str">
            <v>夏季休暇</v>
          </cell>
        </row>
        <row r="15">
          <cell r="A15">
            <v>38579</v>
          </cell>
          <cell r="B15" t="str">
            <v>夏季休暇</v>
          </cell>
        </row>
        <row r="16">
          <cell r="B16" t="str">
            <v>夏季休暇</v>
          </cell>
        </row>
        <row r="17">
          <cell r="A17">
            <v>38614</v>
          </cell>
          <cell r="B17" t="str">
            <v>敬老の日</v>
          </cell>
        </row>
        <row r="18">
          <cell r="B18" t="str">
            <v>振替休日</v>
          </cell>
        </row>
        <row r="19">
          <cell r="A19">
            <v>38618</v>
          </cell>
          <cell r="B19" t="str">
            <v>秋分の日</v>
          </cell>
        </row>
        <row r="20">
          <cell r="A20">
            <v>38635</v>
          </cell>
          <cell r="B20" t="str">
            <v>体育の日</v>
          </cell>
        </row>
        <row r="21">
          <cell r="A21">
            <v>38659</v>
          </cell>
          <cell r="B21" t="str">
            <v>文化の日</v>
          </cell>
        </row>
        <row r="22">
          <cell r="A22">
            <v>38679</v>
          </cell>
          <cell r="B22" t="str">
            <v>勤労感謝の日</v>
          </cell>
        </row>
        <row r="23">
          <cell r="B23" t="str">
            <v>振替休日</v>
          </cell>
        </row>
        <row r="24">
          <cell r="A24">
            <v>38709</v>
          </cell>
          <cell r="B24" t="str">
            <v>天皇誕生日</v>
          </cell>
        </row>
        <row r="25">
          <cell r="A25">
            <v>38716</v>
          </cell>
          <cell r="B25" t="str">
            <v>会社休み</v>
          </cell>
        </row>
        <row r="26">
          <cell r="A26">
            <v>38717</v>
          </cell>
          <cell r="B26" t="str">
            <v>会社休み</v>
          </cell>
        </row>
        <row r="27">
          <cell r="A27">
            <v>38715</v>
          </cell>
          <cell r="B27" t="str">
            <v>会社休み</v>
          </cell>
        </row>
      </sheetData>
      <sheetData sheetId="2"/>
      <sheetData sheetId="3"/>
      <sheetData sheetId="4"/>
      <sheetData sheetId="5"/>
      <sheetData sheetId="6"/>
      <sheetData sheetId="7"/>
      <sheetData sheetId="8"/>
      <sheetData sheetId="9"/>
      <sheetData sheetId="10"/>
      <sheetData sheetId="1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見積原価表"/>
      <sheetName val="見積書"/>
      <sheetName val="表紙"/>
      <sheetName val="原価"/>
      <sheetName val="原価表"/>
      <sheetName val="詳細"/>
      <sheetName val="資材"/>
      <sheetName val="ﾘｰｽ"/>
      <sheetName val="償却"/>
      <sheetName val="処方"/>
    </sheetNames>
    <sheetDataSet>
      <sheetData sheetId="0" refreshError="1"/>
      <sheetData sheetId="1" refreshError="1"/>
      <sheetData sheetId="2"/>
      <sheetData sheetId="3" refreshError="1"/>
      <sheetData sheetId="4" refreshError="1"/>
      <sheetData sheetId="5"/>
      <sheetData sheetId="6" refreshError="1"/>
      <sheetData sheetId="7" refreshError="1"/>
      <sheetData sheetId="8" refreshError="1"/>
      <sheetData sheetId="9"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資料"/>
      <sheetName val="資料①"/>
      <sheetName val="測温結果"/>
      <sheetName val="測温サンプル流量値"/>
      <sheetName val="持続時間"/>
      <sheetName val="最高温度"/>
      <sheetName val="Ⅲ－２実績"/>
      <sheetName val="最高温度実績値"/>
      <sheetName val="個々"/>
    </sheetNames>
    <sheetDataSet>
      <sheetData sheetId="0"/>
      <sheetData sheetId="1"/>
      <sheetData sheetId="2"/>
      <sheetData sheetId="3"/>
      <sheetData sheetId="4"/>
      <sheetData sheetId="5"/>
      <sheetData sheetId="6"/>
      <sheetData sheetId="7"/>
      <sheetData sheetId="8">
        <row r="1">
          <cell r="B1" t="str">
            <v>形式</v>
          </cell>
          <cell r="C1" t="str">
            <v>号機</v>
          </cell>
          <cell r="D1" t="str">
            <v>Lot.</v>
          </cell>
          <cell r="E1" t="str">
            <v>列</v>
          </cell>
          <cell r="F1" t="str">
            <v>最高温度</v>
          </cell>
          <cell r="G1" t="str">
            <v>立上時間</v>
          </cell>
          <cell r="H1" t="str">
            <v>保証時間</v>
          </cell>
          <cell r="I1" t="str">
            <v>持続時間</v>
          </cell>
        </row>
      </sheetData>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80金予算"/>
      <sheetName val="集計元データ"/>
      <sheetName val="#REF"/>
      <sheetName val="09年総売"/>
      <sheetName val="FS0903"/>
      <sheetName val="集計表"/>
      <sheetName val="製品分類単位データ"/>
      <sheetName val="8以上社員"/>
      <sheetName val="設定"/>
      <sheetName val="80金予算.XLS"/>
      <sheetName val="店舗別医薬品粗利益前年比 (1-22)"/>
      <sheetName val="店舗別医薬品粗利益前年比_(1-22)1"/>
      <sheetName val="店舗別医薬品粗利益前年比_(1-22)"/>
      <sheetName val="芳香剤ｴﾝﾄﾞ"/>
      <sheetName val="MARCH"/>
      <sheetName val="配分表"/>
      <sheetName val="店舗別医薬品粗利益前年比_(1-22)2"/>
      <sheetName val="80金予算_XLS"/>
      <sheetName val="部署別確認用"/>
      <sheetName val="表"/>
      <sheetName val="商品ﾏｽﾀｰ(1月25日)"/>
      <sheetName val="商品ﾏｽﾀｰ"/>
      <sheetName val="祝日"/>
      <sheetName val="DATA"/>
      <sheetName val="INFO"/>
      <sheetName val="指数入事前発注書"/>
    </sheetNames>
    <definedNames>
      <definedName name="CLEAR_SUB"/>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 sheetId="14" refreshError="1"/>
      <sheetData sheetId="15" refreshError="1"/>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製造Ｇ"/>
      <sheetName val="製造本部"/>
      <sheetName val="富山小林"/>
      <sheetName val="仙台小林"/>
      <sheetName val="愛媛小林"/>
      <sheetName val="チバ"/>
      <sheetName val="ﾌﾟﾗｯｸｽ"/>
      <sheetName val="表"/>
      <sheetName val="製本D"/>
      <sheetName val="富山D"/>
      <sheetName val="仙台D"/>
      <sheetName val="愛媛D"/>
      <sheetName val="ﾁﾊﾞD"/>
      <sheetName val="ﾌﾟﾗｯｸｽD"/>
      <sheetName val="Module1"/>
    </sheetNames>
    <sheetDataSet>
      <sheetData sheetId="0"/>
      <sheetData sheetId="1"/>
      <sheetData sheetId="2"/>
      <sheetData sheetId="3"/>
      <sheetData sheetId="4"/>
      <sheetData sheetId="5"/>
      <sheetData sheetId="6"/>
      <sheetData sheetId="7">
        <row r="4">
          <cell r="C4">
            <v>3380612.8</v>
          </cell>
          <cell r="D4">
            <v>3767653</v>
          </cell>
          <cell r="E4">
            <v>3934059.4</v>
          </cell>
          <cell r="F4">
            <v>4384781.4000000004</v>
          </cell>
          <cell r="G4">
            <v>3492903</v>
          </cell>
          <cell r="H4">
            <v>4164762.6</v>
          </cell>
          <cell r="I4">
            <v>3929255.4</v>
          </cell>
          <cell r="J4">
            <v>3804539.4</v>
          </cell>
          <cell r="K4">
            <v>4855215.8</v>
          </cell>
          <cell r="L4">
            <v>2663306.2000000002</v>
          </cell>
          <cell r="M4">
            <v>2762929.4</v>
          </cell>
        </row>
        <row r="6">
          <cell r="C6">
            <v>3358808</v>
          </cell>
          <cell r="D6">
            <v>3726008.2</v>
          </cell>
          <cell r="E6">
            <v>3645518</v>
          </cell>
          <cell r="F6">
            <v>4382994</v>
          </cell>
          <cell r="G6">
            <v>3355715.6</v>
          </cell>
          <cell r="H6">
            <v>3828154.8</v>
          </cell>
          <cell r="I6">
            <v>3770019.4</v>
          </cell>
          <cell r="J6">
            <v>4091370.4</v>
          </cell>
          <cell r="K6">
            <v>4474024</v>
          </cell>
          <cell r="L6">
            <v>2527687.7999999998</v>
          </cell>
          <cell r="M6">
            <v>2802025.8</v>
          </cell>
          <cell r="N6">
            <v>3910516</v>
          </cell>
        </row>
        <row r="8">
          <cell r="C8">
            <v>3471775.2</v>
          </cell>
          <cell r="D8">
            <v>3860294.4</v>
          </cell>
          <cell r="E8">
            <v>3780689</v>
          </cell>
          <cell r="F8">
            <v>4404528.5999999996</v>
          </cell>
          <cell r="G8">
            <v>3473740.8</v>
          </cell>
          <cell r="H8">
            <v>3951967.6</v>
          </cell>
          <cell r="I8">
            <v>3702008.8</v>
          </cell>
          <cell r="J8">
            <v>4109340.4</v>
          </cell>
          <cell r="K8">
            <v>4576358</v>
          </cell>
          <cell r="L8">
            <v>2661852</v>
          </cell>
          <cell r="M8">
            <v>2847223</v>
          </cell>
          <cell r="N8">
            <v>3799120.6</v>
          </cell>
        </row>
        <row r="10">
          <cell r="C10">
            <v>640638</v>
          </cell>
          <cell r="D10">
            <v>739017</v>
          </cell>
          <cell r="E10">
            <v>721987</v>
          </cell>
          <cell r="F10">
            <v>862918</v>
          </cell>
          <cell r="G10">
            <v>606382</v>
          </cell>
          <cell r="H10">
            <v>822094</v>
          </cell>
          <cell r="I10">
            <v>965359</v>
          </cell>
          <cell r="J10">
            <v>790031</v>
          </cell>
          <cell r="K10">
            <v>719313</v>
          </cell>
          <cell r="L10">
            <v>214437</v>
          </cell>
          <cell r="M10">
            <v>271918</v>
          </cell>
        </row>
        <row r="12">
          <cell r="C12">
            <v>622976</v>
          </cell>
          <cell r="D12">
            <v>816028</v>
          </cell>
          <cell r="E12">
            <v>765512</v>
          </cell>
          <cell r="F12">
            <v>874926</v>
          </cell>
          <cell r="G12">
            <v>558156</v>
          </cell>
          <cell r="H12">
            <v>781719</v>
          </cell>
          <cell r="I12">
            <v>931291</v>
          </cell>
          <cell r="J12">
            <v>1084229</v>
          </cell>
          <cell r="K12">
            <v>882407</v>
          </cell>
          <cell r="L12">
            <v>392541</v>
          </cell>
          <cell r="M12">
            <v>582827</v>
          </cell>
          <cell r="N12">
            <v>737440</v>
          </cell>
        </row>
        <row r="14">
          <cell r="C14">
            <v>713669</v>
          </cell>
          <cell r="D14">
            <v>807038</v>
          </cell>
          <cell r="E14">
            <v>837492</v>
          </cell>
          <cell r="F14">
            <v>911090</v>
          </cell>
          <cell r="G14">
            <v>561303</v>
          </cell>
          <cell r="H14">
            <v>576332</v>
          </cell>
          <cell r="I14">
            <v>772709</v>
          </cell>
          <cell r="J14">
            <v>849396</v>
          </cell>
          <cell r="K14">
            <v>734884</v>
          </cell>
          <cell r="L14">
            <v>230768</v>
          </cell>
          <cell r="M14">
            <v>316071</v>
          </cell>
          <cell r="N14">
            <v>538019</v>
          </cell>
        </row>
        <row r="16">
          <cell r="C16">
            <v>322087</v>
          </cell>
          <cell r="D16">
            <v>369631</v>
          </cell>
          <cell r="E16">
            <v>360237</v>
          </cell>
          <cell r="F16">
            <v>565728</v>
          </cell>
          <cell r="G16">
            <v>232344</v>
          </cell>
          <cell r="H16">
            <v>309541</v>
          </cell>
          <cell r="I16">
            <v>577191</v>
          </cell>
          <cell r="J16">
            <v>378336</v>
          </cell>
          <cell r="K16">
            <v>300854</v>
          </cell>
          <cell r="L16">
            <v>-85428</v>
          </cell>
          <cell r="M16">
            <v>-18211</v>
          </cell>
        </row>
        <row r="18">
          <cell r="C18">
            <v>243090</v>
          </cell>
          <cell r="D18">
            <v>462704</v>
          </cell>
          <cell r="E18">
            <v>352662</v>
          </cell>
          <cell r="F18">
            <v>505407</v>
          </cell>
          <cell r="G18">
            <v>118492</v>
          </cell>
          <cell r="H18">
            <v>-159983</v>
          </cell>
          <cell r="I18">
            <v>436965</v>
          </cell>
          <cell r="J18">
            <v>561431</v>
          </cell>
          <cell r="K18">
            <v>314544</v>
          </cell>
          <cell r="L18">
            <v>-57540</v>
          </cell>
          <cell r="M18">
            <v>94628</v>
          </cell>
          <cell r="N18">
            <v>-65628</v>
          </cell>
        </row>
        <row r="20">
          <cell r="C20">
            <v>366056</v>
          </cell>
          <cell r="D20">
            <v>436251</v>
          </cell>
          <cell r="E20">
            <v>432765</v>
          </cell>
          <cell r="F20">
            <v>558347</v>
          </cell>
          <cell r="G20">
            <v>153323</v>
          </cell>
          <cell r="H20">
            <v>58980</v>
          </cell>
          <cell r="I20">
            <v>379619</v>
          </cell>
          <cell r="J20">
            <v>440061</v>
          </cell>
          <cell r="K20">
            <v>289891</v>
          </cell>
          <cell r="L20">
            <v>-61358</v>
          </cell>
          <cell r="M20">
            <v>-6067</v>
          </cell>
          <cell r="N20">
            <v>-450674</v>
          </cell>
        </row>
      </sheetData>
      <sheetData sheetId="8"/>
      <sheetData sheetId="9"/>
      <sheetData sheetId="10"/>
      <sheetData sheetId="11"/>
      <sheetData sheetId="12"/>
      <sheetData sheetId="13"/>
      <sheetData sheetId="14"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西濃"/>
      <sheetName val="西濃 ６月"/>
      <sheetName val="西濃 7月"/>
      <sheetName val="表"/>
      <sheetName val="競合GRP"/>
      <sheetName val="小林GRP"/>
      <sheetName val="予測GRP"/>
    </sheetNames>
    <sheetDataSet>
      <sheetData sheetId="0" refreshError="1">
        <row r="1">
          <cell r="B1" t="str">
            <v>品名</v>
          </cell>
          <cell r="C1" t="str">
            <v>DP種類</v>
          </cell>
          <cell r="D1" t="str">
            <v>数量</v>
          </cell>
          <cell r="E1" t="str">
            <v>発地</v>
          </cell>
          <cell r="F1" t="str">
            <v>集荷日</v>
          </cell>
          <cell r="G1" t="str">
            <v>着地</v>
          </cell>
          <cell r="H1" t="str">
            <v>着地住所</v>
          </cell>
          <cell r="I1" t="str">
            <v>納品日</v>
          </cell>
          <cell r="J1" t="str">
            <v>仕切料金</v>
          </cell>
          <cell r="K1" t="str">
            <v>ムラキ手数料</v>
          </cell>
          <cell r="L1" t="str">
            <v>センター料金</v>
          </cell>
          <cell r="M1" t="str">
            <v>備考</v>
          </cell>
        </row>
        <row r="2">
          <cell r="B2" t="str">
            <v>あせわきパット</v>
          </cell>
          <cell r="C2" t="str">
            <v>什器セット</v>
          </cell>
          <cell r="D2">
            <v>70</v>
          </cell>
          <cell r="E2" t="str">
            <v>センター</v>
          </cell>
          <cell r="F2">
            <v>37320</v>
          </cell>
          <cell r="G2" t="str">
            <v>福島県　東流社</v>
          </cell>
          <cell r="I2">
            <v>37322</v>
          </cell>
          <cell r="J2">
            <v>1250</v>
          </cell>
        </row>
        <row r="3">
          <cell r="B3" t="str">
            <v>あせわきパット</v>
          </cell>
          <cell r="C3" t="str">
            <v>什器セット</v>
          </cell>
          <cell r="D3">
            <v>50</v>
          </cell>
          <cell r="E3" t="str">
            <v>センター</v>
          </cell>
          <cell r="F3">
            <v>37320</v>
          </cell>
          <cell r="G3" t="str">
            <v>仙台　</v>
          </cell>
          <cell r="I3">
            <v>37322</v>
          </cell>
          <cell r="J3">
            <v>1250</v>
          </cell>
        </row>
        <row r="4">
          <cell r="B4" t="str">
            <v>タックシール</v>
          </cell>
          <cell r="D4">
            <v>1</v>
          </cell>
          <cell r="E4" t="str">
            <v>センター</v>
          </cell>
          <cell r="F4">
            <v>37321</v>
          </cell>
          <cell r="G4" t="str">
            <v>日本AD加工</v>
          </cell>
          <cell r="I4">
            <v>37322</v>
          </cell>
          <cell r="J4">
            <v>570</v>
          </cell>
        </row>
        <row r="5">
          <cell r="B5" t="str">
            <v>アンメルツ</v>
          </cell>
          <cell r="C5" t="str">
            <v>クリアケース</v>
          </cell>
          <cell r="D5">
            <v>300</v>
          </cell>
          <cell r="E5" t="str">
            <v>センター</v>
          </cell>
          <cell r="F5">
            <v>37323</v>
          </cell>
          <cell r="G5" t="str">
            <v>仙台小林</v>
          </cell>
          <cell r="H5" t="str">
            <v>宮城県黒川郡大和町松坂平4-3</v>
          </cell>
          <cell r="I5">
            <v>37324</v>
          </cell>
          <cell r="J5">
            <v>760</v>
          </cell>
          <cell r="K5">
            <v>190</v>
          </cell>
          <cell r="L5">
            <v>950</v>
          </cell>
        </row>
        <row r="6">
          <cell r="B6" t="str">
            <v>カスミCVS</v>
          </cell>
          <cell r="C6" t="str">
            <v>一式</v>
          </cell>
          <cell r="D6">
            <v>50</v>
          </cell>
          <cell r="E6" t="str">
            <v>センター</v>
          </cell>
          <cell r="F6">
            <v>37326</v>
          </cell>
          <cell r="G6" t="str">
            <v>水戸営業所</v>
          </cell>
          <cell r="H6" t="str">
            <v>茨城県水戸市堀町2160-4</v>
          </cell>
          <cell r="I6">
            <v>37327</v>
          </cell>
          <cell r="J6">
            <v>6806</v>
          </cell>
          <cell r="K6">
            <v>1701.5</v>
          </cell>
          <cell r="L6">
            <v>8507.5</v>
          </cell>
        </row>
        <row r="7">
          <cell r="B7" t="str">
            <v>香りの新製品フェア</v>
          </cell>
          <cell r="C7" t="str">
            <v>キット</v>
          </cell>
          <cell r="D7">
            <v>1</v>
          </cell>
          <cell r="E7" t="str">
            <v>センター</v>
          </cell>
          <cell r="F7">
            <v>37326</v>
          </cell>
          <cell r="G7" t="str">
            <v>ｱﾙﾌﾟﾗｻﾞ　木津</v>
          </cell>
          <cell r="I7">
            <v>37328</v>
          </cell>
          <cell r="J7">
            <v>570</v>
          </cell>
        </row>
        <row r="8">
          <cell r="B8" t="str">
            <v>香りの新製品フェア</v>
          </cell>
          <cell r="C8" t="str">
            <v>キット</v>
          </cell>
          <cell r="D8">
            <v>1</v>
          </cell>
          <cell r="E8" t="str">
            <v>センター</v>
          </cell>
          <cell r="F8">
            <v>37326</v>
          </cell>
          <cell r="G8" t="str">
            <v>平和堂　水口</v>
          </cell>
          <cell r="I8">
            <v>37328</v>
          </cell>
          <cell r="J8">
            <v>570</v>
          </cell>
        </row>
        <row r="9">
          <cell r="B9" t="str">
            <v>香りの新製品フェア</v>
          </cell>
          <cell r="C9" t="str">
            <v>キット</v>
          </cell>
          <cell r="D9">
            <v>1</v>
          </cell>
          <cell r="E9" t="str">
            <v>センター</v>
          </cell>
          <cell r="F9">
            <v>37326</v>
          </cell>
          <cell r="G9" t="str">
            <v>平和堂　甲西</v>
          </cell>
          <cell r="I9">
            <v>37328</v>
          </cell>
          <cell r="J9">
            <v>570</v>
          </cell>
        </row>
        <row r="10">
          <cell r="B10" t="str">
            <v>香りの新製品フェア</v>
          </cell>
          <cell r="C10" t="str">
            <v>キット</v>
          </cell>
          <cell r="D10">
            <v>1</v>
          </cell>
          <cell r="E10" t="str">
            <v>センター</v>
          </cell>
          <cell r="F10">
            <v>37326</v>
          </cell>
          <cell r="G10" t="str">
            <v>平和堂　甲西中央</v>
          </cell>
          <cell r="I10">
            <v>37328</v>
          </cell>
          <cell r="J10">
            <v>570</v>
          </cell>
        </row>
        <row r="11">
          <cell r="B11" t="str">
            <v>香りの新製品フェア</v>
          </cell>
          <cell r="C11" t="str">
            <v>キット</v>
          </cell>
          <cell r="D11">
            <v>1</v>
          </cell>
          <cell r="E11" t="str">
            <v>センター</v>
          </cell>
          <cell r="F11">
            <v>37326</v>
          </cell>
          <cell r="G11" t="str">
            <v>平和堂　米原</v>
          </cell>
          <cell r="I11">
            <v>37328</v>
          </cell>
          <cell r="J11">
            <v>570</v>
          </cell>
        </row>
        <row r="12">
          <cell r="B12" t="str">
            <v>香りの新製品フェア</v>
          </cell>
          <cell r="C12" t="str">
            <v>キット</v>
          </cell>
          <cell r="D12">
            <v>1</v>
          </cell>
          <cell r="E12" t="str">
            <v>センター</v>
          </cell>
          <cell r="F12">
            <v>37326</v>
          </cell>
          <cell r="G12" t="str">
            <v>ｱﾙﾌﾟﾗｻﾞ　小杉</v>
          </cell>
          <cell r="I12">
            <v>37328</v>
          </cell>
          <cell r="J12">
            <v>570</v>
          </cell>
        </row>
        <row r="13">
          <cell r="B13" t="str">
            <v>香りの新製品フェア</v>
          </cell>
          <cell r="C13" t="str">
            <v>キット</v>
          </cell>
          <cell r="D13">
            <v>1</v>
          </cell>
          <cell r="E13" t="str">
            <v>センター</v>
          </cell>
          <cell r="F13">
            <v>37326</v>
          </cell>
          <cell r="G13" t="str">
            <v>平和堂　能登川</v>
          </cell>
          <cell r="I13">
            <v>37328</v>
          </cell>
          <cell r="J13">
            <v>570</v>
          </cell>
        </row>
        <row r="14">
          <cell r="B14" t="str">
            <v>香りの新製品フェア</v>
          </cell>
          <cell r="C14" t="str">
            <v>キット</v>
          </cell>
          <cell r="D14">
            <v>1</v>
          </cell>
          <cell r="E14" t="str">
            <v>センター</v>
          </cell>
          <cell r="F14">
            <v>37326</v>
          </cell>
          <cell r="G14" t="str">
            <v>ｱﾙﾌﾟﾗｻﾞ　亀岡</v>
          </cell>
          <cell r="I14">
            <v>37328</v>
          </cell>
          <cell r="J14">
            <v>570</v>
          </cell>
        </row>
        <row r="15">
          <cell r="B15" t="str">
            <v>香りの新製品フェア</v>
          </cell>
          <cell r="C15" t="str">
            <v>キット</v>
          </cell>
          <cell r="D15">
            <v>1</v>
          </cell>
          <cell r="E15" t="str">
            <v>センター</v>
          </cell>
          <cell r="F15">
            <v>37326</v>
          </cell>
          <cell r="G15" t="str">
            <v>平和堂　ｴｰﾙ峰山</v>
          </cell>
          <cell r="I15">
            <v>37328</v>
          </cell>
          <cell r="J15">
            <v>570</v>
          </cell>
        </row>
        <row r="16">
          <cell r="B16" t="str">
            <v>香りの新製品フェア</v>
          </cell>
          <cell r="C16" t="str">
            <v>キット</v>
          </cell>
          <cell r="D16">
            <v>1</v>
          </cell>
          <cell r="E16" t="str">
            <v>センター</v>
          </cell>
          <cell r="F16">
            <v>37326</v>
          </cell>
          <cell r="G16" t="str">
            <v>平和堂　ﾍﾞﾙﾌﾟﾗｻﾞ　</v>
          </cell>
          <cell r="I16">
            <v>37328</v>
          </cell>
          <cell r="J16">
            <v>570</v>
          </cell>
        </row>
        <row r="17">
          <cell r="B17" t="str">
            <v>香りの新製品フェア</v>
          </cell>
          <cell r="C17" t="str">
            <v>キット</v>
          </cell>
          <cell r="D17">
            <v>1</v>
          </cell>
          <cell r="E17" t="str">
            <v>センター</v>
          </cell>
          <cell r="F17">
            <v>37326</v>
          </cell>
          <cell r="G17" t="str">
            <v>ｱﾙﾌﾟﾗｻﾞ　小松</v>
          </cell>
          <cell r="I17">
            <v>37328</v>
          </cell>
          <cell r="J17">
            <v>570</v>
          </cell>
        </row>
        <row r="18">
          <cell r="B18" t="str">
            <v>香りの新製品フェア</v>
          </cell>
          <cell r="C18" t="str">
            <v>キット</v>
          </cell>
          <cell r="D18">
            <v>1</v>
          </cell>
          <cell r="E18" t="str">
            <v>センター</v>
          </cell>
          <cell r="F18">
            <v>37326</v>
          </cell>
          <cell r="G18" t="str">
            <v>ｱﾙﾌﾟﾗｻﾞ　鹿島</v>
          </cell>
          <cell r="I18">
            <v>37328</v>
          </cell>
          <cell r="J18">
            <v>570</v>
          </cell>
        </row>
        <row r="19">
          <cell r="B19" t="str">
            <v>香りの新製品フェア</v>
          </cell>
          <cell r="C19" t="str">
            <v>キット</v>
          </cell>
          <cell r="D19">
            <v>1</v>
          </cell>
          <cell r="E19" t="str">
            <v>センター</v>
          </cell>
          <cell r="F19">
            <v>37326</v>
          </cell>
          <cell r="G19" t="str">
            <v>平和堂　木本</v>
          </cell>
          <cell r="I19">
            <v>37328</v>
          </cell>
          <cell r="J19">
            <v>570</v>
          </cell>
        </row>
        <row r="20">
          <cell r="B20" t="str">
            <v>香りの新製品フェア</v>
          </cell>
          <cell r="C20" t="str">
            <v>キット</v>
          </cell>
          <cell r="D20">
            <v>1</v>
          </cell>
          <cell r="E20" t="str">
            <v>センター</v>
          </cell>
          <cell r="F20">
            <v>37326</v>
          </cell>
          <cell r="G20" t="str">
            <v>平和堂　アミ</v>
          </cell>
          <cell r="I20">
            <v>37328</v>
          </cell>
          <cell r="J20">
            <v>570</v>
          </cell>
        </row>
        <row r="21">
          <cell r="B21" t="str">
            <v>香りの新製品フェア</v>
          </cell>
          <cell r="C21" t="str">
            <v>キット</v>
          </cell>
          <cell r="D21">
            <v>1</v>
          </cell>
          <cell r="E21" t="str">
            <v>センター</v>
          </cell>
          <cell r="F21">
            <v>37326</v>
          </cell>
          <cell r="G21" t="str">
            <v>ｱﾙﾌﾟﾗｻﾞ　富山</v>
          </cell>
          <cell r="I21">
            <v>37328</v>
          </cell>
          <cell r="J21">
            <v>570</v>
          </cell>
        </row>
        <row r="22">
          <cell r="B22" t="str">
            <v>香りの新製品フェア</v>
          </cell>
          <cell r="C22" t="str">
            <v>キット</v>
          </cell>
          <cell r="D22">
            <v>1</v>
          </cell>
          <cell r="E22" t="str">
            <v>センター</v>
          </cell>
          <cell r="F22">
            <v>37326</v>
          </cell>
          <cell r="G22" t="str">
            <v>平和堂　石部</v>
          </cell>
          <cell r="I22">
            <v>37328</v>
          </cell>
          <cell r="J22">
            <v>570</v>
          </cell>
        </row>
        <row r="23">
          <cell r="B23" t="str">
            <v>香りの新製品フェア</v>
          </cell>
          <cell r="C23" t="str">
            <v>キット</v>
          </cell>
          <cell r="D23">
            <v>1</v>
          </cell>
          <cell r="E23" t="str">
            <v>センター</v>
          </cell>
          <cell r="F23">
            <v>37327</v>
          </cell>
          <cell r="G23" t="str">
            <v>ｱﾙﾌﾟﾗｻﾞ　城陽</v>
          </cell>
          <cell r="I23">
            <v>37328</v>
          </cell>
          <cell r="J23">
            <v>570</v>
          </cell>
        </row>
        <row r="24">
          <cell r="B24" t="str">
            <v>香りの新製品フェア</v>
          </cell>
          <cell r="C24" t="str">
            <v>キット</v>
          </cell>
          <cell r="D24">
            <v>1</v>
          </cell>
          <cell r="E24" t="str">
            <v>センター</v>
          </cell>
          <cell r="F24">
            <v>37327</v>
          </cell>
          <cell r="G24" t="str">
            <v>ｱﾙﾌﾟﾗｻﾞ　草津</v>
          </cell>
          <cell r="I24">
            <v>37328</v>
          </cell>
          <cell r="J24">
            <v>570</v>
          </cell>
        </row>
        <row r="25">
          <cell r="B25" t="str">
            <v>香りの新製品フェア</v>
          </cell>
          <cell r="C25" t="str">
            <v>キット</v>
          </cell>
          <cell r="D25">
            <v>1</v>
          </cell>
          <cell r="E25" t="str">
            <v>センター</v>
          </cell>
          <cell r="F25">
            <v>37327</v>
          </cell>
          <cell r="G25" t="str">
            <v>平和堂　ベル</v>
          </cell>
          <cell r="I25">
            <v>37328</v>
          </cell>
          <cell r="J25">
            <v>570</v>
          </cell>
        </row>
        <row r="26">
          <cell r="B26" t="str">
            <v>香りの新製品フェア</v>
          </cell>
          <cell r="C26" t="str">
            <v>キット</v>
          </cell>
          <cell r="D26">
            <v>1</v>
          </cell>
          <cell r="E26" t="str">
            <v>センター</v>
          </cell>
          <cell r="F26">
            <v>37327</v>
          </cell>
          <cell r="G26" t="str">
            <v>ｱﾙﾌﾟﾗｻﾞ　枚方</v>
          </cell>
          <cell r="I26">
            <v>37328</v>
          </cell>
          <cell r="J26">
            <v>570</v>
          </cell>
        </row>
        <row r="27">
          <cell r="B27" t="str">
            <v>香りの新製品フェア</v>
          </cell>
          <cell r="C27" t="str">
            <v>キット</v>
          </cell>
          <cell r="D27">
            <v>1</v>
          </cell>
          <cell r="E27" t="str">
            <v>センター</v>
          </cell>
          <cell r="F27">
            <v>37327</v>
          </cell>
          <cell r="G27" t="str">
            <v>ｱﾙﾌﾟﾗｻﾞ　八日市</v>
          </cell>
          <cell r="I27">
            <v>37328</v>
          </cell>
          <cell r="J27">
            <v>570</v>
          </cell>
        </row>
        <row r="28">
          <cell r="B28" t="str">
            <v>香りの新製品フェア</v>
          </cell>
          <cell r="C28" t="str">
            <v>キット</v>
          </cell>
          <cell r="D28">
            <v>1</v>
          </cell>
          <cell r="E28" t="str">
            <v>センター</v>
          </cell>
          <cell r="F28">
            <v>37327</v>
          </cell>
          <cell r="G28" t="str">
            <v>平和堂　今津</v>
          </cell>
          <cell r="I28">
            <v>37328</v>
          </cell>
          <cell r="J28">
            <v>570</v>
          </cell>
        </row>
        <row r="29">
          <cell r="B29" t="str">
            <v>香りの新製品フェア</v>
          </cell>
          <cell r="C29" t="str">
            <v>キット</v>
          </cell>
          <cell r="D29">
            <v>1</v>
          </cell>
          <cell r="E29" t="str">
            <v>センター</v>
          </cell>
          <cell r="F29">
            <v>37327</v>
          </cell>
          <cell r="G29" t="str">
            <v>ｱﾙﾌﾟﾗｻﾞ　京田辺</v>
          </cell>
          <cell r="I29">
            <v>37328</v>
          </cell>
          <cell r="J29">
            <v>570</v>
          </cell>
        </row>
        <row r="30">
          <cell r="B30" t="str">
            <v>香りの新製品フェア</v>
          </cell>
          <cell r="C30" t="str">
            <v>キット</v>
          </cell>
          <cell r="D30">
            <v>1</v>
          </cell>
          <cell r="E30" t="str">
            <v>センター</v>
          </cell>
          <cell r="F30">
            <v>37327</v>
          </cell>
          <cell r="G30" t="str">
            <v>ｱﾙﾌﾟﾗｻﾞ　宇治東</v>
          </cell>
          <cell r="I30">
            <v>37328</v>
          </cell>
          <cell r="J30">
            <v>570</v>
          </cell>
        </row>
        <row r="31">
          <cell r="B31" t="str">
            <v>香りの新製品フェア</v>
          </cell>
          <cell r="C31" t="str">
            <v>キット</v>
          </cell>
          <cell r="D31">
            <v>1</v>
          </cell>
          <cell r="E31" t="str">
            <v>センター</v>
          </cell>
          <cell r="F31">
            <v>37327</v>
          </cell>
          <cell r="G31" t="str">
            <v>ｱﾙﾌﾟﾗｻﾞ　野洲</v>
          </cell>
          <cell r="I31">
            <v>37328</v>
          </cell>
          <cell r="J31">
            <v>570</v>
          </cell>
        </row>
        <row r="32">
          <cell r="B32" t="str">
            <v>香りの新製品フェア</v>
          </cell>
          <cell r="C32" t="str">
            <v>キット</v>
          </cell>
          <cell r="D32">
            <v>1</v>
          </cell>
          <cell r="E32" t="str">
            <v>センター</v>
          </cell>
          <cell r="F32">
            <v>37327</v>
          </cell>
          <cell r="G32" t="str">
            <v>ｱﾙﾌﾟﾗｻﾞ　金沢</v>
          </cell>
          <cell r="I32">
            <v>37328</v>
          </cell>
          <cell r="J32">
            <v>570</v>
          </cell>
        </row>
        <row r="33">
          <cell r="B33" t="str">
            <v>香りの新製品フェア</v>
          </cell>
          <cell r="C33" t="str">
            <v>キット</v>
          </cell>
          <cell r="D33">
            <v>1</v>
          </cell>
          <cell r="E33" t="str">
            <v>センター</v>
          </cell>
          <cell r="F33">
            <v>37327</v>
          </cell>
          <cell r="G33" t="str">
            <v>ｱﾙﾌﾟﾗｻﾞ　加賀</v>
          </cell>
          <cell r="I33">
            <v>37328</v>
          </cell>
          <cell r="J33">
            <v>570</v>
          </cell>
        </row>
        <row r="34">
          <cell r="B34" t="str">
            <v>香りの新製品フェア</v>
          </cell>
          <cell r="C34" t="str">
            <v>キット</v>
          </cell>
          <cell r="D34">
            <v>1</v>
          </cell>
          <cell r="E34" t="str">
            <v>センター</v>
          </cell>
          <cell r="F34">
            <v>37327</v>
          </cell>
          <cell r="G34" t="str">
            <v>平和堂　真砂</v>
          </cell>
          <cell r="I34">
            <v>37328</v>
          </cell>
          <cell r="J34">
            <v>570</v>
          </cell>
        </row>
        <row r="35">
          <cell r="B35" t="str">
            <v>香りの新製品フェア</v>
          </cell>
          <cell r="C35" t="str">
            <v>キット</v>
          </cell>
          <cell r="D35">
            <v>1</v>
          </cell>
          <cell r="E35" t="str">
            <v>センター</v>
          </cell>
          <cell r="F35">
            <v>37327</v>
          </cell>
          <cell r="G35" t="str">
            <v>平和堂　坂本</v>
          </cell>
          <cell r="I35">
            <v>37328</v>
          </cell>
          <cell r="J35">
            <v>570</v>
          </cell>
        </row>
        <row r="36">
          <cell r="B36" t="str">
            <v>香りの新製品フェア</v>
          </cell>
          <cell r="C36" t="str">
            <v>キット</v>
          </cell>
          <cell r="D36">
            <v>1</v>
          </cell>
          <cell r="E36" t="str">
            <v>センター</v>
          </cell>
          <cell r="F36">
            <v>37327</v>
          </cell>
          <cell r="G36" t="str">
            <v>ｱﾙﾌﾟﾗｻﾞ　大津</v>
          </cell>
          <cell r="I36">
            <v>37328</v>
          </cell>
          <cell r="J36">
            <v>570</v>
          </cell>
        </row>
        <row r="37">
          <cell r="B37" t="str">
            <v>香りの新製品フェア</v>
          </cell>
          <cell r="C37" t="str">
            <v>キット</v>
          </cell>
          <cell r="D37">
            <v>1</v>
          </cell>
          <cell r="E37" t="str">
            <v>センター</v>
          </cell>
          <cell r="F37">
            <v>37327</v>
          </cell>
          <cell r="G37" t="str">
            <v>平和堂　守山</v>
          </cell>
          <cell r="I37">
            <v>37328</v>
          </cell>
          <cell r="J37">
            <v>570</v>
          </cell>
        </row>
        <row r="38">
          <cell r="B38" t="str">
            <v>香りの新製品フェア</v>
          </cell>
          <cell r="C38" t="str">
            <v>キット</v>
          </cell>
          <cell r="D38">
            <v>1</v>
          </cell>
          <cell r="E38" t="str">
            <v>センター</v>
          </cell>
          <cell r="F38">
            <v>37327</v>
          </cell>
          <cell r="G38" t="str">
            <v>ｱﾙﾌﾟﾗｻﾞ　武生</v>
          </cell>
          <cell r="I38">
            <v>37328</v>
          </cell>
          <cell r="J38">
            <v>570</v>
          </cell>
        </row>
        <row r="39">
          <cell r="B39" t="str">
            <v>香りの新製品フェア</v>
          </cell>
          <cell r="C39" t="str">
            <v>キット</v>
          </cell>
          <cell r="D39">
            <v>1</v>
          </cell>
          <cell r="E39" t="str">
            <v>センター</v>
          </cell>
          <cell r="F39">
            <v>37327</v>
          </cell>
          <cell r="G39" t="str">
            <v>ｱﾙﾌﾟﾗｻﾞ　茨木</v>
          </cell>
          <cell r="I39">
            <v>37328</v>
          </cell>
          <cell r="J39">
            <v>570</v>
          </cell>
        </row>
        <row r="40">
          <cell r="B40" t="str">
            <v>香りの新製品フェア</v>
          </cell>
          <cell r="C40" t="str">
            <v>キット</v>
          </cell>
          <cell r="D40">
            <v>1</v>
          </cell>
          <cell r="E40" t="str">
            <v>センター</v>
          </cell>
          <cell r="F40">
            <v>37327</v>
          </cell>
          <cell r="G40" t="str">
            <v>ｱﾙﾌﾟﾗｻﾞ　敦賀</v>
          </cell>
          <cell r="I40">
            <v>37328</v>
          </cell>
          <cell r="J40">
            <v>570</v>
          </cell>
        </row>
        <row r="41">
          <cell r="B41" t="str">
            <v>香りの新製品フェア</v>
          </cell>
          <cell r="C41" t="str">
            <v>キット</v>
          </cell>
          <cell r="D41">
            <v>1</v>
          </cell>
          <cell r="E41" t="str">
            <v>センター</v>
          </cell>
          <cell r="F41">
            <v>37327</v>
          </cell>
          <cell r="G41" t="str">
            <v>ｱﾙﾌﾟﾗｻﾞ　香里園</v>
          </cell>
          <cell r="I41">
            <v>37328</v>
          </cell>
          <cell r="J41">
            <v>570</v>
          </cell>
        </row>
        <row r="42">
          <cell r="B42" t="str">
            <v>香りの新製品フェア</v>
          </cell>
          <cell r="C42" t="str">
            <v>キット</v>
          </cell>
          <cell r="D42">
            <v>1</v>
          </cell>
          <cell r="E42" t="str">
            <v>センター</v>
          </cell>
          <cell r="F42">
            <v>37327</v>
          </cell>
          <cell r="G42" t="str">
            <v>ｱﾙﾌﾟﾗｻﾞ　醍醐</v>
          </cell>
          <cell r="I42">
            <v>37328</v>
          </cell>
          <cell r="J42">
            <v>570</v>
          </cell>
        </row>
        <row r="43">
          <cell r="B43" t="str">
            <v>香りの新製品フェア</v>
          </cell>
          <cell r="C43" t="str">
            <v>キット</v>
          </cell>
          <cell r="D43">
            <v>1</v>
          </cell>
          <cell r="E43" t="str">
            <v>センター</v>
          </cell>
          <cell r="F43">
            <v>37327</v>
          </cell>
          <cell r="G43" t="str">
            <v>平和堂　東舞鶴</v>
          </cell>
          <cell r="I43">
            <v>37328</v>
          </cell>
          <cell r="J43">
            <v>570</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西濃"/>
      <sheetName val="西濃 ６月"/>
      <sheetName val="西濃 7月"/>
    </sheetNames>
    <sheetDataSet>
      <sheetData sheetId="0" refreshError="1">
        <row r="1">
          <cell r="B1" t="str">
            <v>品名</v>
          </cell>
          <cell r="C1" t="str">
            <v>DP種類</v>
          </cell>
          <cell r="D1" t="str">
            <v>数量</v>
          </cell>
          <cell r="E1" t="str">
            <v>発地</v>
          </cell>
          <cell r="F1" t="str">
            <v>集荷日</v>
          </cell>
          <cell r="G1" t="str">
            <v>着地</v>
          </cell>
          <cell r="H1" t="str">
            <v>着地住所</v>
          </cell>
          <cell r="I1" t="str">
            <v>納品日</v>
          </cell>
          <cell r="J1" t="str">
            <v>仕切料金</v>
          </cell>
          <cell r="K1" t="str">
            <v>ムラキ手数料</v>
          </cell>
          <cell r="L1" t="str">
            <v>センター料金</v>
          </cell>
          <cell r="M1" t="str">
            <v>備考</v>
          </cell>
        </row>
        <row r="2">
          <cell r="B2" t="str">
            <v>あせわきパット</v>
          </cell>
          <cell r="C2" t="str">
            <v>什器セット</v>
          </cell>
          <cell r="D2">
            <v>70</v>
          </cell>
          <cell r="E2" t="str">
            <v>センター</v>
          </cell>
          <cell r="F2">
            <v>37320</v>
          </cell>
          <cell r="G2" t="str">
            <v>福島県　東流社</v>
          </cell>
          <cell r="I2">
            <v>37322</v>
          </cell>
          <cell r="J2">
            <v>1250</v>
          </cell>
        </row>
        <row r="3">
          <cell r="B3" t="str">
            <v>あせわきパット</v>
          </cell>
          <cell r="C3" t="str">
            <v>什器セット</v>
          </cell>
          <cell r="D3">
            <v>50</v>
          </cell>
          <cell r="E3" t="str">
            <v>センター</v>
          </cell>
          <cell r="F3">
            <v>37320</v>
          </cell>
          <cell r="G3" t="str">
            <v>仙台　</v>
          </cell>
          <cell r="I3">
            <v>37322</v>
          </cell>
          <cell r="J3">
            <v>1250</v>
          </cell>
        </row>
        <row r="4">
          <cell r="B4" t="str">
            <v>タックシール</v>
          </cell>
          <cell r="D4">
            <v>1</v>
          </cell>
          <cell r="E4" t="str">
            <v>センター</v>
          </cell>
          <cell r="F4">
            <v>37321</v>
          </cell>
          <cell r="G4" t="str">
            <v>日本AD加工</v>
          </cell>
          <cell r="I4">
            <v>37322</v>
          </cell>
          <cell r="J4">
            <v>570</v>
          </cell>
        </row>
        <row r="5">
          <cell r="B5" t="str">
            <v>アンメルツ</v>
          </cell>
          <cell r="C5" t="str">
            <v>クリアケース</v>
          </cell>
          <cell r="D5">
            <v>300</v>
          </cell>
          <cell r="E5" t="str">
            <v>センター</v>
          </cell>
          <cell r="F5">
            <v>37323</v>
          </cell>
          <cell r="G5" t="str">
            <v>仙台小林</v>
          </cell>
          <cell r="H5" t="str">
            <v>宮城県黒川郡大和町松坂平4-3</v>
          </cell>
          <cell r="I5">
            <v>37324</v>
          </cell>
          <cell r="J5">
            <v>760</v>
          </cell>
          <cell r="K5">
            <v>190</v>
          </cell>
          <cell r="L5">
            <v>950</v>
          </cell>
        </row>
        <row r="6">
          <cell r="B6" t="str">
            <v>カスミCVS</v>
          </cell>
          <cell r="C6" t="str">
            <v>一式</v>
          </cell>
          <cell r="D6">
            <v>50</v>
          </cell>
          <cell r="E6" t="str">
            <v>センター</v>
          </cell>
          <cell r="F6">
            <v>37326</v>
          </cell>
          <cell r="G6" t="str">
            <v>水戸営業所</v>
          </cell>
          <cell r="H6" t="str">
            <v>茨城県水戸市堀町2160-4</v>
          </cell>
          <cell r="I6">
            <v>37327</v>
          </cell>
          <cell r="J6">
            <v>6806</v>
          </cell>
          <cell r="K6">
            <v>1701.5</v>
          </cell>
          <cell r="L6">
            <v>8507.5</v>
          </cell>
        </row>
        <row r="7">
          <cell r="B7" t="str">
            <v>香りの新製品フェア</v>
          </cell>
          <cell r="C7" t="str">
            <v>キット</v>
          </cell>
          <cell r="D7">
            <v>1</v>
          </cell>
          <cell r="E7" t="str">
            <v>センター</v>
          </cell>
          <cell r="F7">
            <v>37326</v>
          </cell>
          <cell r="G7" t="str">
            <v>ｱﾙﾌﾟﾗｻﾞ　木津</v>
          </cell>
          <cell r="I7">
            <v>37328</v>
          </cell>
          <cell r="J7">
            <v>570</v>
          </cell>
        </row>
        <row r="8">
          <cell r="B8" t="str">
            <v>香りの新製品フェア</v>
          </cell>
          <cell r="C8" t="str">
            <v>キット</v>
          </cell>
          <cell r="D8">
            <v>1</v>
          </cell>
          <cell r="E8" t="str">
            <v>センター</v>
          </cell>
          <cell r="F8">
            <v>37326</v>
          </cell>
          <cell r="G8" t="str">
            <v>平和堂　水口</v>
          </cell>
          <cell r="I8">
            <v>37328</v>
          </cell>
          <cell r="J8">
            <v>570</v>
          </cell>
        </row>
        <row r="9">
          <cell r="B9" t="str">
            <v>香りの新製品フェア</v>
          </cell>
          <cell r="C9" t="str">
            <v>キット</v>
          </cell>
          <cell r="D9">
            <v>1</v>
          </cell>
          <cell r="E9" t="str">
            <v>センター</v>
          </cell>
          <cell r="F9">
            <v>37326</v>
          </cell>
          <cell r="G9" t="str">
            <v>平和堂　甲西</v>
          </cell>
          <cell r="I9">
            <v>37328</v>
          </cell>
          <cell r="J9">
            <v>570</v>
          </cell>
        </row>
        <row r="10">
          <cell r="B10" t="str">
            <v>香りの新製品フェア</v>
          </cell>
          <cell r="C10" t="str">
            <v>キット</v>
          </cell>
          <cell r="D10">
            <v>1</v>
          </cell>
          <cell r="E10" t="str">
            <v>センター</v>
          </cell>
          <cell r="F10">
            <v>37326</v>
          </cell>
          <cell r="G10" t="str">
            <v>平和堂　甲西中央</v>
          </cell>
          <cell r="I10">
            <v>37328</v>
          </cell>
          <cell r="J10">
            <v>570</v>
          </cell>
        </row>
        <row r="11">
          <cell r="B11" t="str">
            <v>香りの新製品フェア</v>
          </cell>
          <cell r="C11" t="str">
            <v>キット</v>
          </cell>
          <cell r="D11">
            <v>1</v>
          </cell>
          <cell r="E11" t="str">
            <v>センター</v>
          </cell>
          <cell r="F11">
            <v>37326</v>
          </cell>
          <cell r="G11" t="str">
            <v>平和堂　米原</v>
          </cell>
          <cell r="I11">
            <v>37328</v>
          </cell>
          <cell r="J11">
            <v>570</v>
          </cell>
        </row>
        <row r="12">
          <cell r="B12" t="str">
            <v>香りの新製品フェア</v>
          </cell>
          <cell r="C12" t="str">
            <v>キット</v>
          </cell>
          <cell r="D12">
            <v>1</v>
          </cell>
          <cell r="E12" t="str">
            <v>センター</v>
          </cell>
          <cell r="F12">
            <v>37326</v>
          </cell>
          <cell r="G12" t="str">
            <v>ｱﾙﾌﾟﾗｻﾞ　小杉</v>
          </cell>
          <cell r="I12">
            <v>37328</v>
          </cell>
          <cell r="J12">
            <v>570</v>
          </cell>
        </row>
        <row r="13">
          <cell r="B13" t="str">
            <v>香りの新製品フェア</v>
          </cell>
          <cell r="C13" t="str">
            <v>キット</v>
          </cell>
          <cell r="D13">
            <v>1</v>
          </cell>
          <cell r="E13" t="str">
            <v>センター</v>
          </cell>
          <cell r="F13">
            <v>37326</v>
          </cell>
          <cell r="G13" t="str">
            <v>平和堂　能登川</v>
          </cell>
          <cell r="I13">
            <v>37328</v>
          </cell>
          <cell r="J13">
            <v>570</v>
          </cell>
        </row>
        <row r="14">
          <cell r="B14" t="str">
            <v>香りの新製品フェア</v>
          </cell>
          <cell r="C14" t="str">
            <v>キット</v>
          </cell>
          <cell r="D14">
            <v>1</v>
          </cell>
          <cell r="E14" t="str">
            <v>センター</v>
          </cell>
          <cell r="F14">
            <v>37326</v>
          </cell>
          <cell r="G14" t="str">
            <v>ｱﾙﾌﾟﾗｻﾞ　亀岡</v>
          </cell>
          <cell r="I14">
            <v>37328</v>
          </cell>
          <cell r="J14">
            <v>570</v>
          </cell>
        </row>
        <row r="15">
          <cell r="B15" t="str">
            <v>香りの新製品フェア</v>
          </cell>
          <cell r="C15" t="str">
            <v>キット</v>
          </cell>
          <cell r="D15">
            <v>1</v>
          </cell>
          <cell r="E15" t="str">
            <v>センター</v>
          </cell>
          <cell r="F15">
            <v>37326</v>
          </cell>
          <cell r="G15" t="str">
            <v>平和堂　ｴｰﾙ峰山</v>
          </cell>
          <cell r="I15">
            <v>37328</v>
          </cell>
          <cell r="J15">
            <v>570</v>
          </cell>
        </row>
        <row r="16">
          <cell r="B16" t="str">
            <v>香りの新製品フェア</v>
          </cell>
          <cell r="C16" t="str">
            <v>キット</v>
          </cell>
          <cell r="D16">
            <v>1</v>
          </cell>
          <cell r="E16" t="str">
            <v>センター</v>
          </cell>
          <cell r="F16">
            <v>37326</v>
          </cell>
          <cell r="G16" t="str">
            <v>平和堂　ﾍﾞﾙﾌﾟﾗｻﾞ　</v>
          </cell>
          <cell r="I16">
            <v>37328</v>
          </cell>
          <cell r="J16">
            <v>570</v>
          </cell>
        </row>
        <row r="17">
          <cell r="B17" t="str">
            <v>香りの新製品フェア</v>
          </cell>
          <cell r="C17" t="str">
            <v>キット</v>
          </cell>
          <cell r="D17">
            <v>1</v>
          </cell>
          <cell r="E17" t="str">
            <v>センター</v>
          </cell>
          <cell r="F17">
            <v>37326</v>
          </cell>
          <cell r="G17" t="str">
            <v>ｱﾙﾌﾟﾗｻﾞ　小松</v>
          </cell>
          <cell r="I17">
            <v>37328</v>
          </cell>
          <cell r="J17">
            <v>570</v>
          </cell>
        </row>
        <row r="18">
          <cell r="B18" t="str">
            <v>香りの新製品フェア</v>
          </cell>
          <cell r="C18" t="str">
            <v>キット</v>
          </cell>
          <cell r="D18">
            <v>1</v>
          </cell>
          <cell r="E18" t="str">
            <v>センター</v>
          </cell>
          <cell r="F18">
            <v>37326</v>
          </cell>
          <cell r="G18" t="str">
            <v>ｱﾙﾌﾟﾗｻﾞ　鹿島</v>
          </cell>
          <cell r="I18">
            <v>37328</v>
          </cell>
          <cell r="J18">
            <v>570</v>
          </cell>
        </row>
        <row r="19">
          <cell r="B19" t="str">
            <v>香りの新製品フェア</v>
          </cell>
          <cell r="C19" t="str">
            <v>キット</v>
          </cell>
          <cell r="D19">
            <v>1</v>
          </cell>
          <cell r="E19" t="str">
            <v>センター</v>
          </cell>
          <cell r="F19">
            <v>37326</v>
          </cell>
          <cell r="G19" t="str">
            <v>平和堂　木本</v>
          </cell>
          <cell r="I19">
            <v>37328</v>
          </cell>
          <cell r="J19">
            <v>570</v>
          </cell>
        </row>
        <row r="20">
          <cell r="B20" t="str">
            <v>香りの新製品フェア</v>
          </cell>
          <cell r="C20" t="str">
            <v>キット</v>
          </cell>
          <cell r="D20">
            <v>1</v>
          </cell>
          <cell r="E20" t="str">
            <v>センター</v>
          </cell>
          <cell r="F20">
            <v>37326</v>
          </cell>
          <cell r="G20" t="str">
            <v>平和堂　アミ</v>
          </cell>
          <cell r="I20">
            <v>37328</v>
          </cell>
          <cell r="J20">
            <v>570</v>
          </cell>
        </row>
        <row r="21">
          <cell r="B21" t="str">
            <v>香りの新製品フェア</v>
          </cell>
          <cell r="C21" t="str">
            <v>キット</v>
          </cell>
          <cell r="D21">
            <v>1</v>
          </cell>
          <cell r="E21" t="str">
            <v>センター</v>
          </cell>
          <cell r="F21">
            <v>37326</v>
          </cell>
          <cell r="G21" t="str">
            <v>ｱﾙﾌﾟﾗｻﾞ　富山</v>
          </cell>
          <cell r="I21">
            <v>37328</v>
          </cell>
          <cell r="J21">
            <v>570</v>
          </cell>
        </row>
        <row r="22">
          <cell r="B22" t="str">
            <v>香りの新製品フェア</v>
          </cell>
          <cell r="C22" t="str">
            <v>キット</v>
          </cell>
          <cell r="D22">
            <v>1</v>
          </cell>
          <cell r="E22" t="str">
            <v>センター</v>
          </cell>
          <cell r="F22">
            <v>37326</v>
          </cell>
          <cell r="G22" t="str">
            <v>平和堂　石部</v>
          </cell>
          <cell r="I22">
            <v>37328</v>
          </cell>
          <cell r="J22">
            <v>570</v>
          </cell>
        </row>
        <row r="23">
          <cell r="B23" t="str">
            <v>香りの新製品フェア</v>
          </cell>
          <cell r="C23" t="str">
            <v>キット</v>
          </cell>
          <cell r="D23">
            <v>1</v>
          </cell>
          <cell r="E23" t="str">
            <v>センター</v>
          </cell>
          <cell r="F23">
            <v>37327</v>
          </cell>
          <cell r="G23" t="str">
            <v>ｱﾙﾌﾟﾗｻﾞ　城陽</v>
          </cell>
          <cell r="I23">
            <v>37328</v>
          </cell>
          <cell r="J23">
            <v>570</v>
          </cell>
        </row>
        <row r="24">
          <cell r="B24" t="str">
            <v>香りの新製品フェア</v>
          </cell>
          <cell r="C24" t="str">
            <v>キット</v>
          </cell>
          <cell r="D24">
            <v>1</v>
          </cell>
          <cell r="E24" t="str">
            <v>センター</v>
          </cell>
          <cell r="F24">
            <v>37327</v>
          </cell>
          <cell r="G24" t="str">
            <v>ｱﾙﾌﾟﾗｻﾞ　草津</v>
          </cell>
          <cell r="I24">
            <v>37328</v>
          </cell>
          <cell r="J24">
            <v>570</v>
          </cell>
        </row>
        <row r="25">
          <cell r="B25" t="str">
            <v>香りの新製品フェア</v>
          </cell>
          <cell r="C25" t="str">
            <v>キット</v>
          </cell>
          <cell r="D25">
            <v>1</v>
          </cell>
          <cell r="E25" t="str">
            <v>センター</v>
          </cell>
          <cell r="F25">
            <v>37327</v>
          </cell>
          <cell r="G25" t="str">
            <v>平和堂　ベル</v>
          </cell>
          <cell r="I25">
            <v>37328</v>
          </cell>
          <cell r="J25">
            <v>570</v>
          </cell>
        </row>
        <row r="26">
          <cell r="B26" t="str">
            <v>香りの新製品フェア</v>
          </cell>
          <cell r="C26" t="str">
            <v>キット</v>
          </cell>
          <cell r="D26">
            <v>1</v>
          </cell>
          <cell r="E26" t="str">
            <v>センター</v>
          </cell>
          <cell r="F26">
            <v>37327</v>
          </cell>
          <cell r="G26" t="str">
            <v>ｱﾙﾌﾟﾗｻﾞ　枚方</v>
          </cell>
          <cell r="I26">
            <v>37328</v>
          </cell>
          <cell r="J26">
            <v>570</v>
          </cell>
        </row>
        <row r="27">
          <cell r="B27" t="str">
            <v>香りの新製品フェア</v>
          </cell>
          <cell r="C27" t="str">
            <v>キット</v>
          </cell>
          <cell r="D27">
            <v>1</v>
          </cell>
          <cell r="E27" t="str">
            <v>センター</v>
          </cell>
          <cell r="F27">
            <v>37327</v>
          </cell>
          <cell r="G27" t="str">
            <v>ｱﾙﾌﾟﾗｻﾞ　八日市</v>
          </cell>
          <cell r="I27">
            <v>37328</v>
          </cell>
          <cell r="J27">
            <v>570</v>
          </cell>
        </row>
        <row r="28">
          <cell r="B28" t="str">
            <v>香りの新製品フェア</v>
          </cell>
          <cell r="C28" t="str">
            <v>キット</v>
          </cell>
          <cell r="D28">
            <v>1</v>
          </cell>
          <cell r="E28" t="str">
            <v>センター</v>
          </cell>
          <cell r="F28">
            <v>37327</v>
          </cell>
          <cell r="G28" t="str">
            <v>平和堂　今津</v>
          </cell>
          <cell r="I28">
            <v>37328</v>
          </cell>
          <cell r="J28">
            <v>570</v>
          </cell>
        </row>
        <row r="29">
          <cell r="B29" t="str">
            <v>香りの新製品フェア</v>
          </cell>
          <cell r="C29" t="str">
            <v>キット</v>
          </cell>
          <cell r="D29">
            <v>1</v>
          </cell>
          <cell r="E29" t="str">
            <v>センター</v>
          </cell>
          <cell r="F29">
            <v>37327</v>
          </cell>
          <cell r="G29" t="str">
            <v>ｱﾙﾌﾟﾗｻﾞ　京田辺</v>
          </cell>
          <cell r="I29">
            <v>37328</v>
          </cell>
          <cell r="J29">
            <v>570</v>
          </cell>
        </row>
        <row r="30">
          <cell r="B30" t="str">
            <v>香りの新製品フェア</v>
          </cell>
          <cell r="C30" t="str">
            <v>キット</v>
          </cell>
          <cell r="D30">
            <v>1</v>
          </cell>
          <cell r="E30" t="str">
            <v>センター</v>
          </cell>
          <cell r="F30">
            <v>37327</v>
          </cell>
          <cell r="G30" t="str">
            <v>ｱﾙﾌﾟﾗｻﾞ　宇治東</v>
          </cell>
          <cell r="I30">
            <v>37328</v>
          </cell>
          <cell r="J30">
            <v>570</v>
          </cell>
        </row>
        <row r="31">
          <cell r="B31" t="str">
            <v>香りの新製品フェア</v>
          </cell>
          <cell r="C31" t="str">
            <v>キット</v>
          </cell>
          <cell r="D31">
            <v>1</v>
          </cell>
          <cell r="E31" t="str">
            <v>センター</v>
          </cell>
          <cell r="F31">
            <v>37327</v>
          </cell>
          <cell r="G31" t="str">
            <v>ｱﾙﾌﾟﾗｻﾞ　野洲</v>
          </cell>
          <cell r="I31">
            <v>37328</v>
          </cell>
          <cell r="J31">
            <v>570</v>
          </cell>
        </row>
        <row r="32">
          <cell r="B32" t="str">
            <v>香りの新製品フェア</v>
          </cell>
          <cell r="C32" t="str">
            <v>キット</v>
          </cell>
          <cell r="D32">
            <v>1</v>
          </cell>
          <cell r="E32" t="str">
            <v>センター</v>
          </cell>
          <cell r="F32">
            <v>37327</v>
          </cell>
          <cell r="G32" t="str">
            <v>ｱﾙﾌﾟﾗｻﾞ　金沢</v>
          </cell>
          <cell r="I32">
            <v>37328</v>
          </cell>
          <cell r="J32">
            <v>570</v>
          </cell>
        </row>
        <row r="33">
          <cell r="B33" t="str">
            <v>香りの新製品フェア</v>
          </cell>
          <cell r="C33" t="str">
            <v>キット</v>
          </cell>
          <cell r="D33">
            <v>1</v>
          </cell>
          <cell r="E33" t="str">
            <v>センター</v>
          </cell>
          <cell r="F33">
            <v>37327</v>
          </cell>
          <cell r="G33" t="str">
            <v>ｱﾙﾌﾟﾗｻﾞ　加賀</v>
          </cell>
          <cell r="I33">
            <v>37328</v>
          </cell>
          <cell r="J33">
            <v>570</v>
          </cell>
        </row>
        <row r="34">
          <cell r="B34" t="str">
            <v>香りの新製品フェア</v>
          </cell>
          <cell r="C34" t="str">
            <v>キット</v>
          </cell>
          <cell r="D34">
            <v>1</v>
          </cell>
          <cell r="E34" t="str">
            <v>センター</v>
          </cell>
          <cell r="F34">
            <v>37327</v>
          </cell>
          <cell r="G34" t="str">
            <v>平和堂　真砂</v>
          </cell>
          <cell r="I34">
            <v>37328</v>
          </cell>
          <cell r="J34">
            <v>570</v>
          </cell>
        </row>
        <row r="35">
          <cell r="B35" t="str">
            <v>香りの新製品フェア</v>
          </cell>
          <cell r="C35" t="str">
            <v>キット</v>
          </cell>
          <cell r="D35">
            <v>1</v>
          </cell>
          <cell r="E35" t="str">
            <v>センター</v>
          </cell>
          <cell r="F35">
            <v>37327</v>
          </cell>
          <cell r="G35" t="str">
            <v>平和堂　坂本</v>
          </cell>
          <cell r="I35">
            <v>37328</v>
          </cell>
          <cell r="J35">
            <v>570</v>
          </cell>
        </row>
        <row r="36">
          <cell r="B36" t="str">
            <v>香りの新製品フェア</v>
          </cell>
          <cell r="C36" t="str">
            <v>キット</v>
          </cell>
          <cell r="D36">
            <v>1</v>
          </cell>
          <cell r="E36" t="str">
            <v>センター</v>
          </cell>
          <cell r="F36">
            <v>37327</v>
          </cell>
          <cell r="G36" t="str">
            <v>ｱﾙﾌﾟﾗｻﾞ　大津</v>
          </cell>
          <cell r="I36">
            <v>37328</v>
          </cell>
          <cell r="J36">
            <v>570</v>
          </cell>
        </row>
        <row r="37">
          <cell r="B37" t="str">
            <v>香りの新製品フェア</v>
          </cell>
          <cell r="C37" t="str">
            <v>キット</v>
          </cell>
          <cell r="D37">
            <v>1</v>
          </cell>
          <cell r="E37" t="str">
            <v>センター</v>
          </cell>
          <cell r="F37">
            <v>37327</v>
          </cell>
          <cell r="G37" t="str">
            <v>平和堂　守山</v>
          </cell>
          <cell r="I37">
            <v>37328</v>
          </cell>
          <cell r="J37">
            <v>570</v>
          </cell>
        </row>
        <row r="38">
          <cell r="B38" t="str">
            <v>香りの新製品フェア</v>
          </cell>
          <cell r="C38" t="str">
            <v>キット</v>
          </cell>
          <cell r="D38">
            <v>1</v>
          </cell>
          <cell r="E38" t="str">
            <v>センター</v>
          </cell>
          <cell r="F38">
            <v>37327</v>
          </cell>
          <cell r="G38" t="str">
            <v>ｱﾙﾌﾟﾗｻﾞ　武生</v>
          </cell>
          <cell r="I38">
            <v>37328</v>
          </cell>
          <cell r="J38">
            <v>570</v>
          </cell>
        </row>
        <row r="39">
          <cell r="B39" t="str">
            <v>香りの新製品フェア</v>
          </cell>
          <cell r="C39" t="str">
            <v>キット</v>
          </cell>
          <cell r="D39">
            <v>1</v>
          </cell>
          <cell r="E39" t="str">
            <v>センター</v>
          </cell>
          <cell r="F39">
            <v>37327</v>
          </cell>
          <cell r="G39" t="str">
            <v>ｱﾙﾌﾟﾗｻﾞ　茨木</v>
          </cell>
          <cell r="I39">
            <v>37328</v>
          </cell>
          <cell r="J39">
            <v>570</v>
          </cell>
        </row>
        <row r="40">
          <cell r="B40" t="str">
            <v>香りの新製品フェア</v>
          </cell>
          <cell r="C40" t="str">
            <v>キット</v>
          </cell>
          <cell r="D40">
            <v>1</v>
          </cell>
          <cell r="E40" t="str">
            <v>センター</v>
          </cell>
          <cell r="F40">
            <v>37327</v>
          </cell>
          <cell r="G40" t="str">
            <v>ｱﾙﾌﾟﾗｻﾞ　敦賀</v>
          </cell>
          <cell r="I40">
            <v>37328</v>
          </cell>
          <cell r="J40">
            <v>570</v>
          </cell>
        </row>
        <row r="41">
          <cell r="B41" t="str">
            <v>香りの新製品フェア</v>
          </cell>
          <cell r="C41" t="str">
            <v>キット</v>
          </cell>
          <cell r="D41">
            <v>1</v>
          </cell>
          <cell r="E41" t="str">
            <v>センター</v>
          </cell>
          <cell r="F41">
            <v>37327</v>
          </cell>
          <cell r="G41" t="str">
            <v>ｱﾙﾌﾟﾗｻﾞ　香里園</v>
          </cell>
          <cell r="I41">
            <v>37328</v>
          </cell>
          <cell r="J41">
            <v>570</v>
          </cell>
        </row>
        <row r="42">
          <cell r="B42" t="str">
            <v>香りの新製品フェア</v>
          </cell>
          <cell r="C42" t="str">
            <v>キット</v>
          </cell>
          <cell r="D42">
            <v>1</v>
          </cell>
          <cell r="E42" t="str">
            <v>センター</v>
          </cell>
          <cell r="F42">
            <v>37327</v>
          </cell>
          <cell r="G42" t="str">
            <v>ｱﾙﾌﾟﾗｻﾞ　醍醐</v>
          </cell>
          <cell r="I42">
            <v>37328</v>
          </cell>
          <cell r="J42">
            <v>570</v>
          </cell>
        </row>
        <row r="43">
          <cell r="B43" t="str">
            <v>香りの新製品フェア</v>
          </cell>
          <cell r="C43" t="str">
            <v>キット</v>
          </cell>
          <cell r="D43">
            <v>1</v>
          </cell>
          <cell r="E43" t="str">
            <v>センター</v>
          </cell>
          <cell r="F43">
            <v>37327</v>
          </cell>
          <cell r="G43" t="str">
            <v>平和堂　東舞鶴</v>
          </cell>
          <cell r="I43">
            <v>37328</v>
          </cell>
          <cell r="J43">
            <v>570</v>
          </cell>
        </row>
      </sheetData>
      <sheetData sheetId="1"/>
      <sheetData sheetId="2"/>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設定"/>
      <sheetName val="前期"/>
      <sheetName val="計画1"/>
      <sheetName val="計画1a"/>
      <sheetName val="計画2"/>
      <sheetName val="計画2a"/>
      <sheetName val="予算"/>
      <sheetName val="当期"/>
      <sheetName val="当期a"/>
      <sheetName val="Work"/>
      <sheetName val="8以上社員"/>
      <sheetName val="売上データ"/>
      <sheetName val="西濃"/>
      <sheetName val="表"/>
      <sheetName val="元データ"/>
      <sheetName val="ＮＣ"/>
      <sheetName val="ﾁﾗｼ企画"/>
      <sheetName val="旭商会"/>
      <sheetName val="ﾒｰｶｰﾘｽﾄ"/>
      <sheetName val="NST (4)"/>
      <sheetName val="配分表"/>
      <sheetName val="賞与･年収"/>
      <sheetName val="NST_(4)1"/>
      <sheetName val="NST_(4)"/>
      <sheetName val="ＦＭ"/>
      <sheetName val="管理"/>
      <sheetName val="祝日"/>
      <sheetName val="銘柄７（浸透ﾗﾝｸ）"/>
      <sheetName val="４平台発注書"/>
      <sheetName val="#REF"/>
      <sheetName val="200809"/>
      <sheetName val="200803"/>
      <sheetName val="200709"/>
      <sheetName val="取り纏め表"/>
      <sheetName val="Sheet1"/>
      <sheetName val="INFO"/>
      <sheetName val="部門担当者リスト"/>
      <sheetName val="経営計画と予実対比"/>
      <sheetName val="商品ﾏｽﾀｰ(1月25日)"/>
      <sheetName val="ｶﾃｺﾞﾘｰ"/>
      <sheetName val="店舗データ"/>
    </sheetNames>
    <sheetDataSet>
      <sheetData sheetId="0" refreshError="1"/>
      <sheetData sheetId="1" refreshError="1">
        <row r="14">
          <cell r="B14">
            <v>1</v>
          </cell>
          <cell r="C14" t="str">
            <v>商品売上</v>
          </cell>
        </row>
        <row r="15">
          <cell r="B15">
            <v>2</v>
          </cell>
          <cell r="C15" t="str">
            <v>情報配信料</v>
          </cell>
        </row>
        <row r="16">
          <cell r="B16">
            <v>3</v>
          </cell>
          <cell r="C16" t="str">
            <v>セミナー売上</v>
          </cell>
        </row>
        <row r="17">
          <cell r="B17">
            <v>4</v>
          </cell>
          <cell r="C17" t="str">
            <v>コンサル収入</v>
          </cell>
        </row>
        <row r="18">
          <cell r="B18">
            <v>5</v>
          </cell>
          <cell r="C18" t="str">
            <v>会費収入</v>
          </cell>
        </row>
        <row r="19">
          <cell r="B19">
            <v>6</v>
          </cell>
          <cell r="C19" t="str">
            <v>サポート収入</v>
          </cell>
        </row>
        <row r="20">
          <cell r="B20">
            <v>7</v>
          </cell>
          <cell r="C20" t="str">
            <v>手数料収入</v>
          </cell>
        </row>
        <row r="21">
          <cell r="B21">
            <v>8</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3.8～9月"/>
      <sheetName val="2003.10～2004.3月"/>
      <sheetName val="資材Ｍ"/>
      <sheetName val="発生場所・報告者"/>
      <sheetName val="書式 "/>
      <sheetName val="2004.4月～2004.9月"/>
      <sheetName val="H7昇格者"/>
      <sheetName val="設定"/>
      <sheetName val="資材不具合発生状況2003"/>
      <sheetName val="原本"/>
      <sheetName val="西濃"/>
      <sheetName val="2003_8～9月1"/>
      <sheetName val="2003_10～2004_3月1"/>
      <sheetName val="書式_1"/>
      <sheetName val="2004_4月～2004_9月1"/>
      <sheetName val="2003_8～9月"/>
      <sheetName val="2003_10～2004_3月"/>
      <sheetName val="書式_"/>
      <sheetName val="2004_4月～2004_9月"/>
      <sheetName val="SGA&amp;F"/>
      <sheetName val="Cost of Goods Manu"/>
      <sheetName val="Income Statement"/>
      <sheetName val="Balance Sheet"/>
      <sheetName val="売上データ"/>
      <sheetName val="2003_8～9月2"/>
      <sheetName val="2003_10～2004_3月2"/>
      <sheetName val="書式_2"/>
      <sheetName val="2004_4月～2004_9月2"/>
      <sheetName val="Cost_of_Goods_Manu"/>
      <sheetName val="Income_Statement"/>
      <sheetName val="Balance_Sheet"/>
      <sheetName val="アンケート結果"/>
      <sheetName val="ヘッダーなど"/>
      <sheetName val="管理"/>
      <sheetName val="Sheet1"/>
      <sheetName val="部署別確認用"/>
      <sheetName val="ＮＣ"/>
    </sheetNames>
    <sheetDataSet>
      <sheetData sheetId="0" refreshError="1"/>
      <sheetData sheetId="1" refreshError="1"/>
      <sheetData sheetId="2"/>
      <sheetData sheetId="3" refreshError="1">
        <row r="1">
          <cell r="A1" t="str">
            <v>パウダー2</v>
          </cell>
          <cell r="C1" t="str">
            <v>QC吉内</v>
          </cell>
          <cell r="E1" t="str">
            <v>有</v>
          </cell>
        </row>
        <row r="2">
          <cell r="A2" t="str">
            <v>パウダー3</v>
          </cell>
          <cell r="C2" t="str">
            <v>QC福田</v>
          </cell>
          <cell r="E2" t="str">
            <v>未</v>
          </cell>
        </row>
        <row r="3">
          <cell r="A3" t="str">
            <v>パウダー</v>
          </cell>
          <cell r="C3" t="str">
            <v>QC尾崎</v>
          </cell>
        </row>
        <row r="4">
          <cell r="A4" t="str">
            <v>コットン1</v>
          </cell>
          <cell r="C4" t="str">
            <v>QC星田</v>
          </cell>
        </row>
        <row r="5">
          <cell r="A5" t="str">
            <v>コットン２</v>
          </cell>
          <cell r="C5" t="str">
            <v>QC徳永</v>
          </cell>
        </row>
        <row r="6">
          <cell r="A6" t="str">
            <v>コットン３</v>
          </cell>
          <cell r="C6" t="str">
            <v>QC田中</v>
          </cell>
        </row>
        <row r="7">
          <cell r="A7" t="str">
            <v>ミニシート</v>
          </cell>
          <cell r="C7" t="str">
            <v>管理　秦</v>
          </cell>
        </row>
        <row r="8">
          <cell r="A8" t="str">
            <v>Ｔバック</v>
          </cell>
          <cell r="C8" t="str">
            <v>管理高塚</v>
          </cell>
        </row>
        <row r="9">
          <cell r="A9" t="str">
            <v>汗ワキ</v>
          </cell>
        </row>
        <row r="10">
          <cell r="A10" t="str">
            <v>Ｔバック</v>
          </cell>
        </row>
        <row r="11">
          <cell r="A11" t="str">
            <v>ｶﾗｰﾗｲﾅｰ</v>
          </cell>
        </row>
        <row r="12">
          <cell r="A12" t="str">
            <v>ﾒｶﾞﾈｸﾘｰﾅ</v>
          </cell>
        </row>
        <row r="13">
          <cell r="A13" t="str">
            <v>メモト</v>
          </cell>
        </row>
        <row r="14">
          <cell r="A14" t="str">
            <v>ﾁﾝ!して</v>
          </cell>
        </row>
        <row r="15">
          <cell r="A15" t="str">
            <v>虫ｶﾞｰﾄﾞ</v>
          </cell>
        </row>
        <row r="16">
          <cell r="A16" t="str">
            <v>熱さま</v>
          </cell>
        </row>
        <row r="17">
          <cell r="A17" t="str">
            <v>便座ﾃｨｯｼｭ</v>
          </cell>
        </row>
        <row r="18">
          <cell r="A18" t="str">
            <v>便座ﾎﾞﾄﾙ</v>
          </cell>
        </row>
        <row r="19">
          <cell r="A19" t="str">
            <v>ﾊﾞｸﾃﾃｨｯｼｭ</v>
          </cell>
        </row>
        <row r="20">
          <cell r="A20" t="str">
            <v>ﾊﾞｸﾃﾎﾞﾄﾙ</v>
          </cell>
        </row>
        <row r="21">
          <cell r="A21" t="str">
            <v>便座ｽﾘｯﾀｰ</v>
          </cell>
        </row>
      </sheetData>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sheetData sheetId="1">
        <row r="3">
          <cell r="B3">
            <v>700100</v>
          </cell>
          <cell r="C3" t="str">
            <v>ｷﾘﾊﾞｲH.W 3 30Pﾊｺ       2100円</v>
          </cell>
          <cell r="D3" t="str">
            <v>589</v>
          </cell>
          <cell r="E3" t="str">
            <v>MR0</v>
          </cell>
          <cell r="F3" t="str">
            <v>PKWF</v>
          </cell>
        </row>
        <row r="4">
          <cell r="B4">
            <v>700118</v>
          </cell>
          <cell r="C4" t="str">
            <v>ｷﾘﾊﾞｲH.W 3 20Pﾌｸﾛ      1400円</v>
          </cell>
          <cell r="D4" t="str">
            <v>587</v>
          </cell>
          <cell r="E4" t="str">
            <v>MR0</v>
          </cell>
          <cell r="F4" t="str">
            <v>SFCM-F</v>
          </cell>
        </row>
        <row r="5">
          <cell r="B5">
            <v>700126</v>
          </cell>
          <cell r="C5" t="str">
            <v>ｷﾘﾊﾞｲH.W 3 30Pﾌｸﾛ      2100円</v>
          </cell>
          <cell r="D5" t="str">
            <v>588</v>
          </cell>
          <cell r="E5" t="str">
            <v>MR0</v>
          </cell>
          <cell r="F5" t="str">
            <v>SFCM-F</v>
          </cell>
        </row>
        <row r="6">
          <cell r="B6">
            <v>700134</v>
          </cell>
          <cell r="C6" t="str">
            <v>ｷﾘﾊﾞｲH.W 3 10P+1P      770円</v>
          </cell>
          <cell r="D6" t="str">
            <v>556</v>
          </cell>
          <cell r="E6" t="str">
            <v>MR0</v>
          </cell>
          <cell r="F6" t="str">
            <v>SFCM-F</v>
          </cell>
        </row>
        <row r="7">
          <cell r="B7">
            <v>700142</v>
          </cell>
          <cell r="C7" t="str">
            <v>ｷﾘﾊﾞｲH.W 3 30+3ﾊｺ      2310円</v>
          </cell>
          <cell r="D7" t="str">
            <v>557</v>
          </cell>
          <cell r="E7" t="str">
            <v>MR0</v>
          </cell>
          <cell r="F7" t="str">
            <v>SFCM-F</v>
          </cell>
        </row>
        <row r="8">
          <cell r="B8">
            <v>700151</v>
          </cell>
          <cell r="C8" t="str">
            <v>ｷﾘﾊﾞｲH.W 4 10P+1P      770円</v>
          </cell>
          <cell r="D8" t="str">
            <v>590</v>
          </cell>
          <cell r="E8" t="str">
            <v>MR0</v>
          </cell>
          <cell r="F8" t="str">
            <v>PKWF</v>
          </cell>
        </row>
        <row r="9">
          <cell r="B9">
            <v>700169</v>
          </cell>
          <cell r="C9" t="str">
            <v>ｷﾘﾊﾞｲH.W 4 30+3ﾊｺ      2310円</v>
          </cell>
          <cell r="D9" t="str">
            <v>591</v>
          </cell>
          <cell r="E9" t="str">
            <v>MR0</v>
          </cell>
          <cell r="F9" t="str">
            <v>PKWF</v>
          </cell>
        </row>
        <row r="10">
          <cell r="B10">
            <v>707759</v>
          </cell>
          <cell r="C10" t="str">
            <v>ｷﾘﾊﾞｲH.W 3 5P-3        350円</v>
          </cell>
          <cell r="D10">
            <v>510</v>
          </cell>
          <cell r="E10" t="str">
            <v>MR0</v>
          </cell>
          <cell r="F10" t="str">
            <v>PKWF</v>
          </cell>
        </row>
        <row r="11">
          <cell r="B11">
            <v>707767</v>
          </cell>
          <cell r="C11" t="str">
            <v>ｷﾘﾊﾞｲH.W 3 10P-3       700円</v>
          </cell>
          <cell r="D11" t="str">
            <v>501</v>
          </cell>
          <cell r="E11" t="str">
            <v>MR0</v>
          </cell>
          <cell r="F11" t="str">
            <v>SFCM-F</v>
          </cell>
        </row>
        <row r="12">
          <cell r="B12">
            <v>711411</v>
          </cell>
          <cell r="C12" t="str">
            <v>ｷﾘﾊﾞｲ ﾊﾝﾄﾞｳｵ-ﾏ- 1P ITF 70円</v>
          </cell>
          <cell r="D12">
            <v>3001</v>
          </cell>
          <cell r="E12" t="str">
            <v>MR0</v>
          </cell>
          <cell r="F12" t="str">
            <v>PKWF</v>
          </cell>
        </row>
        <row r="13">
          <cell r="B13">
            <v>711322</v>
          </cell>
          <cell r="C13" t="str">
            <v>ｷﾘﾊﾞｲ ﾊﾝﾄﾞ ｳｵ-ﾏ- 5P ITF350円</v>
          </cell>
          <cell r="D13">
            <v>18</v>
          </cell>
          <cell r="E13" t="str">
            <v>MR0</v>
          </cell>
          <cell r="F13" t="str">
            <v>PKWF</v>
          </cell>
        </row>
        <row r="14">
          <cell r="B14">
            <v>710253</v>
          </cell>
          <cell r="C14" t="str">
            <v>ｷﾘﾊﾞｲ ﾊﾝﾄﾞｳｵ-ﾏ- 10P ITF700円</v>
          </cell>
          <cell r="D14">
            <v>658</v>
          </cell>
          <cell r="E14" t="str">
            <v>MR0</v>
          </cell>
          <cell r="F14" t="str">
            <v>PKWF</v>
          </cell>
        </row>
        <row r="15">
          <cell r="B15">
            <v>710261</v>
          </cell>
          <cell r="C15" t="str">
            <v>ｷﾘﾊﾞｲ ﾊﾝﾄﾞｳｵ-ﾏ- 20P ITF1400円</v>
          </cell>
          <cell r="D15" t="str">
            <v>659</v>
          </cell>
          <cell r="E15" t="str">
            <v>MR0</v>
          </cell>
          <cell r="F15" t="str">
            <v>PKWF</v>
          </cell>
        </row>
        <row r="16">
          <cell r="B16">
            <v>710270</v>
          </cell>
          <cell r="C16" t="str">
            <v>ﾊﾝﾄﾞ ｳｵ-ﾏ- 30P ﾌｸﾛ ITF 2100円</v>
          </cell>
          <cell r="D16" t="str">
            <v>660</v>
          </cell>
          <cell r="E16" t="str">
            <v>MR0</v>
          </cell>
          <cell r="F16" t="str">
            <v>PKWF</v>
          </cell>
        </row>
        <row r="17">
          <cell r="B17">
            <v>707783</v>
          </cell>
          <cell r="C17" t="str">
            <v>ｷﾘﾊﾞｲH.W 3 20Pﾌｸﾛ-3    1400円</v>
          </cell>
          <cell r="D17" t="str">
            <v>502</v>
          </cell>
          <cell r="E17" t="str">
            <v>MR0</v>
          </cell>
          <cell r="F17" t="str">
            <v>SFCM-F</v>
          </cell>
        </row>
        <row r="18">
          <cell r="B18">
            <v>707791</v>
          </cell>
          <cell r="C18" t="str">
            <v>ｷﾘﾊﾞｲH.W 3 30Pﾌｸﾛ-3    2100円</v>
          </cell>
          <cell r="D18" t="str">
            <v>503</v>
          </cell>
          <cell r="E18" t="str">
            <v>MR0</v>
          </cell>
          <cell r="F18" t="str">
            <v>SFCM-F</v>
          </cell>
        </row>
        <row r="19">
          <cell r="B19">
            <v>710628</v>
          </cell>
          <cell r="C19" t="str">
            <v>ﾆﾕ-ﾊﾝﾄﾞｳｵ-ﾏ- 30P ﾊｺ ITF2100円</v>
          </cell>
          <cell r="D19">
            <v>661</v>
          </cell>
          <cell r="E19" t="str">
            <v>MR0</v>
          </cell>
          <cell r="F19" t="str">
            <v>PKWF</v>
          </cell>
        </row>
        <row r="20">
          <cell r="B20">
            <v>705659</v>
          </cell>
          <cell r="C20" t="str">
            <v>ﾊﾝﾄﾞｳｵ-ﾏ-10Pﾂﾘｻｹﾞｷﾖｽｸ  700円</v>
          </cell>
          <cell r="D20" t="str">
            <v>239</v>
          </cell>
          <cell r="E20" t="str">
            <v>MR0</v>
          </cell>
          <cell r="F20" t="str">
            <v>SFCM-F</v>
          </cell>
        </row>
        <row r="21">
          <cell r="B21">
            <v>700185</v>
          </cell>
          <cell r="C21" t="str">
            <v>ｷﾘﾊﾞｲｷﾘﾀﾞﾝﾎﾞ 2 10P     500円</v>
          </cell>
          <cell r="D21" t="str">
            <v>537</v>
          </cell>
          <cell r="E21" t="str">
            <v>80AF</v>
          </cell>
          <cell r="F21" t="str">
            <v>SFCM-F</v>
          </cell>
        </row>
        <row r="22">
          <cell r="B22">
            <v>700193</v>
          </cell>
          <cell r="C22" t="str">
            <v>ｷﾘﾊﾞｲｷﾘﾀﾞﾝﾎﾞ 2 30P     1500円</v>
          </cell>
          <cell r="D22" t="str">
            <v>538</v>
          </cell>
          <cell r="E22" t="str">
            <v>80AF</v>
          </cell>
          <cell r="F22" t="str">
            <v>SFCM-F</v>
          </cell>
        </row>
        <row r="23">
          <cell r="B23">
            <v>705039</v>
          </cell>
          <cell r="C23" t="str">
            <v>ｷﾘﾊﾞｲｷﾘﾀﾞﾝﾎﾞ 30Pﾊｺ     1500円</v>
          </cell>
          <cell r="D23" t="str">
            <v>550</v>
          </cell>
          <cell r="E23" t="str">
            <v>80AF</v>
          </cell>
          <cell r="F23" t="str">
            <v>SFCM-F</v>
          </cell>
        </row>
        <row r="24">
          <cell r="B24">
            <v>700215</v>
          </cell>
          <cell r="C24" t="str">
            <v>ｷﾘﾊﾞｲｷﾘﾀﾞﾝﾎﾞ 3 30P     1500円</v>
          </cell>
          <cell r="D24" t="str">
            <v>580</v>
          </cell>
          <cell r="E24" t="str">
            <v>80AF</v>
          </cell>
          <cell r="F24" t="str">
            <v>PKWF</v>
          </cell>
        </row>
        <row r="25">
          <cell r="B25">
            <v>707805</v>
          </cell>
          <cell r="C25" t="str">
            <v>ｷﾘﾊﾞｲｷﾘﾀﾞﾝﾎﾞ 3 10P-3   500円</v>
          </cell>
          <cell r="D25" t="str">
            <v>505</v>
          </cell>
          <cell r="E25" t="str">
            <v>MR0</v>
          </cell>
          <cell r="F25" t="str">
            <v>PKWF</v>
          </cell>
        </row>
        <row r="26">
          <cell r="B26">
            <v>707813</v>
          </cell>
          <cell r="C26" t="str">
            <v>ｷﾘﾊﾞｲｷﾘﾀﾞﾝﾎﾞ 3 30P-3   1500円</v>
          </cell>
          <cell r="D26" t="str">
            <v>506</v>
          </cell>
          <cell r="E26" t="str">
            <v>MR0</v>
          </cell>
          <cell r="F26" t="str">
            <v>PKWF</v>
          </cell>
        </row>
        <row r="27">
          <cell r="B27">
            <v>711560</v>
          </cell>
          <cell r="C27" t="str">
            <v>ｷﾘﾊﾞｲｷﾘﾀﾞﾝﾎﾞR 30Pﾊｺ ITF1500円</v>
          </cell>
          <cell r="D27">
            <v>38</v>
          </cell>
          <cell r="E27" t="str">
            <v>MR0</v>
          </cell>
          <cell r="F27" t="str">
            <v>PKWF</v>
          </cell>
        </row>
        <row r="28">
          <cell r="B28">
            <v>711543</v>
          </cell>
          <cell r="C28" t="str">
            <v>ｷﾘﾊﾞｲ ｷﾘﾀﾞﾝﾎﾞ R 10P ITF500円</v>
          </cell>
          <cell r="D28">
            <v>36</v>
          </cell>
          <cell r="E28" t="str">
            <v>MR0</v>
          </cell>
          <cell r="F28" t="str">
            <v>PKWF</v>
          </cell>
        </row>
        <row r="29">
          <cell r="B29">
            <v>711551</v>
          </cell>
          <cell r="C29" t="str">
            <v>ｷﾘﾊﾞｲ ｷﾘﾀﾞﾝﾎﾞ R 30P ITF1500円</v>
          </cell>
          <cell r="D29">
            <v>37</v>
          </cell>
          <cell r="E29" t="str">
            <v>MR0</v>
          </cell>
          <cell r="F29" t="str">
            <v>PKWF</v>
          </cell>
        </row>
        <row r="30">
          <cell r="B30">
            <v>702056</v>
          </cell>
          <cell r="C30" t="str">
            <v>ﾔﾜﾗｶﾊﾝﾄﾞｳｵ-ﾏ- 10P      480円</v>
          </cell>
          <cell r="D30" t="str">
            <v>564</v>
          </cell>
          <cell r="E30" t="str">
            <v>80AF</v>
          </cell>
          <cell r="F30" t="str">
            <v>PKWF</v>
          </cell>
        </row>
        <row r="31">
          <cell r="B31">
            <v>705497</v>
          </cell>
          <cell r="C31" t="str">
            <v>ﾔﾜﾗｶHW10Pﾂﾘｻｹﾞｷﾖｽｸ     480円</v>
          </cell>
          <cell r="D31" t="str">
            <v>236</v>
          </cell>
          <cell r="E31" t="str">
            <v>80AF</v>
          </cell>
          <cell r="F31" t="str">
            <v>PKWF</v>
          </cell>
        </row>
        <row r="32">
          <cell r="B32">
            <v>700231</v>
          </cell>
          <cell r="C32" t="str">
            <v>ｷﾘﾎﾂｶ 10P              500円</v>
          </cell>
          <cell r="D32" t="str">
            <v>514</v>
          </cell>
          <cell r="E32" t="str">
            <v>80AF</v>
          </cell>
          <cell r="F32" t="str">
            <v>PKWF</v>
          </cell>
        </row>
        <row r="33">
          <cell r="B33">
            <v>700240</v>
          </cell>
          <cell r="C33" t="str">
            <v>ｷﾘﾎﾂｶ  2 10P           500円</v>
          </cell>
          <cell r="D33" t="str">
            <v>592</v>
          </cell>
          <cell r="E33" t="str">
            <v>MR0</v>
          </cell>
          <cell r="F33" t="str">
            <v>PKWF</v>
          </cell>
        </row>
        <row r="34">
          <cell r="B34">
            <v>710989</v>
          </cell>
          <cell r="C34" t="str">
            <v>ｷﾘﾎﾂｶ 10P ITF          500円</v>
          </cell>
          <cell r="D34">
            <v>276</v>
          </cell>
          <cell r="E34" t="str">
            <v>MR0</v>
          </cell>
          <cell r="F34" t="str">
            <v>PKWF</v>
          </cell>
        </row>
        <row r="35">
          <cell r="B35">
            <v>700274</v>
          </cell>
          <cell r="C35" t="str">
            <v>ｷﾘﾊﾞｲﾁｸﾀﾝ 2 30Pﾊｺ      2400円</v>
          </cell>
          <cell r="D35" t="str">
            <v>545</v>
          </cell>
          <cell r="E35" t="str">
            <v>MR0</v>
          </cell>
          <cell r="F35" t="str">
            <v>SFCM-F(竹炭)</v>
          </cell>
        </row>
        <row r="36">
          <cell r="B36">
            <v>710636</v>
          </cell>
          <cell r="C36" t="str">
            <v>ﾁｸﾀﾝ ﾊﾗﾅｲ 10P R        800円</v>
          </cell>
          <cell r="D36">
            <v>513</v>
          </cell>
          <cell r="E36" t="str">
            <v>MR0</v>
          </cell>
          <cell r="F36" t="str">
            <v>PKWF(竹炭)</v>
          </cell>
        </row>
        <row r="37">
          <cell r="B37">
            <v>708691</v>
          </cell>
          <cell r="C37" t="str">
            <v>ﾎﾂﾄｳｵ-ﾏ-K 2 10P        0円</v>
          </cell>
          <cell r="D37">
            <v>218</v>
          </cell>
          <cell r="E37" t="str">
            <v>MR0</v>
          </cell>
          <cell r="F37" t="str">
            <v>PKWF</v>
          </cell>
        </row>
        <row r="38">
          <cell r="B38">
            <v>708291</v>
          </cell>
          <cell r="C38" t="str">
            <v>ｶｲﾝｽﾞﾊﾗﾅｲｶｲﾛ 3 10P     1円</v>
          </cell>
          <cell r="D38">
            <v>219</v>
          </cell>
          <cell r="E38" t="str">
            <v>MR0</v>
          </cell>
          <cell r="F38" t="str">
            <v>PKWF</v>
          </cell>
        </row>
        <row r="39">
          <cell r="B39">
            <v>708305</v>
          </cell>
          <cell r="C39" t="str">
            <v>ｶｲﾝｽﾞﾊﾗﾅｲｶｲﾛ 3 30Pﾊｺ   1円</v>
          </cell>
          <cell r="D39">
            <v>220</v>
          </cell>
          <cell r="E39" t="str">
            <v>MR0</v>
          </cell>
          <cell r="F39" t="str">
            <v>PKWF</v>
          </cell>
        </row>
        <row r="40">
          <cell r="B40">
            <v>700282</v>
          </cell>
          <cell r="C40" t="str">
            <v>COOP S 10P             500円</v>
          </cell>
          <cell r="D40" t="str">
            <v>515</v>
          </cell>
          <cell r="E40" t="str">
            <v>MR0</v>
          </cell>
          <cell r="F40" t="str">
            <v>PKWF</v>
          </cell>
        </row>
        <row r="41">
          <cell r="B41">
            <v>700312</v>
          </cell>
          <cell r="C41" t="str">
            <v>COOP S 2 30P           1500円</v>
          </cell>
          <cell r="D41" t="str">
            <v>586</v>
          </cell>
          <cell r="E41" t="str">
            <v>MR0</v>
          </cell>
          <cell r="F41" t="str">
            <v>PKWF</v>
          </cell>
        </row>
        <row r="42">
          <cell r="B42">
            <v>710997</v>
          </cell>
          <cell r="C42" t="str">
            <v>ｺ-ﾌﾟｽ 10P ITF          500円</v>
          </cell>
          <cell r="D42">
            <v>277</v>
          </cell>
          <cell r="E42" t="str">
            <v>MR0</v>
          </cell>
          <cell r="F42" t="str">
            <v>PKWF</v>
          </cell>
        </row>
        <row r="43">
          <cell r="B43">
            <v>711004</v>
          </cell>
          <cell r="C43" t="str">
            <v>ｺ-ﾌﾟｽ 30P ITF          1500円</v>
          </cell>
          <cell r="D43">
            <v>278</v>
          </cell>
          <cell r="E43" t="str">
            <v>MR0</v>
          </cell>
          <cell r="F43" t="str">
            <v>PKWF</v>
          </cell>
        </row>
        <row r="44">
          <cell r="B44">
            <v>702137</v>
          </cell>
          <cell r="C44" t="str">
            <v>ﾊﾙｲﾁﾊﾞﾝﾊﾗﾅｲ 2 10P      0円</v>
          </cell>
          <cell r="D44" t="str">
            <v>595</v>
          </cell>
          <cell r="E44" t="str">
            <v>MR0</v>
          </cell>
          <cell r="F44" t="str">
            <v>PKWF</v>
          </cell>
        </row>
        <row r="45">
          <cell r="B45">
            <v>712507</v>
          </cell>
          <cell r="C45" t="str">
            <v>#ﾊﾙｲﾁﾊﾞﾝ ﾊﾗﾅｲ 10P      500円</v>
          </cell>
          <cell r="D45">
            <v>6020</v>
          </cell>
          <cell r="E45" t="str">
            <v>MR0</v>
          </cell>
          <cell r="F45" t="str">
            <v>PKWF</v>
          </cell>
        </row>
        <row r="46">
          <cell r="B46">
            <v>700321</v>
          </cell>
          <cell r="C46" t="str">
            <v>ｷﾘﾍﾟﾁｶ10P              500円</v>
          </cell>
          <cell r="D46" t="str">
            <v>079</v>
          </cell>
          <cell r="E46" t="str">
            <v>MR0</v>
          </cell>
          <cell r="F46" t="str">
            <v>SFCM-F</v>
          </cell>
        </row>
        <row r="47">
          <cell r="B47">
            <v>702170</v>
          </cell>
          <cell r="C47" t="str">
            <v>ｺ-ﾅﾝｷﾘﾍﾟﾁｶ 3 30P       1500円</v>
          </cell>
          <cell r="D47" t="str">
            <v>576</v>
          </cell>
          <cell r="E47" t="str">
            <v>MR0</v>
          </cell>
          <cell r="F47" t="str">
            <v>PKWF</v>
          </cell>
        </row>
        <row r="48">
          <cell r="B48">
            <v>712728</v>
          </cell>
          <cell r="C48" t="str">
            <v>#ｺ-ﾅﾝ ｷﾘﾍﾟﾁｶ 10P       500円</v>
          </cell>
          <cell r="D48">
            <v>6040</v>
          </cell>
          <cell r="E48" t="str">
            <v>MR0</v>
          </cell>
          <cell r="F48" t="str">
            <v>PKWF</v>
          </cell>
        </row>
        <row r="49">
          <cell r="B49">
            <v>712736</v>
          </cell>
          <cell r="C49" t="str">
            <v>#ｺ-ﾅﾝ ｷﾘﾍﾟﾁｶ 30P       1500円</v>
          </cell>
          <cell r="D49">
            <v>6041</v>
          </cell>
          <cell r="E49" t="str">
            <v>MR0</v>
          </cell>
          <cell r="F49" t="str">
            <v>PKWF</v>
          </cell>
        </row>
        <row r="50">
          <cell r="B50">
            <v>700355</v>
          </cell>
          <cell r="C50" t="str">
            <v>DNﾃﾞｲﾘ-ﾆ-ｽﾞ 30P ﾊｺ     1500円</v>
          </cell>
          <cell r="D50" t="str">
            <v>560</v>
          </cell>
          <cell r="E50" t="str">
            <v>MR0</v>
          </cell>
          <cell r="F50" t="str">
            <v>SFCM-F</v>
          </cell>
        </row>
        <row r="51">
          <cell r="B51">
            <v>708178</v>
          </cell>
          <cell r="C51" t="str">
            <v>DNﾃﾞｲﾘ-ﾆ-ｽﾞ 3 10P      500円</v>
          </cell>
          <cell r="D51">
            <v>205</v>
          </cell>
          <cell r="E51" t="str">
            <v>MR0</v>
          </cell>
          <cell r="F51" t="str">
            <v>PKWF</v>
          </cell>
        </row>
        <row r="52">
          <cell r="B52">
            <v>708160</v>
          </cell>
          <cell r="C52" t="str">
            <v>DNﾃﾞｲﾘ-ﾆ-ｽﾞ 3 30Pﾊｺ    1500円</v>
          </cell>
          <cell r="D52">
            <v>206</v>
          </cell>
          <cell r="E52" t="str">
            <v>MR0</v>
          </cell>
          <cell r="F52" t="str">
            <v>PKWF</v>
          </cell>
        </row>
        <row r="53">
          <cell r="B53">
            <v>710911</v>
          </cell>
          <cell r="C53" t="str">
            <v>ｶｲﾛﾔｻﾝﾉ ﾊﾗﾅｲ 10P       500円</v>
          </cell>
          <cell r="D53" t="str">
            <v>671</v>
          </cell>
          <cell r="E53" t="str">
            <v>MR0</v>
          </cell>
          <cell r="F53" t="str">
            <v>PKWF</v>
          </cell>
        </row>
        <row r="54">
          <cell r="B54">
            <v>710920</v>
          </cell>
          <cell r="C54" t="str">
            <v>ｶｲﾛﾔｻﾝﾉ ﾊﾗﾅｲ 30ﾊｺ      1500円</v>
          </cell>
          <cell r="D54" t="str">
            <v>672</v>
          </cell>
          <cell r="E54" t="str">
            <v>MR0</v>
          </cell>
          <cell r="F54" t="str">
            <v>PKWF</v>
          </cell>
        </row>
        <row r="55">
          <cell r="B55">
            <v>702188</v>
          </cell>
          <cell r="C55" t="str">
            <v>ｷﾘﾉｽｹ 30P              1500円</v>
          </cell>
          <cell r="D55" t="str">
            <v>568</v>
          </cell>
          <cell r="E55" t="str">
            <v>MR0</v>
          </cell>
          <cell r="F55" t="str">
            <v>SFCM-F</v>
          </cell>
        </row>
        <row r="56">
          <cell r="B56">
            <v>708658</v>
          </cell>
          <cell r="C56" t="str">
            <v>ｷﾘﾉｽｹ 2 30P-3          1500円</v>
          </cell>
          <cell r="D56">
            <v>210</v>
          </cell>
          <cell r="E56" t="str">
            <v>MR0</v>
          </cell>
          <cell r="F56" t="str">
            <v>PKWF</v>
          </cell>
        </row>
        <row r="57">
          <cell r="B57">
            <v>702218</v>
          </cell>
          <cell r="C57" t="str">
            <v>ﾊﾗﾅｲﾀﾞﾝﾉｽｹ 10P ｼﾞﾕﾂｼﾔｶｲ500円</v>
          </cell>
          <cell r="D57" t="str">
            <v>559</v>
          </cell>
          <cell r="E57" t="str">
            <v>MR0</v>
          </cell>
          <cell r="F57" t="str">
            <v>PKWF</v>
          </cell>
        </row>
        <row r="58">
          <cell r="B58">
            <v>706281</v>
          </cell>
          <cell r="C58" t="str">
            <v>ﾊﾗﾅｲﾀﾞﾝﾉｽｹ 2 30P ｼﾞﾕﾂｼﾔ1500円</v>
          </cell>
          <cell r="D58">
            <v>500</v>
          </cell>
          <cell r="E58" t="str">
            <v>MR0</v>
          </cell>
          <cell r="F58" t="str">
            <v>PKWF</v>
          </cell>
        </row>
        <row r="59">
          <cell r="B59">
            <v>708623</v>
          </cell>
          <cell r="C59" t="str">
            <v>ﾊﾗﾅｲﾀﾞﾝﾉｽｹ 2 10P ｼﾞﾕﾂｼﾔ500円</v>
          </cell>
          <cell r="D59" t="str">
            <v>211</v>
          </cell>
          <cell r="E59" t="str">
            <v>MR0</v>
          </cell>
          <cell r="F59" t="str">
            <v>PKWF</v>
          </cell>
        </row>
        <row r="60">
          <cell r="B60">
            <v>708615</v>
          </cell>
          <cell r="C60" t="str">
            <v>ﾊﾗﾅｲﾀﾞﾝﾉｽｹ 2 30P ｼﾞﾕﾂｼﾔ1500円</v>
          </cell>
          <cell r="D60" t="str">
            <v>212</v>
          </cell>
          <cell r="E60" t="str">
            <v>MR0</v>
          </cell>
          <cell r="F60" t="str">
            <v>PKWF</v>
          </cell>
        </row>
        <row r="61">
          <cell r="B61">
            <v>711098</v>
          </cell>
          <cell r="C61" t="str">
            <v>ﾊﾗﾅｲ ﾀﾞﾝﾉｽｹ J 10P ITF  500円</v>
          </cell>
          <cell r="D61" t="str">
            <v>673</v>
          </cell>
          <cell r="E61" t="str">
            <v>MR0</v>
          </cell>
          <cell r="F61" t="str">
            <v>PKWF</v>
          </cell>
        </row>
        <row r="62">
          <cell r="B62">
            <v>711101</v>
          </cell>
          <cell r="C62" t="str">
            <v>ﾊﾗﾅｲ ﾀﾞﾝﾉｽｹ J 30P ITF  1500円</v>
          </cell>
          <cell r="D62" t="str">
            <v>674</v>
          </cell>
          <cell r="E62" t="str">
            <v>MR0</v>
          </cell>
          <cell r="F62" t="str">
            <v>PKWF</v>
          </cell>
        </row>
        <row r="63">
          <cell r="B63">
            <v>702234</v>
          </cell>
          <cell r="C63" t="str">
            <v>ﾎﾂﾄｽﾙﾈ10P              0円</v>
          </cell>
          <cell r="D63" t="str">
            <v>566</v>
          </cell>
          <cell r="E63" t="str">
            <v>MR0</v>
          </cell>
          <cell r="F63" t="str">
            <v>SFCM-F</v>
          </cell>
        </row>
        <row r="64">
          <cell r="B64">
            <v>712345</v>
          </cell>
          <cell r="C64" t="str">
            <v>#ﾎﾂﾄｽﾙﾈ ﾊﾗﾅｲ 10P       500円</v>
          </cell>
          <cell r="D64" t="str">
            <v>6001</v>
          </cell>
          <cell r="E64" t="str">
            <v>MR0</v>
          </cell>
          <cell r="F64" t="str">
            <v>PKWF</v>
          </cell>
        </row>
        <row r="65">
          <cell r="B65">
            <v>708569</v>
          </cell>
          <cell r="C65" t="str">
            <v>ｼﾞﾂﾌﾟｶｲﾛ 10P-3         0円</v>
          </cell>
          <cell r="D65" t="str">
            <v>213</v>
          </cell>
          <cell r="E65" t="str">
            <v>MR0</v>
          </cell>
          <cell r="F65" t="str">
            <v>PKWF</v>
          </cell>
        </row>
        <row r="66">
          <cell r="B66">
            <v>702285</v>
          </cell>
          <cell r="C66" t="str">
            <v>ﾎﾟｶﾎﾟｶﾗｲﾌ10P           0円</v>
          </cell>
          <cell r="D66" t="str">
            <v>-</v>
          </cell>
          <cell r="E66" t="str">
            <v>MR0</v>
          </cell>
          <cell r="F66" t="str">
            <v>PKWF</v>
          </cell>
        </row>
        <row r="67">
          <cell r="B67">
            <v>152137</v>
          </cell>
          <cell r="C67" t="str">
            <v>E.Kﾋ-ﾄﾌｱｸﾄﾘ-           0円</v>
          </cell>
          <cell r="D67" t="str">
            <v>-</v>
          </cell>
          <cell r="E67" t="str">
            <v>MR0</v>
          </cell>
          <cell r="F67" t="str">
            <v>SFCM-F</v>
          </cell>
        </row>
        <row r="68">
          <cell r="B68">
            <v>196258</v>
          </cell>
          <cell r="C68" t="str">
            <v>E.SLICK B-W FOR PERRIGO0円</v>
          </cell>
          <cell r="D68">
            <v>1808</v>
          </cell>
          <cell r="E68" t="str">
            <v>80AF</v>
          </cell>
          <cell r="F68" t="str">
            <v>PKWF</v>
          </cell>
          <cell r="G68" t="str">
            <v>外箱改版必要品目</v>
          </cell>
        </row>
        <row r="69">
          <cell r="B69">
            <v>198153</v>
          </cell>
          <cell r="C69" t="str">
            <v>E.ARTHRITISH&amp;W WARMER120円</v>
          </cell>
          <cell r="D69">
            <v>1832</v>
          </cell>
          <cell r="E69" t="str">
            <v>80AF</v>
          </cell>
          <cell r="F69" t="str">
            <v>PKWF</v>
          </cell>
        </row>
        <row r="70">
          <cell r="B70">
            <v>198161</v>
          </cell>
          <cell r="C70" t="str">
            <v>E.ARTHRITISKNEEWARMER120円</v>
          </cell>
          <cell r="D70">
            <v>1833</v>
          </cell>
          <cell r="E70" t="str">
            <v>80AF</v>
          </cell>
          <cell r="F70" t="str">
            <v>PKWF</v>
          </cell>
        </row>
        <row r="71">
          <cell r="B71">
            <v>199397</v>
          </cell>
          <cell r="C71" t="str">
            <v>E.B/KNEEWRAP4*5GENER10P0円</v>
          </cell>
          <cell r="D71">
            <v>1858</v>
          </cell>
          <cell r="E71" t="str">
            <v>80AF</v>
          </cell>
          <cell r="F71" t="str">
            <v>PKWF</v>
          </cell>
        </row>
        <row r="72">
          <cell r="B72">
            <v>221104</v>
          </cell>
          <cell r="C72" t="str">
            <v>E.BK4*5G-B T-LINGUAL10P0円</v>
          </cell>
          <cell r="D72">
            <v>2172</v>
          </cell>
          <cell r="E72" t="str">
            <v>80AF</v>
          </cell>
          <cell r="F72" t="str">
            <v>PKWF</v>
          </cell>
        </row>
        <row r="73">
          <cell r="B73">
            <v>241822</v>
          </cell>
          <cell r="C73" t="str">
            <v>E.K HW 10P ﾆｼｺﾞｳ (4)   0円</v>
          </cell>
          <cell r="D73" t="str">
            <v>2546</v>
          </cell>
          <cell r="E73" t="str">
            <v>MR0</v>
          </cell>
          <cell r="F73" t="str">
            <v>PKWF</v>
          </cell>
        </row>
        <row r="74">
          <cell r="B74">
            <v>211176</v>
          </cell>
          <cell r="C74" t="str">
            <v>E.K ﾊﾗﾅｲ20ｼﾞｶﾝ10P ｺｽﾒﾄﾞ0円</v>
          </cell>
          <cell r="D74">
            <v>513</v>
          </cell>
          <cell r="E74" t="str">
            <v>MR0</v>
          </cell>
          <cell r="F74" t="str">
            <v>SFCM-F</v>
          </cell>
        </row>
        <row r="75">
          <cell r="B75">
            <v>241989</v>
          </cell>
          <cell r="C75" t="str">
            <v>E.ﾊﾗﾅｲ20H 10P(TW/PRESI)0円</v>
          </cell>
          <cell r="D75" t="str">
            <v>2554</v>
          </cell>
          <cell r="E75" t="str">
            <v>MR0</v>
          </cell>
          <cell r="F75" t="str">
            <v>PKWF</v>
          </cell>
        </row>
        <row r="76">
          <cell r="B76">
            <v>224006</v>
          </cell>
          <cell r="C76" t="str">
            <v>E.ｼﾖｳﾊﾞｲﾄ 20H HW (ﾀﾃ)  0円</v>
          </cell>
          <cell r="D76" t="str">
            <v>2208</v>
          </cell>
          <cell r="E76" t="str">
            <v>MR0</v>
          </cell>
          <cell r="F76" t="str">
            <v>PKWF</v>
          </cell>
        </row>
        <row r="77">
          <cell r="B77">
            <v>224014</v>
          </cell>
          <cell r="C77" t="str">
            <v>E.ｼﾖｳﾊﾞｲﾄ 20H HW (ﾖｺ)  0円</v>
          </cell>
          <cell r="D77" t="str">
            <v>2207</v>
          </cell>
          <cell r="E77" t="str">
            <v>MR0</v>
          </cell>
          <cell r="F77" t="str">
            <v>PKWF</v>
          </cell>
        </row>
        <row r="78">
          <cell r="B78">
            <v>192490</v>
          </cell>
          <cell r="C78" t="str">
            <v>E.PAK-HEAT HAND 5P     0円</v>
          </cell>
          <cell r="D78">
            <v>1694</v>
          </cell>
          <cell r="E78" t="str">
            <v>MR0</v>
          </cell>
          <cell r="F78" t="str">
            <v>PKWF</v>
          </cell>
        </row>
        <row r="79">
          <cell r="B79">
            <v>710342</v>
          </cell>
          <cell r="C79" t="str">
            <v>ﾓﾂﾄﾎﾂﾄ ﾏｲﾎﾟｶ ﾚｷﾞﾕﾗ-    450円</v>
          </cell>
          <cell r="D79" t="str">
            <v>294</v>
          </cell>
          <cell r="E79" t="str">
            <v>MR0</v>
          </cell>
          <cell r="F79" t="str">
            <v>PKWF</v>
          </cell>
        </row>
        <row r="80">
          <cell r="B80">
            <v>700461</v>
          </cell>
          <cell r="C80" t="str">
            <v>ｷﾘﾊﾞｲﾊﾝﾄﾞﾐﾆ 2 10P      500円</v>
          </cell>
          <cell r="D80" t="str">
            <v>618</v>
          </cell>
          <cell r="E80" t="str">
            <v>MR0</v>
          </cell>
          <cell r="F80" t="str">
            <v>SFCM-F</v>
          </cell>
        </row>
        <row r="81">
          <cell r="B81">
            <v>700487</v>
          </cell>
          <cell r="C81" t="str">
            <v>ｷﾘﾊﾞｲﾊﾝﾄﾞﾐﾆ 3 5P       250円</v>
          </cell>
          <cell r="D81" t="str">
            <v>642</v>
          </cell>
          <cell r="E81" t="str">
            <v>MR0</v>
          </cell>
          <cell r="F81" t="str">
            <v>SKF</v>
          </cell>
        </row>
        <row r="82">
          <cell r="B82">
            <v>700495</v>
          </cell>
          <cell r="C82" t="str">
            <v>ｷﾘﾊﾞｲﾊﾝﾄﾞﾐﾆ 3 10P      500円</v>
          </cell>
          <cell r="D82" t="str">
            <v>637</v>
          </cell>
          <cell r="E82" t="str">
            <v>MR0</v>
          </cell>
          <cell r="F82" t="str">
            <v>SFCM-F</v>
          </cell>
        </row>
        <row r="83">
          <cell r="B83">
            <v>241997</v>
          </cell>
          <cell r="C83" t="str">
            <v>E.ﾊﾗﾅｲ ﾐﾆ5P(TW 7ELEVEN)0円</v>
          </cell>
          <cell r="D83">
            <v>2555</v>
          </cell>
          <cell r="E83" t="str">
            <v>MR0</v>
          </cell>
          <cell r="F83" t="str">
            <v>SKF</v>
          </cell>
        </row>
        <row r="84">
          <cell r="B84">
            <v>711403</v>
          </cell>
          <cell r="C84" t="str">
            <v>ｷﾘﾊﾞｲ ﾊﾝﾄﾞ ﾐﾆ 10P ITF  500円</v>
          </cell>
          <cell r="D84">
            <v>19</v>
          </cell>
          <cell r="E84" t="str">
            <v>MR0</v>
          </cell>
          <cell r="F84" t="str">
            <v>SKF</v>
          </cell>
        </row>
        <row r="85">
          <cell r="B85">
            <v>700517</v>
          </cell>
          <cell r="C85" t="str">
            <v>ｷﾘﾊﾞｲｷﾘﾀﾞﾝﾎﾞﾐﾆ 2 10P   400円</v>
          </cell>
          <cell r="D85" t="str">
            <v>616</v>
          </cell>
          <cell r="E85" t="str">
            <v>MR0</v>
          </cell>
          <cell r="F85" t="str">
            <v>SFCM-F</v>
          </cell>
        </row>
        <row r="86">
          <cell r="B86">
            <v>711578</v>
          </cell>
          <cell r="C86" t="str">
            <v>ｷﾘﾊﾞｲｷﾘﾀﾞﾝﾎﾞﾐﾆR 10P ITF400円</v>
          </cell>
          <cell r="D86">
            <v>39</v>
          </cell>
          <cell r="E86" t="str">
            <v>MR0</v>
          </cell>
          <cell r="F86" t="str">
            <v>SKF</v>
          </cell>
        </row>
        <row r="87">
          <cell r="B87">
            <v>710351</v>
          </cell>
          <cell r="C87" t="str">
            <v>ﾓﾂﾄﾎﾂﾄ ﾏｲﾎﾟｶ ﾐﾆ        320円</v>
          </cell>
          <cell r="D87">
            <v>295</v>
          </cell>
          <cell r="E87" t="str">
            <v>80AF</v>
          </cell>
          <cell r="F87" t="str">
            <v>PKWF</v>
          </cell>
        </row>
        <row r="88">
          <cell r="B88">
            <v>708721</v>
          </cell>
          <cell r="C88" t="str">
            <v>ﾎﾂﾄｳｵ-ﾏ-Kﾐﾆ 2 10P      0円</v>
          </cell>
          <cell r="D88">
            <v>655</v>
          </cell>
          <cell r="E88" t="str">
            <v>MR0</v>
          </cell>
          <cell r="F88" t="str">
            <v>SKF</v>
          </cell>
        </row>
        <row r="89">
          <cell r="B89">
            <v>700550</v>
          </cell>
          <cell r="C89" t="str">
            <v>COOP Sﾐﾆ 2 10P         400円</v>
          </cell>
          <cell r="D89" t="str">
            <v>645</v>
          </cell>
          <cell r="E89" t="str">
            <v>MR0</v>
          </cell>
          <cell r="F89" t="str">
            <v>SFCM-F</v>
          </cell>
        </row>
        <row r="90">
          <cell r="B90">
            <v>711055</v>
          </cell>
          <cell r="C90" t="str">
            <v>ｺ-ﾌﾟｽ ﾐﾆ 10P ITF       400円</v>
          </cell>
          <cell r="D90">
            <v>612</v>
          </cell>
          <cell r="E90" t="str">
            <v>MR0</v>
          </cell>
          <cell r="F90" t="str">
            <v>SKF</v>
          </cell>
        </row>
        <row r="91">
          <cell r="B91">
            <v>711063</v>
          </cell>
          <cell r="C91" t="str">
            <v>ｺ-ﾌﾟｽ ﾐﾆ 30P ITF       1200円</v>
          </cell>
          <cell r="D91">
            <v>613</v>
          </cell>
          <cell r="E91" t="str">
            <v>MR0</v>
          </cell>
          <cell r="F91" t="str">
            <v>SKF</v>
          </cell>
        </row>
        <row r="92">
          <cell r="B92">
            <v>702404</v>
          </cell>
          <cell r="C92" t="str">
            <v>ｷﾘﾉｽｹﾐﾆ 2 10P          400円</v>
          </cell>
          <cell r="D92" t="str">
            <v>647</v>
          </cell>
          <cell r="E92" t="str">
            <v>MR0</v>
          </cell>
          <cell r="F92" t="str">
            <v>SKF</v>
          </cell>
        </row>
        <row r="93">
          <cell r="B93">
            <v>712515</v>
          </cell>
          <cell r="C93" t="str">
            <v>#ﾊﾙｲﾁﾊﾞﾝ ﾊﾗﾅｲ ﾐﾆ 10P   400円</v>
          </cell>
          <cell r="D93">
            <v>6021</v>
          </cell>
          <cell r="E93" t="str">
            <v>MR0</v>
          </cell>
          <cell r="F93" t="str">
            <v>SKF</v>
          </cell>
        </row>
        <row r="94">
          <cell r="B94">
            <v>712744</v>
          </cell>
          <cell r="C94" t="str">
            <v>#ｺ-ﾅﾝ ｷﾘﾍﾟﾁｶ ﾐﾆ 10P    400円</v>
          </cell>
          <cell r="D94">
            <v>6042</v>
          </cell>
          <cell r="E94" t="str">
            <v>MR0</v>
          </cell>
          <cell r="F94" t="str">
            <v>SKF</v>
          </cell>
        </row>
        <row r="95">
          <cell r="B95">
            <v>712752</v>
          </cell>
          <cell r="C95" t="str">
            <v>#ｺ-ﾅﾝ ｷﾘﾍﾟﾁｶ ﾐﾆ 30P    1200円</v>
          </cell>
          <cell r="D95">
            <v>6043</v>
          </cell>
          <cell r="E95" t="str">
            <v>MR0</v>
          </cell>
          <cell r="F95" t="str">
            <v>SKF</v>
          </cell>
        </row>
        <row r="96">
          <cell r="B96">
            <v>710903</v>
          </cell>
          <cell r="C96" t="str">
            <v>ｶｲﾛﾔｻﾝﾉ ﾊﾗﾅｲ ﾐﾆ 10P    400円</v>
          </cell>
          <cell r="D96" t="str">
            <v>621</v>
          </cell>
          <cell r="E96" t="str">
            <v>MR0</v>
          </cell>
          <cell r="F96" t="str">
            <v>SKF</v>
          </cell>
        </row>
        <row r="97">
          <cell r="B97">
            <v>712400</v>
          </cell>
          <cell r="C97" t="str">
            <v>#ｶｲﾝｽﾞ ﾊﾗﾅｲ ﾐﾆ 10P     400円</v>
          </cell>
          <cell r="D97" t="str">
            <v>6012</v>
          </cell>
          <cell r="E97" t="str">
            <v>MR0</v>
          </cell>
          <cell r="F97" t="str">
            <v>SKF</v>
          </cell>
        </row>
        <row r="98">
          <cell r="B98">
            <v>705098</v>
          </cell>
          <cell r="C98" t="str">
            <v>ﾌﾟﾘﾎﾟｶﾐﾆ ﾊﾛ-ｷﾃｲ 5P     220円</v>
          </cell>
          <cell r="D98" t="str">
            <v>619</v>
          </cell>
          <cell r="E98" t="str">
            <v>80AF</v>
          </cell>
          <cell r="F98" t="str">
            <v>PKWF</v>
          </cell>
        </row>
        <row r="99">
          <cell r="B99">
            <v>704555</v>
          </cell>
          <cell r="C99" t="str">
            <v>ﾌﾜﾎﾟｶｸﾏﾉﾌﾟ- 2P         550円</v>
          </cell>
          <cell r="D99" t="str">
            <v>290</v>
          </cell>
          <cell r="E99" t="str">
            <v>MR0</v>
          </cell>
          <cell r="F99" t="str">
            <v>SFCM-F</v>
          </cell>
        </row>
        <row r="100">
          <cell r="B100">
            <v>704563</v>
          </cell>
          <cell r="C100" t="str">
            <v>ﾌﾜﾎﾟｶｵｼﾔﾚｷﾔﾂﾄ 2P       550円</v>
          </cell>
          <cell r="D100" t="str">
            <v>291</v>
          </cell>
          <cell r="E100" t="str">
            <v>MR0</v>
          </cell>
          <cell r="F100" t="str">
            <v>SFCM-F</v>
          </cell>
        </row>
        <row r="101">
          <cell r="B101">
            <v>704571</v>
          </cell>
          <cell r="C101" t="str">
            <v>ﾌﾜﾎﾟｶｷﾃｲ2P             550円</v>
          </cell>
          <cell r="D101" t="str">
            <v>292</v>
          </cell>
          <cell r="E101" t="str">
            <v>MR0</v>
          </cell>
          <cell r="F101" t="str">
            <v>SFCM-F</v>
          </cell>
        </row>
        <row r="102">
          <cell r="B102">
            <v>702480</v>
          </cell>
          <cell r="C102" t="str">
            <v>ﾊﾗﾅｲﾀﾞﾝﾉｽｹﾐﾆ 10P ｼﾞﾕﾂｼﾔ500円</v>
          </cell>
          <cell r="D102" t="str">
            <v>629</v>
          </cell>
          <cell r="E102" t="str">
            <v>MR0</v>
          </cell>
          <cell r="F102" t="str">
            <v>SFCM-F</v>
          </cell>
        </row>
        <row r="103">
          <cell r="B103">
            <v>711080</v>
          </cell>
          <cell r="C103" t="str">
            <v>ﾊﾗﾅｲ ﾀﾞﾝﾉｽｹ ﾐﾆJ 10P ITF500円</v>
          </cell>
          <cell r="D103">
            <v>630</v>
          </cell>
          <cell r="E103" t="str">
            <v>MR0</v>
          </cell>
          <cell r="F103" t="str">
            <v>SKF</v>
          </cell>
        </row>
        <row r="104">
          <cell r="B104">
            <v>702498</v>
          </cell>
          <cell r="C104" t="str">
            <v>ｼﾞﾂﾌﾟｶｲﾛﾐﾆ 10P         0円</v>
          </cell>
          <cell r="D104" t="str">
            <v>632</v>
          </cell>
          <cell r="E104" t="str">
            <v>MR0</v>
          </cell>
          <cell r="F104" t="str">
            <v>SKF</v>
          </cell>
        </row>
        <row r="105">
          <cell r="B105">
            <v>702501</v>
          </cell>
          <cell r="C105" t="str">
            <v>ﾊﾗﾅｲｶｲﾛﾐﾆ10P           0円</v>
          </cell>
          <cell r="D105" t="str">
            <v>636</v>
          </cell>
          <cell r="E105" t="str">
            <v>MR0</v>
          </cell>
          <cell r="F105" t="str">
            <v>SFCM-F</v>
          </cell>
        </row>
        <row r="106">
          <cell r="B106">
            <v>702510</v>
          </cell>
          <cell r="C106" t="str">
            <v>ﾊﾗﾅｲｶｲﾛﾐﾆ 2 10P        0円</v>
          </cell>
          <cell r="D106" t="str">
            <v>650</v>
          </cell>
          <cell r="E106" t="str">
            <v>MR0</v>
          </cell>
          <cell r="F106" t="str">
            <v>SKF</v>
          </cell>
        </row>
        <row r="107">
          <cell r="B107">
            <v>214817</v>
          </cell>
          <cell r="C107" t="str">
            <v>E.P-H HAND MINI5P ｳﾁﾊﾞｺ0円</v>
          </cell>
          <cell r="D107">
            <v>2103</v>
          </cell>
          <cell r="E107" t="str">
            <v>MR0</v>
          </cell>
          <cell r="F107" t="str">
            <v>SKF</v>
          </cell>
        </row>
        <row r="108">
          <cell r="B108">
            <v>213306</v>
          </cell>
          <cell r="C108" t="str">
            <v>E.ﾎﾝｺﾝ ﾌﾟﾁﾀﾏｺﾞ ﾂﾒｶｴ    0円</v>
          </cell>
          <cell r="D108">
            <v>2055</v>
          </cell>
          <cell r="E108" t="str">
            <v>MR2</v>
          </cell>
          <cell r="F108" t="str">
            <v>PKFW</v>
          </cell>
        </row>
        <row r="109">
          <cell r="B109">
            <v>152145</v>
          </cell>
          <cell r="C109" t="str">
            <v>E.Kﾋ-ﾄﾌｱｸﾄﾘ-ﾐﾆ         0円</v>
          </cell>
          <cell r="D109" t="str">
            <v>-</v>
          </cell>
          <cell r="E109" t="str">
            <v>MR0</v>
          </cell>
          <cell r="F109" t="str">
            <v>SFCM-F</v>
          </cell>
        </row>
        <row r="110">
          <cell r="B110">
            <v>199354</v>
          </cell>
          <cell r="C110" t="str">
            <v>E.K HCM(2) 2P*10       0円</v>
          </cell>
          <cell r="D110">
            <v>199354</v>
          </cell>
          <cell r="E110" t="str">
            <v>MR0</v>
          </cell>
          <cell r="F110" t="str">
            <v>SFCM-F</v>
          </cell>
        </row>
        <row r="111">
          <cell r="B111">
            <v>236551</v>
          </cell>
          <cell r="C111" t="str">
            <v>E.*ﾋ-ﾄｶﾝﾊﾟﾆ- MINI 2P*100円</v>
          </cell>
          <cell r="D111">
            <v>2391</v>
          </cell>
          <cell r="E111" t="str">
            <v>MR0</v>
          </cell>
          <cell r="F111" t="str">
            <v>SFCM-F</v>
          </cell>
        </row>
        <row r="112">
          <cell r="B112">
            <v>168262</v>
          </cell>
          <cell r="C112" t="str">
            <v>E.Kﾋ-ﾄﾌｱｸﾄﾘ-ﾐﾆ ｶﾅﾀﾞ    0円</v>
          </cell>
          <cell r="D112">
            <v>168262</v>
          </cell>
          <cell r="E112" t="str">
            <v>MR0</v>
          </cell>
          <cell r="F112" t="str">
            <v>SFCM-F</v>
          </cell>
        </row>
        <row r="113">
          <cell r="B113">
            <v>213781</v>
          </cell>
          <cell r="C113" t="str">
            <v>E.DEKKO VAPER WARMER 5P0円</v>
          </cell>
          <cell r="D113">
            <v>2080</v>
          </cell>
          <cell r="E113" t="str">
            <v>MR2</v>
          </cell>
          <cell r="F113" t="str">
            <v>PKWF</v>
          </cell>
          <cell r="G113" t="str">
            <v>外箱改版必要品目</v>
          </cell>
        </row>
        <row r="114">
          <cell r="B114">
            <v>700614</v>
          </cell>
          <cell r="C114" t="str">
            <v>ﾌﾟﾘﾎﾟｶﾐﾂｷ-ANDﾌﾚﾝｽﾞ5P   220円</v>
          </cell>
          <cell r="D114" t="str">
            <v>361</v>
          </cell>
          <cell r="E114" t="str">
            <v>80AF</v>
          </cell>
          <cell r="F114" t="str">
            <v>PKF2</v>
          </cell>
        </row>
        <row r="115">
          <cell r="B115">
            <v>706094</v>
          </cell>
          <cell r="C115" t="str">
            <v>ﾌﾟﾘﾎﾟｶﾐﾂｷ-ANDﾌﾚﾝｽﾞ20P  800円</v>
          </cell>
          <cell r="D115" t="str">
            <v>364</v>
          </cell>
          <cell r="E115" t="str">
            <v>80AF</v>
          </cell>
          <cell r="F115" t="str">
            <v>PKF2</v>
          </cell>
        </row>
        <row r="116">
          <cell r="B116">
            <v>700631</v>
          </cell>
          <cell r="C116" t="str">
            <v>ﾌﾟﾘﾎﾟｶﾌﾟ-ｻﾝﾄｿﾉﾅｶﾏ5P    220円</v>
          </cell>
          <cell r="D116" t="str">
            <v>362</v>
          </cell>
          <cell r="E116" t="str">
            <v>80AF</v>
          </cell>
          <cell r="F116" t="str">
            <v>PKF2</v>
          </cell>
        </row>
        <row r="117">
          <cell r="B117">
            <v>706132</v>
          </cell>
          <cell r="C117" t="str">
            <v>ﾌﾟﾘﾎﾟｶﾌﾟ-ｻﾝﾄｿﾉﾅｶﾏ20P   800円</v>
          </cell>
          <cell r="D117" t="str">
            <v>365</v>
          </cell>
          <cell r="E117" t="str">
            <v>80AF</v>
          </cell>
          <cell r="F117" t="str">
            <v>PKF2</v>
          </cell>
        </row>
        <row r="118">
          <cell r="B118">
            <v>700827</v>
          </cell>
          <cell r="C118" t="str">
            <v>ﾌﾟﾘﾎﾟｶﾌﾟ-ｻﾝﾄｿﾉﾅｶﾏTDR1P 44円</v>
          </cell>
          <cell r="D118" t="str">
            <v>373</v>
          </cell>
          <cell r="E118" t="str">
            <v>80AF</v>
          </cell>
          <cell r="F118" t="str">
            <v>PKF2</v>
          </cell>
        </row>
        <row r="119">
          <cell r="B119">
            <v>706124</v>
          </cell>
          <cell r="C119" t="str">
            <v>ﾌﾟﾘﾎﾟｶﾌﾟ-ｻﾝﾄｿﾉﾅｶﾏ1P-3  44円</v>
          </cell>
          <cell r="D119" t="str">
            <v>377</v>
          </cell>
          <cell r="E119" t="str">
            <v>80AF</v>
          </cell>
          <cell r="F119" t="str">
            <v>PKF2</v>
          </cell>
        </row>
        <row r="120">
          <cell r="B120">
            <v>700851</v>
          </cell>
          <cell r="C120" t="str">
            <v>ﾌﾟﾘﾎﾟｶｽｲ-ﾄｷﾂｽ 5P       220円</v>
          </cell>
          <cell r="D120" t="str">
            <v>370</v>
          </cell>
          <cell r="E120" t="str">
            <v>80AF</v>
          </cell>
          <cell r="F120" t="str">
            <v>PKF2</v>
          </cell>
        </row>
        <row r="121">
          <cell r="B121">
            <v>700860</v>
          </cell>
          <cell r="C121" t="str">
            <v>ﾌﾟﾘﾎﾟｶｽｲ-ﾄｷﾂｽ 1P-2     44円</v>
          </cell>
          <cell r="D121" t="str">
            <v>387</v>
          </cell>
          <cell r="E121" t="str">
            <v>80AF</v>
          </cell>
          <cell r="F121" t="str">
            <v>PKF2</v>
          </cell>
        </row>
        <row r="122">
          <cell r="B122">
            <v>700878</v>
          </cell>
          <cell r="C122" t="str">
            <v>ﾌﾟﾘﾎﾟｶﾌﾟﾘﾝｾｽ1P         42円</v>
          </cell>
          <cell r="D122" t="str">
            <v>382</v>
          </cell>
          <cell r="E122" t="str">
            <v>80AF</v>
          </cell>
          <cell r="F122" t="str">
            <v>PKF2</v>
          </cell>
        </row>
        <row r="123">
          <cell r="B123">
            <v>702633</v>
          </cell>
          <cell r="C123" t="str">
            <v>ﾌﾟﾘﾎﾟｶﾌﾟﾘﾝｾｽ 5P        220円</v>
          </cell>
          <cell r="D123" t="str">
            <v>375</v>
          </cell>
          <cell r="E123" t="str">
            <v>80AF</v>
          </cell>
          <cell r="F123" t="str">
            <v>PKF2</v>
          </cell>
        </row>
        <row r="124">
          <cell r="B124">
            <v>706167</v>
          </cell>
          <cell r="C124" t="str">
            <v>ﾌﾟﾘﾎﾟｶﾌﾟﾘﾝｾｽ20P        800円</v>
          </cell>
          <cell r="D124" t="str">
            <v>369</v>
          </cell>
          <cell r="E124" t="str">
            <v>80AF</v>
          </cell>
          <cell r="F124" t="str">
            <v>PKF2</v>
          </cell>
        </row>
        <row r="125">
          <cell r="B125">
            <v>702641</v>
          </cell>
          <cell r="C125" t="str">
            <v>ﾌﾟﾘﾎﾟｶｵｼﾔﾚｷﾔﾂﾄ 1P      44円</v>
          </cell>
          <cell r="D125" t="str">
            <v>383</v>
          </cell>
          <cell r="E125" t="str">
            <v>80AF</v>
          </cell>
          <cell r="F125" t="str">
            <v>PKF2</v>
          </cell>
        </row>
        <row r="126">
          <cell r="B126">
            <v>700886</v>
          </cell>
          <cell r="C126" t="str">
            <v>ﾌﾟﾘﾎﾟｶｵｼﾔﾚｷﾔﾂﾄ 5P      220円</v>
          </cell>
          <cell r="D126" t="str">
            <v>372</v>
          </cell>
          <cell r="E126" t="str">
            <v>80AF</v>
          </cell>
          <cell r="F126" t="str">
            <v>PKF2</v>
          </cell>
        </row>
        <row r="127">
          <cell r="B127">
            <v>706477</v>
          </cell>
          <cell r="C127" t="str">
            <v>ﾌﾟﾘﾎﾟｶﾃﾞｲｽﾞﾆ-ﾂﾘｻｹﾞｾﾂﾄ  7920円</v>
          </cell>
          <cell r="D127" t="str">
            <v>363</v>
          </cell>
          <cell r="E127" t="str">
            <v>80AF</v>
          </cell>
          <cell r="F127" t="str">
            <v>PKF2</v>
          </cell>
        </row>
        <row r="128">
          <cell r="B128">
            <v>706485</v>
          </cell>
          <cell r="C128" t="str">
            <v>ﾌﾟﾘﾎﾟｶﾃﾞｲｽﾞﾆ-ｱｿ-ﾄﾂﾘｻｹﾞｾ7920円</v>
          </cell>
          <cell r="D128" t="str">
            <v>376</v>
          </cell>
          <cell r="E128" t="str">
            <v>80AF</v>
          </cell>
          <cell r="F128" t="str">
            <v>PKF2</v>
          </cell>
        </row>
        <row r="129">
          <cell r="B129">
            <v>702668</v>
          </cell>
          <cell r="C129" t="str">
            <v>ﾌﾟﾘﾎﾟｶﾁﾔ-ﾐ-ｷﾃｲ5P       220円</v>
          </cell>
          <cell r="D129" t="str">
            <v>380</v>
          </cell>
          <cell r="E129" t="str">
            <v>80AF</v>
          </cell>
          <cell r="F129" t="str">
            <v>PKF2</v>
          </cell>
        </row>
        <row r="130">
          <cell r="B130">
            <v>702684</v>
          </cell>
          <cell r="C130" t="str">
            <v>ﾌﾟﾘﾎﾟｶｴﾝｼﾞｴﾙﾌﾞﾙ- 5P    220円</v>
          </cell>
          <cell r="D130" t="str">
            <v>384</v>
          </cell>
          <cell r="E130" t="str">
            <v>80AF</v>
          </cell>
          <cell r="F130" t="str">
            <v>PKF2</v>
          </cell>
        </row>
        <row r="131">
          <cell r="B131">
            <v>702706</v>
          </cell>
          <cell r="C131" t="str">
            <v>ﾌﾟﾘﾎﾟｶﾒｿﾞﾋﾟｱﾉ5P        220円</v>
          </cell>
          <cell r="D131" t="str">
            <v>385</v>
          </cell>
          <cell r="E131" t="str">
            <v>80AF</v>
          </cell>
          <cell r="F131" t="str">
            <v>PKF2</v>
          </cell>
        </row>
        <row r="132">
          <cell r="B132">
            <v>706469</v>
          </cell>
          <cell r="C132" t="str">
            <v>ﾌﾟﾘﾎﾟｶﾅﾙﾐﾔﾂﾘｻｹﾞｾﾂﾄ     7920円</v>
          </cell>
          <cell r="D132" t="str">
            <v>386</v>
          </cell>
          <cell r="E132" t="str">
            <v>80AF</v>
          </cell>
          <cell r="F132" t="str">
            <v>PKF2</v>
          </cell>
        </row>
        <row r="133">
          <cell r="B133">
            <v>702731</v>
          </cell>
          <cell r="C133" t="str">
            <v>ﾌﾟﾘﾎﾟｶ ﾘﾛANDｽﾃｲﾂﾁ 5P   220円</v>
          </cell>
          <cell r="D133" t="str">
            <v>388</v>
          </cell>
          <cell r="E133" t="str">
            <v>80AF</v>
          </cell>
          <cell r="F133" t="str">
            <v>PKF2</v>
          </cell>
        </row>
        <row r="134">
          <cell r="B134">
            <v>702757</v>
          </cell>
          <cell r="C134" t="str">
            <v>ﾌﾟﾘﾎﾟｶｳﾁﾉﾜﾝｺ 5P        220円</v>
          </cell>
          <cell r="D134" t="str">
            <v>389</v>
          </cell>
          <cell r="E134" t="str">
            <v>80AF</v>
          </cell>
          <cell r="F134" t="str">
            <v>PKF2</v>
          </cell>
        </row>
        <row r="135">
          <cell r="B135">
            <v>706728</v>
          </cell>
          <cell r="C135" t="str">
            <v>ﾌﾟﾘﾎﾟｶｳﾁﾉﾜﾝｺﾂﾘｻｹﾞｾﾂﾄ   5280円</v>
          </cell>
          <cell r="D135" t="str">
            <v>390</v>
          </cell>
          <cell r="E135" t="str">
            <v>80AF</v>
          </cell>
          <cell r="F135" t="str">
            <v>PKF2</v>
          </cell>
        </row>
        <row r="136">
          <cell r="B136">
            <v>712469</v>
          </cell>
          <cell r="C136" t="str">
            <v>#ｷﾘﾊﾞｲ ﾊﾙ 1P           70円</v>
          </cell>
          <cell r="D136">
            <v>1001</v>
          </cell>
          <cell r="E136" t="str">
            <v>MR2</v>
          </cell>
          <cell r="F136" t="str">
            <v>PKWF</v>
          </cell>
        </row>
        <row r="137">
          <cell r="B137">
            <v>10048232</v>
          </cell>
          <cell r="C137" t="str">
            <v>桐灰はるⅡ１Ｐ仕掛</v>
          </cell>
          <cell r="D137" t="str">
            <v>-</v>
          </cell>
          <cell r="E137" t="str">
            <v>MR2</v>
          </cell>
          <cell r="F137" t="str">
            <v>PKWF</v>
          </cell>
        </row>
        <row r="138">
          <cell r="B138">
            <v>700908</v>
          </cell>
          <cell r="C138" t="str">
            <v>ｷﾘﾊﾞｲﾊﾙ 10P            700円</v>
          </cell>
          <cell r="D138" t="str">
            <v>742</v>
          </cell>
          <cell r="E138" t="str">
            <v>MR2</v>
          </cell>
          <cell r="F138" t="str">
            <v>PKWF</v>
          </cell>
        </row>
        <row r="139">
          <cell r="B139">
            <v>700916</v>
          </cell>
          <cell r="C139" t="str">
            <v>ｷﾘﾊﾞｲﾊﾙ 20Pﾌｸﾛ         1400円</v>
          </cell>
          <cell r="D139" t="str">
            <v>743</v>
          </cell>
          <cell r="E139" t="str">
            <v>MR2</v>
          </cell>
          <cell r="F139" t="str">
            <v>PKWF</v>
          </cell>
        </row>
        <row r="140">
          <cell r="B140">
            <v>700941</v>
          </cell>
          <cell r="C140" t="str">
            <v>ｷﾘﾊﾞｲﾊﾙ 30Pﾊｺ-2        2100円</v>
          </cell>
          <cell r="D140" t="str">
            <v>772</v>
          </cell>
          <cell r="E140" t="str">
            <v>MR2</v>
          </cell>
          <cell r="F140" t="str">
            <v>PKWF</v>
          </cell>
        </row>
        <row r="141">
          <cell r="B141">
            <v>700967</v>
          </cell>
          <cell r="C141" t="str">
            <v>ｷﾘﾊﾞｲﾊﾙ 20Pﾌｸﾛ-2       1400円</v>
          </cell>
          <cell r="D141" t="str">
            <v>769</v>
          </cell>
          <cell r="E141" t="str">
            <v>MR2</v>
          </cell>
          <cell r="F141" t="str">
            <v>PKWF</v>
          </cell>
        </row>
        <row r="142">
          <cell r="B142">
            <v>711381</v>
          </cell>
          <cell r="C142" t="str">
            <v>ｷﾘﾊﾞｲ ﾊﾙ 5P ITF        350円</v>
          </cell>
          <cell r="D142">
            <v>1002</v>
          </cell>
          <cell r="E142" t="str">
            <v>MR2</v>
          </cell>
          <cell r="F142" t="str">
            <v>PKWF</v>
          </cell>
        </row>
        <row r="143">
          <cell r="B143">
            <v>701009</v>
          </cell>
          <cell r="C143" t="str">
            <v>ｷﾘﾊﾞｲﾊﾙ 2 10P          700円</v>
          </cell>
          <cell r="D143" t="str">
            <v>797</v>
          </cell>
          <cell r="E143" t="str">
            <v>MR2</v>
          </cell>
          <cell r="F143" t="str">
            <v>PKWF</v>
          </cell>
        </row>
        <row r="144">
          <cell r="B144">
            <v>701017</v>
          </cell>
          <cell r="C144" t="str">
            <v>ｷﾘﾊﾞｲﾊﾙ 2 20Pﾌｸﾛ       1400円</v>
          </cell>
          <cell r="D144" t="str">
            <v>798</v>
          </cell>
          <cell r="E144" t="str">
            <v>MR2</v>
          </cell>
          <cell r="F144" t="str">
            <v>PKWF</v>
          </cell>
        </row>
        <row r="145">
          <cell r="B145">
            <v>701025</v>
          </cell>
          <cell r="C145" t="str">
            <v>ｷﾘﾊﾞｲﾊﾙ 2 30Pﾌｸﾛ       2100円</v>
          </cell>
          <cell r="D145" t="str">
            <v>799</v>
          </cell>
          <cell r="E145" t="str">
            <v>MR2</v>
          </cell>
          <cell r="F145" t="str">
            <v>PKWF</v>
          </cell>
        </row>
        <row r="146">
          <cell r="B146">
            <v>707881</v>
          </cell>
          <cell r="C146" t="str">
            <v>ｷﾘﾊﾞｲ ﾊﾙ2 10P M        700円</v>
          </cell>
          <cell r="D146" t="str">
            <v>095</v>
          </cell>
          <cell r="E146" t="str">
            <v>MR2</v>
          </cell>
          <cell r="F146" t="str">
            <v>PKWF</v>
          </cell>
        </row>
        <row r="147">
          <cell r="B147">
            <v>701084</v>
          </cell>
          <cell r="C147" t="str">
            <v>ｷﾘﾊﾞｲﾊﾙ 3 10P+1P       770円</v>
          </cell>
          <cell r="D147" t="str">
            <v>082</v>
          </cell>
          <cell r="E147" t="str">
            <v>MR2</v>
          </cell>
          <cell r="F147" t="str">
            <v>PKWF</v>
          </cell>
        </row>
        <row r="148">
          <cell r="B148">
            <v>701092</v>
          </cell>
          <cell r="C148" t="str">
            <v>ｷﾘﾊﾞｲﾊﾙ 3 30P+3P ﾊｺ    2310円</v>
          </cell>
          <cell r="D148" t="str">
            <v>083</v>
          </cell>
          <cell r="E148" t="str">
            <v>MR2</v>
          </cell>
          <cell r="F148" t="str">
            <v>PKWF</v>
          </cell>
        </row>
        <row r="149">
          <cell r="B149">
            <v>705471</v>
          </cell>
          <cell r="C149" t="str">
            <v>ｷﾘﾊﾞｲﾊﾙ 10Pﾂﾘｻｹﾞｷﾖｽｸ   700円</v>
          </cell>
          <cell r="D149" t="str">
            <v>235</v>
          </cell>
          <cell r="E149" t="str">
            <v>MR2</v>
          </cell>
          <cell r="F149" t="str">
            <v>PKWF</v>
          </cell>
        </row>
        <row r="150">
          <cell r="B150">
            <v>710580</v>
          </cell>
          <cell r="C150" t="str">
            <v>ｷﾘﾊﾞｲ ﾊﾙ 10P ﾖｼﾓﾄ      700円</v>
          </cell>
          <cell r="D150">
            <v>698</v>
          </cell>
          <cell r="E150" t="str">
            <v>MR2</v>
          </cell>
          <cell r="F150" t="str">
            <v>PKWF</v>
          </cell>
        </row>
        <row r="151">
          <cell r="B151">
            <v>707899</v>
          </cell>
          <cell r="C151" t="str">
            <v>ｷﾘﾊﾞｲﾊﾙ 2 30Pﾊｺ-3      2100円</v>
          </cell>
          <cell r="D151" t="str">
            <v>096</v>
          </cell>
          <cell r="E151" t="str">
            <v>MR2</v>
          </cell>
          <cell r="F151" t="str">
            <v>PKWF</v>
          </cell>
        </row>
        <row r="152">
          <cell r="B152">
            <v>707902</v>
          </cell>
          <cell r="C152" t="str">
            <v>ｷﾘﾊﾞｲﾊﾙ 2 60Pﾊｺ-3      4200円</v>
          </cell>
          <cell r="D152" t="str">
            <v>097</v>
          </cell>
          <cell r="E152" t="str">
            <v>MR2</v>
          </cell>
          <cell r="F152" t="str">
            <v>PKWF</v>
          </cell>
        </row>
        <row r="153">
          <cell r="B153">
            <v>709352</v>
          </cell>
          <cell r="C153" t="str">
            <v>ｾｲｶﾂｸﾗﾌﾞ ﾊﾙ2 20P       1400円</v>
          </cell>
          <cell r="D153">
            <v>699</v>
          </cell>
          <cell r="E153" t="str">
            <v>MR2</v>
          </cell>
          <cell r="F153" t="str">
            <v>PKWF</v>
          </cell>
        </row>
        <row r="154">
          <cell r="B154">
            <v>711390</v>
          </cell>
          <cell r="C154" t="str">
            <v>ｾｲｶﾂ ｸﾗﾌﾞ ﾊﾙ 20P ITF   1400円</v>
          </cell>
          <cell r="D154">
            <v>17</v>
          </cell>
          <cell r="E154" t="str">
            <v>MR2</v>
          </cell>
          <cell r="F154" t="str">
            <v>PKWF</v>
          </cell>
        </row>
        <row r="155">
          <cell r="B155">
            <v>711331</v>
          </cell>
          <cell r="C155" t="str">
            <v>ｷﾘﾊﾞｲ ﾊﾙ 10P ITF       700円</v>
          </cell>
          <cell r="D155">
            <v>11</v>
          </cell>
          <cell r="E155" t="str">
            <v>MR2</v>
          </cell>
          <cell r="F155" t="str">
            <v>PKWF</v>
          </cell>
        </row>
        <row r="156">
          <cell r="B156">
            <v>711365</v>
          </cell>
          <cell r="C156" t="str">
            <v>ｷﾘﾊﾞｲ ﾊﾙ 30P ﾊｺ ITF    2100円</v>
          </cell>
          <cell r="D156">
            <v>14</v>
          </cell>
          <cell r="E156" t="str">
            <v>MR2</v>
          </cell>
          <cell r="F156" t="str">
            <v>PKWF</v>
          </cell>
        </row>
        <row r="157">
          <cell r="B157">
            <v>712990</v>
          </cell>
          <cell r="C157" t="str">
            <v>#ｷﾘﾊﾞｲ ﾊﾙ 10P          700円</v>
          </cell>
          <cell r="D157">
            <v>1003</v>
          </cell>
          <cell r="E157" t="str">
            <v>MR2</v>
          </cell>
          <cell r="F157" t="str">
            <v>PKWF</v>
          </cell>
        </row>
        <row r="158">
          <cell r="B158">
            <v>713007</v>
          </cell>
          <cell r="C158" t="str">
            <v>#ｷﾘﾊﾞｲ ﾊﾙ 30P (ﾊｺｲﾘ)   2100円</v>
          </cell>
          <cell r="D158">
            <v>1004</v>
          </cell>
          <cell r="E158" t="str">
            <v>MR2</v>
          </cell>
          <cell r="F158" t="str">
            <v>PKWF</v>
          </cell>
        </row>
        <row r="159">
          <cell r="B159">
            <v>711349</v>
          </cell>
          <cell r="C159" t="str">
            <v>ｷﾘﾊﾞｲ ﾊﾙ 20P ﾌｸﾛ ITF   1400円</v>
          </cell>
          <cell r="D159">
            <v>12</v>
          </cell>
          <cell r="E159" t="str">
            <v>MR2</v>
          </cell>
          <cell r="F159" t="str">
            <v>PKWF</v>
          </cell>
        </row>
        <row r="160">
          <cell r="B160">
            <v>711357</v>
          </cell>
          <cell r="C160" t="str">
            <v>ｷﾘﾊﾞｲ ﾊﾙ 30P ﾌｸﾛ ITF   2100円</v>
          </cell>
          <cell r="D160">
            <v>13</v>
          </cell>
          <cell r="E160" t="str">
            <v>MR2</v>
          </cell>
          <cell r="F160" t="str">
            <v>PKWF</v>
          </cell>
        </row>
        <row r="161">
          <cell r="B161">
            <v>711373</v>
          </cell>
          <cell r="C161" t="str">
            <v>ｷﾘﾊﾞｲ ﾊﾙ 60P ﾊｺ ITF    4200円</v>
          </cell>
          <cell r="D161">
            <v>15</v>
          </cell>
          <cell r="E161" t="str">
            <v>MR2</v>
          </cell>
          <cell r="F161" t="str">
            <v>PKWF</v>
          </cell>
        </row>
        <row r="162">
          <cell r="B162">
            <v>701106</v>
          </cell>
          <cell r="C162" t="str">
            <v>ｷﾘﾊﾞｲﾊﾙｷﾘﾀﾞﾝﾎﾞ 10P     500円</v>
          </cell>
          <cell r="D162" t="str">
            <v>748</v>
          </cell>
          <cell r="E162" t="str">
            <v>80AF</v>
          </cell>
          <cell r="F162" t="str">
            <v>PKWF</v>
          </cell>
        </row>
        <row r="163">
          <cell r="B163">
            <v>701114</v>
          </cell>
          <cell r="C163" t="str">
            <v>ｷﾘﾊﾞｲﾊﾙｷﾘﾀﾞﾝﾎﾞ 30P     1500円</v>
          </cell>
          <cell r="D163" t="str">
            <v>749</v>
          </cell>
          <cell r="E163" t="str">
            <v>80AF</v>
          </cell>
          <cell r="F163" t="str">
            <v>PKWF</v>
          </cell>
        </row>
        <row r="164">
          <cell r="B164">
            <v>705063</v>
          </cell>
          <cell r="C164" t="str">
            <v>ｷﾘﾊﾞｲﾊﾙｷﾘﾀﾞﾝﾎﾞ 30 ﾊｺ   1500円</v>
          </cell>
          <cell r="D164" t="str">
            <v>765</v>
          </cell>
          <cell r="E164" t="str">
            <v>80AF</v>
          </cell>
          <cell r="F164" t="str">
            <v>PKWF</v>
          </cell>
        </row>
        <row r="165">
          <cell r="B165">
            <v>701122</v>
          </cell>
          <cell r="C165" t="str">
            <v>ｷﾘﾊﾞｲﾊﾙｷﾘﾀﾞﾝﾎ ﾞ30 ﾊｺ2  1500円</v>
          </cell>
          <cell r="D165" t="str">
            <v>796</v>
          </cell>
          <cell r="E165" t="str">
            <v>80AF</v>
          </cell>
          <cell r="F165" t="str">
            <v>PKWF</v>
          </cell>
        </row>
        <row r="166">
          <cell r="B166">
            <v>701131</v>
          </cell>
          <cell r="C166" t="str">
            <v>ｷﾘﾊﾞｲﾊﾙｷﾘﾀﾞﾝﾎﾞ 2 10P   500円</v>
          </cell>
          <cell r="D166" t="str">
            <v>065</v>
          </cell>
          <cell r="E166" t="str">
            <v>80AF</v>
          </cell>
          <cell r="F166" t="str">
            <v>PKWF</v>
          </cell>
        </row>
        <row r="167">
          <cell r="B167">
            <v>701157</v>
          </cell>
          <cell r="C167" t="str">
            <v>ｷﾘﾊﾞｲﾊﾙｷﾘﾀﾞﾝﾎﾞ 2 30P   1500円</v>
          </cell>
          <cell r="D167" t="str">
            <v>066</v>
          </cell>
          <cell r="E167" t="str">
            <v>80AF</v>
          </cell>
          <cell r="F167" t="str">
            <v>PKWF</v>
          </cell>
        </row>
        <row r="168">
          <cell r="B168">
            <v>701165</v>
          </cell>
          <cell r="C168" t="str">
            <v>ｷﾘﾊﾞｲﾊﾙｷﾘﾀﾞﾝﾎﾞ 2 30ﾊｺ  1500円</v>
          </cell>
          <cell r="D168" t="str">
            <v>070</v>
          </cell>
          <cell r="E168" t="str">
            <v>80AF</v>
          </cell>
          <cell r="F168" t="str">
            <v>PKWF</v>
          </cell>
        </row>
        <row r="169">
          <cell r="B169">
            <v>708186</v>
          </cell>
          <cell r="C169" t="str">
            <v>ｷﾘﾊﾞｲﾊﾙｷﾘﾀﾞﾝﾎﾞ 3 10P   500円</v>
          </cell>
          <cell r="D169" t="str">
            <v>098</v>
          </cell>
          <cell r="E169" t="str">
            <v>80AF</v>
          </cell>
          <cell r="F169" t="str">
            <v>PKWF</v>
          </cell>
        </row>
        <row r="170">
          <cell r="B170">
            <v>708208</v>
          </cell>
          <cell r="C170" t="str">
            <v>ｷﾘﾊﾞｲﾊﾙｷﾘﾀﾞﾝﾎﾞ 3 30Pﾌｸﾛ1500円</v>
          </cell>
          <cell r="D170" t="str">
            <v>710</v>
          </cell>
          <cell r="E170" t="str">
            <v>80AF</v>
          </cell>
          <cell r="F170" t="str">
            <v>PKWF</v>
          </cell>
        </row>
        <row r="171">
          <cell r="B171">
            <v>708194</v>
          </cell>
          <cell r="C171" t="str">
            <v>ｷﾘﾊﾞｲﾊﾙｷﾘﾀﾞﾝﾎﾞ 3 30Pﾊｺ 1500円</v>
          </cell>
          <cell r="D171" t="str">
            <v>725</v>
          </cell>
          <cell r="E171" t="str">
            <v>80AF</v>
          </cell>
          <cell r="F171" t="str">
            <v>PKWF</v>
          </cell>
        </row>
        <row r="172">
          <cell r="B172">
            <v>709191</v>
          </cell>
          <cell r="C172" t="str">
            <v>ｷﾘﾊﾞｲﾊﾙｷﾘﾀﾞﾝﾎﾞ 3 60P   3000円</v>
          </cell>
          <cell r="D172" t="str">
            <v>729</v>
          </cell>
          <cell r="E172" t="str">
            <v>80AF</v>
          </cell>
          <cell r="F172" t="str">
            <v>PKWF</v>
          </cell>
        </row>
        <row r="173">
          <cell r="B173">
            <v>711489</v>
          </cell>
          <cell r="C173" t="str">
            <v>ｷﾘﾊﾞｲ ﾊﾙﾀﾞﾝﾎﾞ R 10P ITF500円</v>
          </cell>
          <cell r="D173" t="str">
            <v>30</v>
          </cell>
          <cell r="E173" t="str">
            <v>80AF</v>
          </cell>
          <cell r="F173" t="str">
            <v>PKWF</v>
          </cell>
        </row>
        <row r="174">
          <cell r="B174">
            <v>711497</v>
          </cell>
          <cell r="C174" t="str">
            <v>ｷﾘﾊﾞｲ ﾊﾙﾀﾞﾝﾎﾞ R 30P ITF1500円</v>
          </cell>
          <cell r="D174" t="str">
            <v>31</v>
          </cell>
          <cell r="E174" t="str">
            <v>80AF</v>
          </cell>
          <cell r="F174" t="str">
            <v>PKWF</v>
          </cell>
        </row>
        <row r="175">
          <cell r="B175">
            <v>711501</v>
          </cell>
          <cell r="C175" t="str">
            <v>ｷﾘﾊﾞｲﾊﾙﾀﾞﾝﾎﾞR 30Pﾊｺ ITF1500円</v>
          </cell>
          <cell r="D175" t="str">
            <v>32</v>
          </cell>
          <cell r="E175" t="str">
            <v>80AF</v>
          </cell>
          <cell r="F175" t="str">
            <v>PKWF</v>
          </cell>
        </row>
        <row r="176">
          <cell r="B176">
            <v>711519</v>
          </cell>
          <cell r="C176" t="str">
            <v>ｷﾘﾊﾞｲﾊﾙﾀﾞﾝﾎﾞR 60Pﾊｺ ITF3000円</v>
          </cell>
          <cell r="D176" t="str">
            <v>33</v>
          </cell>
          <cell r="E176" t="str">
            <v>80AF</v>
          </cell>
          <cell r="F176" t="str">
            <v>PKWF</v>
          </cell>
        </row>
        <row r="177">
          <cell r="B177">
            <v>701173</v>
          </cell>
          <cell r="C177" t="str">
            <v>ﾊﾙﾎﾟﾂｶﾘｺ 2 10P         500円</v>
          </cell>
          <cell r="D177" t="str">
            <v>732</v>
          </cell>
          <cell r="E177" t="str">
            <v>80AF</v>
          </cell>
          <cell r="F177" t="str">
            <v>PKWF</v>
          </cell>
        </row>
        <row r="178">
          <cell r="B178">
            <v>701181</v>
          </cell>
          <cell r="C178" t="str">
            <v>ﾊﾙﾎﾟﾂｶﾘｺ 3 10P         500円</v>
          </cell>
          <cell r="D178" t="str">
            <v>084</v>
          </cell>
          <cell r="E178" t="str">
            <v>80AF</v>
          </cell>
          <cell r="F178" t="str">
            <v>PKWF</v>
          </cell>
        </row>
        <row r="179">
          <cell r="B179">
            <v>701203</v>
          </cell>
          <cell r="C179" t="str">
            <v>ﾊﾙﾀﾞﾝﾌﾞﾄﾝ 2 10P        500円</v>
          </cell>
          <cell r="D179" t="str">
            <v>085</v>
          </cell>
          <cell r="E179" t="str">
            <v>MR2</v>
          </cell>
          <cell r="F179" t="str">
            <v>PKWF</v>
          </cell>
        </row>
        <row r="180">
          <cell r="B180">
            <v>711136</v>
          </cell>
          <cell r="C180" t="str">
            <v>ﾊﾙ ｷﾘﾎﾂｶ 10P ITF       500円</v>
          </cell>
          <cell r="D180">
            <v>692</v>
          </cell>
          <cell r="E180" t="str">
            <v>80AF</v>
          </cell>
          <cell r="F180" t="str">
            <v>PKWF</v>
          </cell>
        </row>
        <row r="181">
          <cell r="B181">
            <v>711144</v>
          </cell>
          <cell r="C181" t="str">
            <v>ﾊﾙ ｷﾘﾎﾂｶ 30P ITF       1500円</v>
          </cell>
          <cell r="D181">
            <v>693</v>
          </cell>
          <cell r="E181" t="str">
            <v>80AF</v>
          </cell>
          <cell r="F181" t="str">
            <v>PKWF</v>
          </cell>
        </row>
        <row r="182">
          <cell r="B182">
            <v>701262</v>
          </cell>
          <cell r="C182" t="str">
            <v>ｷﾘﾊﾞｲﾁｸﾀﾝﾊﾙ 5P         400円</v>
          </cell>
          <cell r="D182" t="str">
            <v>753</v>
          </cell>
          <cell r="E182" t="str">
            <v>MR2</v>
          </cell>
          <cell r="F182" t="str">
            <v>PKWF(竹炭)</v>
          </cell>
        </row>
        <row r="183">
          <cell r="B183">
            <v>701271</v>
          </cell>
          <cell r="C183" t="str">
            <v>ｷﾘﾊﾞｲﾁｸﾀﾝﾊﾙ 10P        800円</v>
          </cell>
          <cell r="D183" t="str">
            <v>747</v>
          </cell>
          <cell r="E183" t="str">
            <v>MR2</v>
          </cell>
          <cell r="F183" t="str">
            <v>PKWF(竹炭)</v>
          </cell>
        </row>
        <row r="184">
          <cell r="B184">
            <v>701289</v>
          </cell>
          <cell r="C184" t="str">
            <v>ｷﾘﾊﾞｲﾁｸﾀﾝﾊﾙ 30Pﾊｺ      2400円</v>
          </cell>
          <cell r="D184" t="str">
            <v>763</v>
          </cell>
          <cell r="E184" t="str">
            <v>MR2</v>
          </cell>
          <cell r="F184" t="str">
            <v>PKWF(竹炭)</v>
          </cell>
        </row>
        <row r="185">
          <cell r="B185">
            <v>709344</v>
          </cell>
          <cell r="C185" t="str">
            <v>ｷﾘﾊﾞｲﾁｸﾀﾝﾊﾙ30P         2400円</v>
          </cell>
          <cell r="D185">
            <v>708</v>
          </cell>
          <cell r="E185" t="str">
            <v>MR2</v>
          </cell>
          <cell r="F185" t="str">
            <v>PKWF(竹炭)</v>
          </cell>
        </row>
        <row r="186">
          <cell r="B186">
            <v>702986</v>
          </cell>
          <cell r="C186" t="str">
            <v>JUSTEYEﾊﾙﾎﾂﾄｳｵ-ﾏ-K 30P 0円</v>
          </cell>
          <cell r="D186" t="str">
            <v>788</v>
          </cell>
          <cell r="E186" t="str">
            <v>80AF</v>
          </cell>
          <cell r="F186" t="str">
            <v>PKWF</v>
          </cell>
        </row>
        <row r="187">
          <cell r="B187">
            <v>708739</v>
          </cell>
          <cell r="C187" t="str">
            <v>ﾊﾙﾎﾂﾄｳｵ-ﾏ-K 2 10P      1円</v>
          </cell>
          <cell r="D187" t="str">
            <v>723</v>
          </cell>
          <cell r="E187" t="str">
            <v>80AF</v>
          </cell>
          <cell r="F187" t="str">
            <v>PKWF</v>
          </cell>
        </row>
        <row r="188">
          <cell r="B188">
            <v>708755</v>
          </cell>
          <cell r="C188" t="str">
            <v>ﾊﾙﾎﾂﾄｳｵ-ﾏ-K 2 30P      0円</v>
          </cell>
          <cell r="D188" t="str">
            <v>724</v>
          </cell>
          <cell r="E188" t="str">
            <v>80AF</v>
          </cell>
          <cell r="F188" t="str">
            <v>PKWF</v>
          </cell>
        </row>
        <row r="189">
          <cell r="B189">
            <v>701327</v>
          </cell>
          <cell r="C189" t="str">
            <v>ﾊﾙｷﾘﾉｽｹ 2 10P          500円</v>
          </cell>
          <cell r="D189" t="str">
            <v>073</v>
          </cell>
          <cell r="E189" t="str">
            <v>80AF</v>
          </cell>
          <cell r="F189" t="str">
            <v>PKWF</v>
          </cell>
        </row>
        <row r="190">
          <cell r="B190">
            <v>708267</v>
          </cell>
          <cell r="C190" t="str">
            <v>ｶｲﾝｽﾞｲﾙｲﾆﾊﾙｶｲﾛ 3 10P   1円</v>
          </cell>
          <cell r="D190" t="str">
            <v>726</v>
          </cell>
          <cell r="E190" t="str">
            <v>80AF</v>
          </cell>
          <cell r="F190" t="str">
            <v>PKWF</v>
          </cell>
        </row>
        <row r="191">
          <cell r="B191">
            <v>708275</v>
          </cell>
          <cell r="C191" t="str">
            <v>ｶｲﾝｽﾞｲﾙｲﾆﾊﾙｶｲﾛ 3 30Pﾊｺ 1円</v>
          </cell>
          <cell r="D191" t="str">
            <v>727</v>
          </cell>
          <cell r="E191" t="str">
            <v>80AF</v>
          </cell>
          <cell r="F191" t="str">
            <v>PKWF</v>
          </cell>
        </row>
        <row r="192">
          <cell r="B192">
            <v>708283</v>
          </cell>
          <cell r="C192" t="str">
            <v>ｶｲﾝｽﾞｲﾙｲﾆﾊﾙｶｲﾛ 3 60Pﾊｺ 1円</v>
          </cell>
          <cell r="D192" t="str">
            <v>728</v>
          </cell>
          <cell r="E192" t="str">
            <v>80AF</v>
          </cell>
          <cell r="F192" t="str">
            <v>PKWF</v>
          </cell>
        </row>
        <row r="193">
          <cell r="B193">
            <v>711152</v>
          </cell>
          <cell r="C193" t="str">
            <v>ｺ-ﾌﾟｽ ﾊﾙ 10P ITF       500円</v>
          </cell>
          <cell r="D193" t="str">
            <v>694</v>
          </cell>
          <cell r="E193" t="str">
            <v>80AF</v>
          </cell>
          <cell r="F193" t="str">
            <v>PKWF</v>
          </cell>
        </row>
        <row r="194">
          <cell r="B194">
            <v>711161</v>
          </cell>
          <cell r="C194" t="str">
            <v>ｺ-ﾌﾟｽ ﾊﾙ 30P ITF       1500円</v>
          </cell>
          <cell r="D194" t="str">
            <v>695</v>
          </cell>
          <cell r="E194" t="str">
            <v>80AF</v>
          </cell>
          <cell r="F194" t="str">
            <v>PKWF</v>
          </cell>
        </row>
        <row r="195">
          <cell r="B195">
            <v>708780</v>
          </cell>
          <cell r="C195" t="str">
            <v>ｺ-ﾅﾝﾊﾙﾍﾟﾁｶ 2 10P       500円</v>
          </cell>
          <cell r="D195" t="str">
            <v>756</v>
          </cell>
          <cell r="E195" t="str">
            <v>80AF</v>
          </cell>
          <cell r="F195" t="str">
            <v>PKWF</v>
          </cell>
        </row>
        <row r="196">
          <cell r="B196">
            <v>702854</v>
          </cell>
          <cell r="C196" t="str">
            <v>ｺ-ﾅﾝﾊﾙﾍﾟﾁｶ 3 30P       1500円</v>
          </cell>
          <cell r="D196" t="str">
            <v>061</v>
          </cell>
          <cell r="E196" t="str">
            <v>80AF</v>
          </cell>
          <cell r="F196" t="str">
            <v>PKWF</v>
          </cell>
        </row>
        <row r="197">
          <cell r="B197">
            <v>707945</v>
          </cell>
          <cell r="C197" t="str">
            <v>ｺ-ﾅﾝﾊﾙﾍﾟﾁｶ 3 30P-3     1500円</v>
          </cell>
          <cell r="D197">
            <v>704</v>
          </cell>
          <cell r="E197" t="str">
            <v>80AF</v>
          </cell>
          <cell r="F197" t="str">
            <v>PKWF</v>
          </cell>
        </row>
        <row r="198">
          <cell r="B198">
            <v>711021</v>
          </cell>
          <cell r="C198" t="str">
            <v>ｺ-ﾅﾝ ﾊﾙ ﾍﾟﾁｶ 10P ITF   500円</v>
          </cell>
          <cell r="D198" t="str">
            <v>397</v>
          </cell>
          <cell r="E198" t="str">
            <v>80AF</v>
          </cell>
          <cell r="F198" t="str">
            <v>PKWF</v>
          </cell>
        </row>
        <row r="199">
          <cell r="B199">
            <v>712787</v>
          </cell>
          <cell r="C199" t="str">
            <v>#ｺ-ﾅﾝ ﾊﾙ ｷﾘﾍﾟﾁｶ 120P   6000円</v>
          </cell>
          <cell r="D199">
            <v>6046</v>
          </cell>
          <cell r="E199" t="str">
            <v>80AF</v>
          </cell>
          <cell r="F199" t="str">
            <v>PKWF</v>
          </cell>
        </row>
        <row r="200">
          <cell r="B200">
            <v>712221</v>
          </cell>
          <cell r="C200" t="str">
            <v>ﾊﾙ ｺﾊﾙﾋﾞﾖﾘ 2010 10P    99円</v>
          </cell>
          <cell r="D200">
            <v>795</v>
          </cell>
          <cell r="E200" t="str">
            <v>80AF</v>
          </cell>
          <cell r="F200" t="str">
            <v>PKWF</v>
          </cell>
        </row>
        <row r="201">
          <cell r="B201">
            <v>701378</v>
          </cell>
          <cell r="C201" t="str">
            <v>ﾊﾙｲﾁﾊﾞﾝﾊﾙ 10P          500円</v>
          </cell>
          <cell r="D201" t="str">
            <v>789</v>
          </cell>
          <cell r="E201" t="str">
            <v>80AF</v>
          </cell>
          <cell r="F201" t="str">
            <v>PKWF</v>
          </cell>
        </row>
        <row r="202">
          <cell r="B202">
            <v>712540</v>
          </cell>
          <cell r="C202" t="str">
            <v>#ﾊﾙｲﾁﾊﾞﾝ ﾊﾙ 10P        500円</v>
          </cell>
          <cell r="D202">
            <v>6022</v>
          </cell>
          <cell r="E202" t="str">
            <v>80AF</v>
          </cell>
          <cell r="F202" t="str">
            <v>PKWF</v>
          </cell>
        </row>
        <row r="203">
          <cell r="B203">
            <v>712558</v>
          </cell>
          <cell r="C203" t="str">
            <v>#ﾊﾙ ｲﾁﾊﾞﾝ ﾊﾙ 30P       1500円</v>
          </cell>
          <cell r="D203" t="str">
            <v>6023</v>
          </cell>
          <cell r="E203" t="str">
            <v>80AF</v>
          </cell>
          <cell r="F203" t="str">
            <v>PKWF</v>
          </cell>
        </row>
        <row r="204">
          <cell r="B204">
            <v>701432</v>
          </cell>
          <cell r="C204" t="str">
            <v>DNﾃﾞｲﾘ-ﾆ-ｽﾞﾊﾙ 2 10P    500円</v>
          </cell>
          <cell r="D204" t="str">
            <v>092</v>
          </cell>
          <cell r="E204" t="str">
            <v>80AF</v>
          </cell>
          <cell r="F204" t="str">
            <v>PKWF</v>
          </cell>
        </row>
        <row r="205">
          <cell r="B205">
            <v>708135</v>
          </cell>
          <cell r="C205" t="str">
            <v>DNﾃﾞｲﾘ-ﾆ-ｽﾞﾊﾙ 3 10P    500円</v>
          </cell>
          <cell r="D205" t="str">
            <v>705</v>
          </cell>
          <cell r="E205" t="str">
            <v>80AF</v>
          </cell>
          <cell r="F205" t="str">
            <v>PKWF</v>
          </cell>
        </row>
        <row r="206">
          <cell r="B206">
            <v>708127</v>
          </cell>
          <cell r="C206" t="str">
            <v>DNﾃﾞｲﾘ-ﾆ-ｽﾞﾊﾙ 3 30Pﾊｺ  1500円</v>
          </cell>
          <cell r="D206" t="str">
            <v>706</v>
          </cell>
          <cell r="E206" t="str">
            <v>80AF</v>
          </cell>
          <cell r="F206" t="str">
            <v>PKWF</v>
          </cell>
        </row>
        <row r="207">
          <cell r="B207">
            <v>710938</v>
          </cell>
          <cell r="C207" t="str">
            <v>ｶｲﾛﾔｻﾝﾉ ﾊﾙ 10P         500円</v>
          </cell>
          <cell r="D207" t="str">
            <v>696</v>
          </cell>
          <cell r="E207" t="str">
            <v>80AF</v>
          </cell>
          <cell r="F207" t="str">
            <v>PKWF</v>
          </cell>
        </row>
        <row r="208">
          <cell r="B208">
            <v>710946</v>
          </cell>
          <cell r="C208" t="str">
            <v>ｶｲﾛﾔｻﾝﾉ ﾊﾙ 30ﾊｺ        1500円</v>
          </cell>
          <cell r="D208" t="str">
            <v>697</v>
          </cell>
          <cell r="E208" t="str">
            <v>80AF</v>
          </cell>
          <cell r="F208" t="str">
            <v>PKWF</v>
          </cell>
        </row>
        <row r="209">
          <cell r="B209">
            <v>702889</v>
          </cell>
          <cell r="C209" t="str">
            <v>ﾊﾙﾀﾞﾝﾉｽｹ 10P ｼﾞﾕﾂｼﾔｶｲ  500円</v>
          </cell>
          <cell r="D209" t="str">
            <v>777</v>
          </cell>
          <cell r="E209" t="str">
            <v>80AF</v>
          </cell>
          <cell r="F209" t="str">
            <v>PKWF</v>
          </cell>
        </row>
        <row r="210">
          <cell r="B210">
            <v>702901</v>
          </cell>
          <cell r="C210" t="str">
            <v>ﾊﾙﾀﾞﾝﾉｽｹ 30P ｼﾞﾕﾂｼﾔｶｲ  1500円</v>
          </cell>
          <cell r="D210" t="str">
            <v>778</v>
          </cell>
          <cell r="E210" t="str">
            <v>80AF</v>
          </cell>
          <cell r="F210" t="str">
            <v>PKWF</v>
          </cell>
        </row>
        <row r="211">
          <cell r="B211">
            <v>708631</v>
          </cell>
          <cell r="C211" t="str">
            <v>ﾊﾙﾀﾞﾝﾉｽｹ 30P ｼﾞﾕﾂｼﾔｶｲ-31500円</v>
          </cell>
          <cell r="D211">
            <v>714</v>
          </cell>
          <cell r="E211" t="str">
            <v>80AF</v>
          </cell>
          <cell r="F211" t="str">
            <v>PKWF</v>
          </cell>
        </row>
        <row r="212">
          <cell r="B212">
            <v>711306</v>
          </cell>
          <cell r="C212" t="str">
            <v>ﾊﾙ ﾀﾞﾝﾉｽｹ J 10P ITF    500円</v>
          </cell>
          <cell r="D212" t="str">
            <v>998</v>
          </cell>
          <cell r="E212" t="str">
            <v>80AF</v>
          </cell>
          <cell r="F212" t="str">
            <v>PKWF</v>
          </cell>
        </row>
        <row r="213">
          <cell r="B213">
            <v>711314</v>
          </cell>
          <cell r="C213" t="str">
            <v>ﾊﾙ ﾀﾞﾝﾉｽｹ J 30P ITF    1500円</v>
          </cell>
          <cell r="D213" t="str">
            <v>999</v>
          </cell>
          <cell r="E213" t="str">
            <v>80AF</v>
          </cell>
          <cell r="F213" t="str">
            <v>PKWF</v>
          </cell>
        </row>
        <row r="214">
          <cell r="B214">
            <v>706345</v>
          </cell>
          <cell r="C214" t="str">
            <v>ｷﾘﾝﾋﾞ-ﾙﾊﾙ10P           1円</v>
          </cell>
          <cell r="D214" t="str">
            <v>-</v>
          </cell>
          <cell r="E214" t="str">
            <v>80AF</v>
          </cell>
          <cell r="F214" t="str">
            <v>PKWF</v>
          </cell>
        </row>
        <row r="215">
          <cell r="B215">
            <v>712353</v>
          </cell>
          <cell r="C215" t="str">
            <v>#ﾎﾂﾄｽﾙﾈ ﾊﾙ 10P         500円</v>
          </cell>
          <cell r="D215">
            <v>6002</v>
          </cell>
          <cell r="E215" t="str">
            <v>80AF</v>
          </cell>
          <cell r="F215" t="str">
            <v>PKWF</v>
          </cell>
        </row>
        <row r="216">
          <cell r="B216">
            <v>712361</v>
          </cell>
          <cell r="C216" t="str">
            <v>#ﾎﾂﾄｽﾙﾈ ﾊﾙ 30P         1500円</v>
          </cell>
          <cell r="D216">
            <v>6003</v>
          </cell>
          <cell r="E216" t="str">
            <v>80AF</v>
          </cell>
          <cell r="F216" t="str">
            <v>PKWF</v>
          </cell>
        </row>
        <row r="217">
          <cell r="B217">
            <v>708607</v>
          </cell>
          <cell r="C217" t="str">
            <v>ﾊﾙﾎﾂﾄｽﾙﾈ 2 30P-3       1円</v>
          </cell>
          <cell r="D217">
            <v>719</v>
          </cell>
          <cell r="E217" t="str">
            <v>80AF</v>
          </cell>
          <cell r="F217" t="str">
            <v>PKWF</v>
          </cell>
        </row>
        <row r="218">
          <cell r="B218">
            <v>702951</v>
          </cell>
          <cell r="C218" t="str">
            <v>ﾊﾙｼﾞﾂﾌﾟｶｲﾛ 2 10P       0円</v>
          </cell>
          <cell r="D218" t="str">
            <v>078</v>
          </cell>
          <cell r="E218" t="str">
            <v>80AF</v>
          </cell>
          <cell r="F218" t="str">
            <v>PKWF</v>
          </cell>
        </row>
        <row r="219">
          <cell r="B219">
            <v>708577</v>
          </cell>
          <cell r="C219" t="str">
            <v>ﾊﾙｼﾞﾂﾌﾟｶｲﾛ 2 30P-3     0円</v>
          </cell>
          <cell r="D219">
            <v>716</v>
          </cell>
          <cell r="E219" t="str">
            <v>80AF</v>
          </cell>
          <cell r="F219" t="str">
            <v>PKWF</v>
          </cell>
        </row>
        <row r="220">
          <cell r="B220">
            <v>708356</v>
          </cell>
          <cell r="C220" t="str">
            <v>ｺﾒﾘﾊﾙｶｲﾛﾚｷﾞﾕﾗ- 10P     0円</v>
          </cell>
          <cell r="D220">
            <v>720</v>
          </cell>
          <cell r="E220" t="str">
            <v>80AF</v>
          </cell>
          <cell r="F220" t="str">
            <v>PKWF</v>
          </cell>
        </row>
        <row r="221">
          <cell r="B221">
            <v>708364</v>
          </cell>
          <cell r="C221" t="str">
            <v>ｺﾒﾘﾊﾙｶｲﾛﾚｷﾞﾕﾗ- 30Pﾊｺ   0円</v>
          </cell>
          <cell r="D221">
            <v>721</v>
          </cell>
          <cell r="E221" t="str">
            <v>80AF</v>
          </cell>
          <cell r="F221" t="str">
            <v>PKWF</v>
          </cell>
        </row>
        <row r="222">
          <cell r="B222">
            <v>708372</v>
          </cell>
          <cell r="C222" t="str">
            <v>ｺﾒﾘﾊﾙｶｲﾛﾚｷﾞﾕﾗ- 60Pﾊｺ   0円</v>
          </cell>
          <cell r="D222">
            <v>722</v>
          </cell>
          <cell r="E222" t="str">
            <v>80AF</v>
          </cell>
          <cell r="F222" t="str">
            <v>PKWF</v>
          </cell>
        </row>
        <row r="223">
          <cell r="B223">
            <v>207926</v>
          </cell>
          <cell r="C223" t="str">
            <v>E.K ﾊﾙ 5P GL           0円</v>
          </cell>
          <cell r="D223">
            <v>701</v>
          </cell>
          <cell r="E223" t="str">
            <v>MR2</v>
          </cell>
          <cell r="F223" t="str">
            <v>PKWF</v>
          </cell>
        </row>
        <row r="224">
          <cell r="B224">
            <v>208051</v>
          </cell>
          <cell r="C224" t="str">
            <v>E.K ﾊﾙ 10P GL (2)      0円</v>
          </cell>
          <cell r="D224" t="str">
            <v>700</v>
          </cell>
          <cell r="E224" t="str">
            <v>MR2</v>
          </cell>
          <cell r="F224" t="str">
            <v>PKWF</v>
          </cell>
        </row>
        <row r="225">
          <cell r="B225">
            <v>207993</v>
          </cell>
          <cell r="C225" t="str">
            <v>E.K ﾊﾙ 10P ﾆｼｺﾞｳ (3)   0円</v>
          </cell>
          <cell r="D225">
            <v>702</v>
          </cell>
          <cell r="E225" t="str">
            <v>MR2</v>
          </cell>
          <cell r="F225" t="str">
            <v>PKWF</v>
          </cell>
        </row>
        <row r="226">
          <cell r="B226">
            <v>194263</v>
          </cell>
          <cell r="C226" t="str">
            <v>E.ADHESIVEHOTHANDSB-W100円</v>
          </cell>
          <cell r="D226">
            <v>1723</v>
          </cell>
          <cell r="E226" t="str">
            <v>80AF</v>
          </cell>
          <cell r="F226" t="str">
            <v>PKWF</v>
          </cell>
        </row>
        <row r="227">
          <cell r="B227">
            <v>10050100</v>
          </cell>
          <cell r="C227" t="str">
            <v>DIRECTSKIN（4X5） 10P仕掛</v>
          </cell>
          <cell r="D227" t="str">
            <v>-</v>
          </cell>
          <cell r="E227" t="str">
            <v>80AF</v>
          </cell>
          <cell r="F227" t="str">
            <v>PKWF</v>
          </cell>
        </row>
        <row r="228">
          <cell r="B228">
            <v>10050098</v>
          </cell>
          <cell r="C228" t="str">
            <v>DIRECTSKIN（4X10） 10P仕掛</v>
          </cell>
          <cell r="D228" t="str">
            <v>-</v>
          </cell>
          <cell r="E228" t="str">
            <v>80AF</v>
          </cell>
          <cell r="F228" t="str">
            <v>PKWF</v>
          </cell>
        </row>
        <row r="229">
          <cell r="B229">
            <v>210714</v>
          </cell>
          <cell r="C229" t="str">
            <v>E.D-SKIN4*5GENERIC BULK0円</v>
          </cell>
          <cell r="D229">
            <v>2016</v>
          </cell>
          <cell r="E229" t="str">
            <v>80AF</v>
          </cell>
          <cell r="F229" t="str">
            <v>PKWF</v>
          </cell>
        </row>
        <row r="230">
          <cell r="B230">
            <v>210722</v>
          </cell>
          <cell r="C230" t="str">
            <v>E.D-SKIN4*10GENERICBULK0円</v>
          </cell>
          <cell r="D230">
            <v>2017</v>
          </cell>
          <cell r="E230" t="str">
            <v>80AF</v>
          </cell>
          <cell r="F230" t="str">
            <v>PKWF</v>
          </cell>
        </row>
        <row r="231">
          <cell r="B231">
            <v>10052252</v>
          </cell>
          <cell r="C231" t="str">
            <v>E_Boots DirectSｋin 4P用 （4X5） 10P 仕掛品</v>
          </cell>
          <cell r="D231" t="str">
            <v>-</v>
          </cell>
          <cell r="E231" t="str">
            <v>80AF</v>
          </cell>
          <cell r="F231" t="str">
            <v>PKWF</v>
          </cell>
          <cell r="G231" t="str">
            <v>ｻﾝﾌﾟﾙ必要</v>
          </cell>
        </row>
        <row r="232">
          <cell r="B232">
            <v>10052256</v>
          </cell>
          <cell r="C232" t="str">
            <v>E*Boots　DirectSkin　1P用（4×5）　10P仕掛品</v>
          </cell>
          <cell r="D232" t="str">
            <v>-</v>
          </cell>
          <cell r="E232" t="str">
            <v>80AF</v>
          </cell>
          <cell r="F232" t="str">
            <v>PKWF</v>
          </cell>
          <cell r="G232" t="str">
            <v>ｻﾝﾌﾟﾙ必要</v>
          </cell>
        </row>
        <row r="233">
          <cell r="B233">
            <v>235202</v>
          </cell>
          <cell r="C233" t="str">
            <v>E.*GERMANDIRECT BULK10P0円</v>
          </cell>
          <cell r="D233">
            <v>2373</v>
          </cell>
          <cell r="E233" t="str">
            <v>80AF</v>
          </cell>
          <cell r="F233" t="str">
            <v>PKWF</v>
          </cell>
          <cell r="G233" t="str">
            <v>ｻﾝﾌﾟﾙ必要</v>
          </cell>
        </row>
        <row r="234">
          <cell r="B234">
            <v>228052</v>
          </cell>
          <cell r="C234" t="str">
            <v>E.MC D-SKIN4*5 BULK    0円</v>
          </cell>
          <cell r="D234">
            <v>2283</v>
          </cell>
          <cell r="E234" t="str">
            <v>80AF</v>
          </cell>
          <cell r="F234" t="str">
            <v>PKWF</v>
          </cell>
        </row>
        <row r="235">
          <cell r="B235">
            <v>239364</v>
          </cell>
          <cell r="C235" t="str">
            <v>E.MC D-SKIN4*5N-PVDC BU0円</v>
          </cell>
          <cell r="D235">
            <v>2490</v>
          </cell>
          <cell r="E235" t="str">
            <v>80AF</v>
          </cell>
          <cell r="F235" t="str">
            <v>PKWF</v>
          </cell>
        </row>
        <row r="236">
          <cell r="B236">
            <v>228061</v>
          </cell>
          <cell r="C236" t="str">
            <v>E.MC D-SKIN4*10 BULK   0円</v>
          </cell>
          <cell r="D236">
            <v>2284</v>
          </cell>
          <cell r="E236" t="str">
            <v>80AF</v>
          </cell>
          <cell r="F236" t="str">
            <v>PKWF</v>
          </cell>
        </row>
        <row r="237">
          <cell r="B237">
            <v>239356</v>
          </cell>
          <cell r="C237" t="str">
            <v>E.MC D-SKIN4*10N-PVDC B0円</v>
          </cell>
          <cell r="D237">
            <v>2489</v>
          </cell>
          <cell r="E237" t="str">
            <v>80AF</v>
          </cell>
          <cell r="F237" t="str">
            <v>PKWF</v>
          </cell>
        </row>
        <row r="238">
          <cell r="B238">
            <v>701467</v>
          </cell>
          <cell r="C238" t="str">
            <v>ｷﾘﾊﾞｲﾊﾙﾐﾆ 1P           60円</v>
          </cell>
          <cell r="D238" t="str">
            <v>836</v>
          </cell>
          <cell r="E238" t="str">
            <v>80AF</v>
          </cell>
          <cell r="F238" t="str">
            <v>PKWF</v>
          </cell>
        </row>
        <row r="239">
          <cell r="B239">
            <v>197122</v>
          </cell>
          <cell r="C239" t="str">
            <v>E.K ｶﾝｺｸ ﾊﾙ ﾐﾆ 2P*5    0円</v>
          </cell>
          <cell r="D239">
            <v>860</v>
          </cell>
          <cell r="E239" t="str">
            <v>80AF</v>
          </cell>
          <cell r="F239" t="str">
            <v>PKWF</v>
          </cell>
        </row>
        <row r="240">
          <cell r="B240">
            <v>701513</v>
          </cell>
          <cell r="C240" t="str">
            <v>ｷﾘﾊﾞｲﾊﾙﾐﾆ 30Pﾊｺ2       1800円</v>
          </cell>
          <cell r="D240" t="str">
            <v>842</v>
          </cell>
          <cell r="E240" t="str">
            <v>80AF</v>
          </cell>
          <cell r="F240" t="str">
            <v>PKWF</v>
          </cell>
        </row>
        <row r="241">
          <cell r="B241">
            <v>704971</v>
          </cell>
          <cell r="C241" t="str">
            <v>ｷﾘﾊﾞｲﾊﾙﾐﾆ 10P-2        600円</v>
          </cell>
          <cell r="D241" t="str">
            <v>843</v>
          </cell>
          <cell r="E241" t="str">
            <v>80AF</v>
          </cell>
          <cell r="F241" t="str">
            <v>PKWF</v>
          </cell>
        </row>
        <row r="242">
          <cell r="B242">
            <v>709280</v>
          </cell>
          <cell r="C242" t="str">
            <v>ｷﾘﾊﾞｲﾊﾙﾐﾆ 2 50P        1円</v>
          </cell>
          <cell r="D242">
            <v>897</v>
          </cell>
          <cell r="E242" t="str">
            <v>80AF</v>
          </cell>
          <cell r="F242" t="str">
            <v>PKWF</v>
          </cell>
        </row>
        <row r="243">
          <cell r="B243">
            <v>701530</v>
          </cell>
          <cell r="C243" t="str">
            <v>ｷﾘﾊﾞｲﾊﾙﾐﾆ 2 5P         300円</v>
          </cell>
          <cell r="D243" t="str">
            <v>862</v>
          </cell>
          <cell r="E243" t="str">
            <v>80AF</v>
          </cell>
          <cell r="F243" t="str">
            <v>PKWF</v>
          </cell>
        </row>
        <row r="244">
          <cell r="B244">
            <v>701548</v>
          </cell>
          <cell r="C244" t="str">
            <v>ｷﾘﾊﾞｲﾊﾙﾐﾆ 2 10P        600円</v>
          </cell>
          <cell r="D244" t="str">
            <v>857</v>
          </cell>
          <cell r="E244" t="str">
            <v>80AF</v>
          </cell>
          <cell r="F244" t="str">
            <v>PKWF</v>
          </cell>
        </row>
        <row r="245">
          <cell r="B245">
            <v>711438</v>
          </cell>
          <cell r="C245" t="str">
            <v>ｷﾘﾊﾞｲ ﾊﾙ ﾐﾆ 20P ITF    1200円</v>
          </cell>
          <cell r="D245">
            <v>22</v>
          </cell>
          <cell r="E245" t="str">
            <v>80AF</v>
          </cell>
          <cell r="F245" t="str">
            <v>PKWF</v>
          </cell>
        </row>
        <row r="246">
          <cell r="B246">
            <v>701564</v>
          </cell>
          <cell r="C246" t="str">
            <v>ｷﾘﾊﾞｲﾊﾙﾐﾆ 2 30Pﾌｸﾛ     1800円</v>
          </cell>
          <cell r="D246" t="str">
            <v>874</v>
          </cell>
          <cell r="E246" t="str">
            <v>80AF</v>
          </cell>
          <cell r="F246" t="str">
            <v>PKWF</v>
          </cell>
        </row>
        <row r="247">
          <cell r="B247">
            <v>701581</v>
          </cell>
          <cell r="C247" t="str">
            <v>ｷﾘﾊﾞｲﾊﾙﾐﾆ 2 30Pﾊｺ      1800円</v>
          </cell>
          <cell r="D247" t="str">
            <v>858</v>
          </cell>
          <cell r="E247" t="str">
            <v>80AF</v>
          </cell>
          <cell r="F247" t="str">
            <v>PKWF</v>
          </cell>
        </row>
        <row r="248">
          <cell r="B248">
            <v>709255</v>
          </cell>
          <cell r="C248" t="str">
            <v>ｷﾘﾊﾞｲﾊﾙﾐﾆ 2 10P-M      600円</v>
          </cell>
          <cell r="D248">
            <v>877</v>
          </cell>
          <cell r="E248" t="str">
            <v>80AF</v>
          </cell>
          <cell r="F248" t="str">
            <v>PKWF</v>
          </cell>
        </row>
        <row r="249">
          <cell r="B249">
            <v>711454</v>
          </cell>
          <cell r="C249" t="str">
            <v>ｷﾘﾊﾞｲ ﾊﾙ ﾐﾆ 5P ITF     300円</v>
          </cell>
          <cell r="D249">
            <v>2002</v>
          </cell>
          <cell r="E249" t="str">
            <v>80AF</v>
          </cell>
          <cell r="F249" t="str">
            <v>PKWF</v>
          </cell>
        </row>
        <row r="250">
          <cell r="B250">
            <v>711420</v>
          </cell>
          <cell r="C250" t="str">
            <v>ｷﾘﾊﾞｲ ﾊﾙ ﾐﾆ 10P ITF    600円</v>
          </cell>
          <cell r="D250">
            <v>21</v>
          </cell>
          <cell r="E250" t="str">
            <v>80AF</v>
          </cell>
          <cell r="F250" t="str">
            <v>PKWF</v>
          </cell>
        </row>
        <row r="251">
          <cell r="B251">
            <v>711446</v>
          </cell>
          <cell r="C251" t="str">
            <v>ｷﾘﾊﾞｲ ﾊﾙ ﾐﾆ 30P ﾊｺ ITF 1800円</v>
          </cell>
          <cell r="D251">
            <v>23</v>
          </cell>
          <cell r="E251" t="str">
            <v>80AF</v>
          </cell>
          <cell r="F251" t="str">
            <v>PKWF</v>
          </cell>
        </row>
        <row r="252">
          <cell r="B252">
            <v>701599</v>
          </cell>
          <cell r="C252" t="str">
            <v>ｷﾘﾊﾞｲﾊﾙｷﾘﾀﾞﾝﾎﾞﾐﾆ 10P   400円</v>
          </cell>
          <cell r="D252" t="str">
            <v>822</v>
          </cell>
          <cell r="E252" t="str">
            <v>80AF</v>
          </cell>
          <cell r="F252" t="str">
            <v>PKWF</v>
          </cell>
        </row>
        <row r="253">
          <cell r="B253">
            <v>701611</v>
          </cell>
          <cell r="C253" t="str">
            <v>ｷﾘﾊﾞｲﾊﾙｷﾘﾀﾞﾝﾎﾞﾐﾆ 2 10P 400円</v>
          </cell>
          <cell r="D253" t="str">
            <v>861</v>
          </cell>
          <cell r="E253" t="str">
            <v>80AF</v>
          </cell>
          <cell r="F253" t="str">
            <v>PKWF</v>
          </cell>
        </row>
        <row r="254">
          <cell r="B254">
            <v>701629</v>
          </cell>
          <cell r="C254" t="str">
            <v>ｷﾘﾊﾞｲﾊﾙｷﾘﾀﾞﾝﾎﾞﾐﾆ 2 30Pﾊ1200円</v>
          </cell>
          <cell r="D254" t="str">
            <v>865</v>
          </cell>
          <cell r="E254" t="str">
            <v>80AF</v>
          </cell>
          <cell r="F254" t="str">
            <v>PKWF</v>
          </cell>
        </row>
        <row r="255">
          <cell r="B255">
            <v>708216</v>
          </cell>
          <cell r="C255" t="str">
            <v>ｷﾘﾊﾞｲﾊﾙｷﾘﾀﾞﾝﾎﾞﾐﾆ 3 10P 400円</v>
          </cell>
          <cell r="D255" t="str">
            <v>888</v>
          </cell>
          <cell r="E255" t="str">
            <v>80AF</v>
          </cell>
          <cell r="F255" t="str">
            <v>PKWF</v>
          </cell>
        </row>
        <row r="256">
          <cell r="B256">
            <v>709204</v>
          </cell>
          <cell r="C256" t="str">
            <v>ｷﾘﾊﾞｲﾊﾙｷﾘﾀﾞﾝﾎﾞﾐﾆ 3 30Pﾊ1200円</v>
          </cell>
          <cell r="D256">
            <v>896</v>
          </cell>
          <cell r="E256" t="str">
            <v>80AF</v>
          </cell>
          <cell r="F256" t="str">
            <v>PKWF</v>
          </cell>
        </row>
        <row r="257">
          <cell r="B257">
            <v>711527</v>
          </cell>
          <cell r="C257" t="str">
            <v>ｷﾘﾊﾞｲﾊﾙﾀﾞﾝﾎﾞﾐﾆR 10P ITF400円</v>
          </cell>
          <cell r="D257" t="str">
            <v>34</v>
          </cell>
          <cell r="E257" t="str">
            <v>80AF</v>
          </cell>
          <cell r="F257" t="str">
            <v>PKWF</v>
          </cell>
        </row>
        <row r="258">
          <cell r="B258">
            <v>711535</v>
          </cell>
          <cell r="C258" t="str">
            <v>ｷﾘﾊﾞｲﾊﾙﾀﾞﾝﾎﾞﾐﾆR 30P ITF1200円</v>
          </cell>
          <cell r="D258" t="str">
            <v>35</v>
          </cell>
          <cell r="E258" t="str">
            <v>80AF</v>
          </cell>
          <cell r="F258" t="str">
            <v>PKWF</v>
          </cell>
        </row>
        <row r="259">
          <cell r="B259">
            <v>701637</v>
          </cell>
          <cell r="C259" t="str">
            <v>ﾊﾙﾎﾟﾂｶﾘｺﾐﾆ 2 10P       400円</v>
          </cell>
          <cell r="D259" t="str">
            <v>817</v>
          </cell>
          <cell r="E259" t="str">
            <v>80AF</v>
          </cell>
          <cell r="F259" t="str">
            <v>PKWF</v>
          </cell>
        </row>
        <row r="260">
          <cell r="B260">
            <v>701645</v>
          </cell>
          <cell r="C260" t="str">
            <v>ﾊﾙﾎﾟﾂｶﾘｺﾐﾆ 3 10P       400円</v>
          </cell>
          <cell r="D260" t="str">
            <v>875</v>
          </cell>
          <cell r="E260" t="str">
            <v>80AF</v>
          </cell>
          <cell r="F260" t="str">
            <v>PKWF</v>
          </cell>
        </row>
        <row r="261">
          <cell r="B261">
            <v>701670</v>
          </cell>
          <cell r="C261" t="str">
            <v>ﾊﾙﾀﾞﾝﾌﾞﾄﾝﾐﾆ 2 10P      400円</v>
          </cell>
          <cell r="D261" t="str">
            <v>876</v>
          </cell>
          <cell r="E261" t="str">
            <v>80AF</v>
          </cell>
          <cell r="F261" t="str">
            <v>PKWF</v>
          </cell>
        </row>
        <row r="262">
          <cell r="B262">
            <v>701688</v>
          </cell>
          <cell r="C262" t="str">
            <v>ﾊﾙｷﾘﾎﾂｶﾐﾆ 10P          400円</v>
          </cell>
          <cell r="D262" t="str">
            <v>810</v>
          </cell>
          <cell r="E262" t="str">
            <v>80AF</v>
          </cell>
          <cell r="F262" t="str">
            <v>PKWF</v>
          </cell>
        </row>
        <row r="263">
          <cell r="B263">
            <v>701696</v>
          </cell>
          <cell r="C263" t="str">
            <v>ﾊﾙｷﾘﾎﾂｶﾐﾆ 2 10P        400円</v>
          </cell>
          <cell r="D263" t="str">
            <v>867</v>
          </cell>
          <cell r="E263" t="str">
            <v>80AF</v>
          </cell>
          <cell r="F263" t="str">
            <v>PKWF</v>
          </cell>
        </row>
        <row r="264">
          <cell r="B264">
            <v>701700</v>
          </cell>
          <cell r="C264" t="str">
            <v>ｷﾘﾊﾞｲﾁｸﾀﾝﾊﾙﾐﾆ10P       700円</v>
          </cell>
          <cell r="D264" t="str">
            <v>824</v>
          </cell>
          <cell r="E264" t="str">
            <v>80AF</v>
          </cell>
          <cell r="F264" t="str">
            <v>PKWF(竹炭)</v>
          </cell>
        </row>
        <row r="265">
          <cell r="B265">
            <v>712647</v>
          </cell>
          <cell r="C265" t="str">
            <v>#ﾊﾙ ｷﾘﾉｽｹ ﾐﾆ 10P       400円</v>
          </cell>
          <cell r="D265">
            <v>6035</v>
          </cell>
          <cell r="E265" t="str">
            <v>80AF</v>
          </cell>
          <cell r="F265" t="str">
            <v>PKWF</v>
          </cell>
        </row>
        <row r="266">
          <cell r="B266">
            <v>712655</v>
          </cell>
          <cell r="C266" t="str">
            <v>#ﾊﾙ ｷﾘﾉｽｹ ﾐﾆ 30P       1200円</v>
          </cell>
          <cell r="D266">
            <v>6036</v>
          </cell>
          <cell r="E266" t="str">
            <v>80AF</v>
          </cell>
          <cell r="F266" t="str">
            <v>PKWF</v>
          </cell>
        </row>
        <row r="267">
          <cell r="B267">
            <v>703206</v>
          </cell>
          <cell r="C267" t="str">
            <v>JUSTEYEﾊﾙﾎﾂﾄｳｵ-ﾏ-ﾐﾆ 10P0円</v>
          </cell>
          <cell r="D267" t="str">
            <v>851</v>
          </cell>
          <cell r="E267" t="str">
            <v>80AF</v>
          </cell>
          <cell r="F267" t="str">
            <v>PKWF</v>
          </cell>
        </row>
        <row r="268">
          <cell r="B268">
            <v>703214</v>
          </cell>
          <cell r="C268" t="str">
            <v>JUSTEYEﾊﾙﾎﾂﾄｳｵ-ﾏ-ﾐﾆ 30P0円</v>
          </cell>
          <cell r="D268" t="str">
            <v>852</v>
          </cell>
          <cell r="E268" t="str">
            <v>80AF</v>
          </cell>
          <cell r="F268" t="str">
            <v>PKWF</v>
          </cell>
        </row>
        <row r="269">
          <cell r="B269">
            <v>708704</v>
          </cell>
          <cell r="C269" t="str">
            <v>ﾊﾙﾎﾂﾄｳｵ-ﾏ-Kﾐﾆ 2 10P    0円</v>
          </cell>
          <cell r="D269" t="str">
            <v>892</v>
          </cell>
          <cell r="E269" t="str">
            <v>80AF</v>
          </cell>
          <cell r="F269" t="str">
            <v>PKWF</v>
          </cell>
        </row>
        <row r="270">
          <cell r="B270">
            <v>708712</v>
          </cell>
          <cell r="C270" t="str">
            <v>ﾊﾙﾎﾂﾄｳｵ-ﾏ-Kﾐﾆ 2 30P    0円</v>
          </cell>
          <cell r="D270" t="str">
            <v>893</v>
          </cell>
          <cell r="E270" t="str">
            <v>80AF</v>
          </cell>
          <cell r="F270" t="str">
            <v>PKWF</v>
          </cell>
        </row>
        <row r="271">
          <cell r="B271">
            <v>711250</v>
          </cell>
          <cell r="C271" t="str">
            <v>ｺ-ﾌﾟｽ ﾊﾙ ﾐﾆ 10P ITF    400円</v>
          </cell>
          <cell r="D271" t="str">
            <v>669</v>
          </cell>
          <cell r="E271" t="str">
            <v>80AF</v>
          </cell>
          <cell r="F271" t="str">
            <v>PKWF</v>
          </cell>
        </row>
        <row r="272">
          <cell r="B272">
            <v>711241</v>
          </cell>
          <cell r="C272" t="str">
            <v>ｺ-ﾌﾟｽ ﾊﾙ ﾐﾆ 30P ITF    1200円</v>
          </cell>
          <cell r="D272" t="str">
            <v>899</v>
          </cell>
          <cell r="E272" t="str">
            <v>80AF</v>
          </cell>
          <cell r="F272" t="str">
            <v>PKWF</v>
          </cell>
        </row>
        <row r="273">
          <cell r="B273">
            <v>706604</v>
          </cell>
          <cell r="C273" t="str">
            <v>ｲﾙｲﾆﾊﾙｶｲﾛﾐﾆ 10P        0円</v>
          </cell>
          <cell r="D273" t="str">
            <v>855</v>
          </cell>
          <cell r="E273" t="str">
            <v>80AF</v>
          </cell>
          <cell r="F273" t="str">
            <v>PKWF</v>
          </cell>
        </row>
        <row r="274">
          <cell r="B274">
            <v>712442</v>
          </cell>
          <cell r="C274" t="str">
            <v>#ｶｲﾝｽﾞ ﾊﾙ ﾐﾆ 10P       400円</v>
          </cell>
          <cell r="D274" t="str">
            <v>6016</v>
          </cell>
          <cell r="E274" t="str">
            <v>80AF</v>
          </cell>
          <cell r="F274" t="str">
            <v>PKWF</v>
          </cell>
        </row>
        <row r="275">
          <cell r="B275">
            <v>712451</v>
          </cell>
          <cell r="C275" t="str">
            <v>#ｶｲﾝｽﾞ ﾊﾙ ﾐﾆ 30P       1200円</v>
          </cell>
          <cell r="D275" t="str">
            <v>6017</v>
          </cell>
          <cell r="E275" t="str">
            <v>80AF</v>
          </cell>
          <cell r="F275" t="str">
            <v>PKWF</v>
          </cell>
        </row>
        <row r="276">
          <cell r="B276">
            <v>703133</v>
          </cell>
          <cell r="C276" t="str">
            <v>ｺ-ﾅﾝﾊﾙﾍﾟﾁｶﾐﾆ 2 10P     400円</v>
          </cell>
          <cell r="D276" t="str">
            <v>826</v>
          </cell>
          <cell r="E276" t="str">
            <v>80AF</v>
          </cell>
          <cell r="F276" t="str">
            <v>PKWF</v>
          </cell>
        </row>
        <row r="277">
          <cell r="B277">
            <v>703150</v>
          </cell>
          <cell r="C277" t="str">
            <v>ｺ-ﾅﾝﾊﾙﾍﾟﾁｶﾐﾆ 3 10P     400円</v>
          </cell>
          <cell r="D277" t="str">
            <v>863</v>
          </cell>
          <cell r="E277" t="str">
            <v>80AF</v>
          </cell>
          <cell r="F277" t="str">
            <v>PKWF</v>
          </cell>
        </row>
        <row r="278">
          <cell r="B278">
            <v>703168</v>
          </cell>
          <cell r="C278" t="str">
            <v>ｺ-ﾅﾝﾊﾙﾍﾟﾁｶﾐﾆ 3 30P     1円</v>
          </cell>
          <cell r="D278" t="str">
            <v>864</v>
          </cell>
          <cell r="E278" t="str">
            <v>80AF</v>
          </cell>
          <cell r="F278" t="str">
            <v>PKWF</v>
          </cell>
        </row>
        <row r="279">
          <cell r="B279">
            <v>712566</v>
          </cell>
          <cell r="C279" t="str">
            <v>#ﾊﾙｲﾁﾊﾞﾝ ﾊﾙ ﾐﾆ 10P     400円</v>
          </cell>
          <cell r="D279">
            <v>6024</v>
          </cell>
          <cell r="E279" t="str">
            <v>80AF</v>
          </cell>
          <cell r="F279" t="str">
            <v>PKWF</v>
          </cell>
        </row>
        <row r="280">
          <cell r="B280">
            <v>712574</v>
          </cell>
          <cell r="C280" t="str">
            <v>#ﾊﾙｲﾁﾊﾞﾝ ﾊﾙ ﾐﾆ 30P     1200円</v>
          </cell>
          <cell r="D280">
            <v>6025</v>
          </cell>
          <cell r="E280" t="str">
            <v>80AF</v>
          </cell>
          <cell r="F280" t="str">
            <v>PKWF</v>
          </cell>
        </row>
        <row r="281">
          <cell r="B281">
            <v>701807</v>
          </cell>
          <cell r="C281" t="str">
            <v>DNﾃﾞｲﾘ-ﾆ-ｽﾞﾊﾙﾐﾆ 10P    400円</v>
          </cell>
          <cell r="D281" t="str">
            <v>813</v>
          </cell>
          <cell r="E281" t="str">
            <v>80AF</v>
          </cell>
          <cell r="F281" t="str">
            <v>PKWF</v>
          </cell>
        </row>
        <row r="282">
          <cell r="B282">
            <v>708119</v>
          </cell>
          <cell r="C282" t="str">
            <v>DNﾃﾞｲﾘ-ﾆ-ｽﾞﾊﾙﾐﾆ 3 10P  400円</v>
          </cell>
          <cell r="D282">
            <v>886</v>
          </cell>
          <cell r="E282" t="str">
            <v>80AF</v>
          </cell>
          <cell r="F282" t="str">
            <v>PKWF</v>
          </cell>
        </row>
        <row r="283">
          <cell r="B283">
            <v>710954</v>
          </cell>
          <cell r="C283" t="str">
            <v>ｶｲﾛﾔｻﾝﾉ ﾊﾙ ﾐﾆ 10P      400円</v>
          </cell>
          <cell r="D283" t="str">
            <v>670</v>
          </cell>
          <cell r="E283" t="str">
            <v>80AF</v>
          </cell>
          <cell r="F283" t="str">
            <v>PKWF</v>
          </cell>
        </row>
        <row r="284">
          <cell r="B284">
            <v>710962</v>
          </cell>
          <cell r="C284" t="str">
            <v>ｶｲﾛﾔｻﾝﾉ ﾊﾙ ﾐﾆ 30P      0円</v>
          </cell>
          <cell r="D284" t="str">
            <v>947</v>
          </cell>
          <cell r="E284" t="str">
            <v>80AF</v>
          </cell>
          <cell r="F284" t="str">
            <v>PKWF</v>
          </cell>
        </row>
        <row r="285">
          <cell r="B285">
            <v>703222</v>
          </cell>
          <cell r="C285" t="str">
            <v>ﾊﾙﾀﾞﾝﾉｽｹﾐﾆ 10P ｼﾞﾕﾂｼﾔｶｲ500円</v>
          </cell>
          <cell r="D285" t="str">
            <v>844</v>
          </cell>
          <cell r="E285" t="str">
            <v>80AF</v>
          </cell>
          <cell r="F285" t="str">
            <v>PKWF</v>
          </cell>
        </row>
        <row r="286">
          <cell r="B286">
            <v>703249</v>
          </cell>
          <cell r="C286" t="str">
            <v>ﾊﾙﾀﾞﾝﾉｽｹﾐﾆ 2 30Pｼﾞﾕﾂｼﾔｶ1500円</v>
          </cell>
          <cell r="D286" t="str">
            <v>883</v>
          </cell>
          <cell r="E286" t="str">
            <v>80AF</v>
          </cell>
          <cell r="F286" t="str">
            <v>PKWF</v>
          </cell>
        </row>
        <row r="287">
          <cell r="B287">
            <v>711284</v>
          </cell>
          <cell r="C287" t="str">
            <v>ﾊﾙ ﾀﾞﾝﾉｽｹ ﾐﾆ J 10P ITF 500円</v>
          </cell>
          <cell r="D287">
            <v>950</v>
          </cell>
          <cell r="E287" t="str">
            <v>80AF</v>
          </cell>
          <cell r="F287" t="str">
            <v>PKWF</v>
          </cell>
        </row>
        <row r="288">
          <cell r="B288">
            <v>711292</v>
          </cell>
          <cell r="C288" t="str">
            <v>ﾊﾙ ﾀﾞﾝﾉｽｹ ﾐﾆ J 30P ITF 1500円</v>
          </cell>
          <cell r="D288">
            <v>951</v>
          </cell>
          <cell r="E288" t="str">
            <v>80AF</v>
          </cell>
          <cell r="F288" t="str">
            <v>PKWF</v>
          </cell>
        </row>
        <row r="289">
          <cell r="B289">
            <v>703257</v>
          </cell>
          <cell r="C289" t="str">
            <v>ﾊﾙﾎﾂﾄｽﾙﾈﾐﾆ10P          0円</v>
          </cell>
          <cell r="D289" t="str">
            <v>847</v>
          </cell>
          <cell r="E289" t="str">
            <v>80AF</v>
          </cell>
          <cell r="F289" t="str">
            <v>PKWF</v>
          </cell>
        </row>
        <row r="290">
          <cell r="B290">
            <v>712370</v>
          </cell>
          <cell r="C290" t="str">
            <v>#ﾎﾂﾄｽﾙﾈ ﾊﾙ ﾐﾆ 10P      400円</v>
          </cell>
          <cell r="D290">
            <v>6004</v>
          </cell>
          <cell r="E290" t="str">
            <v>80AF</v>
          </cell>
          <cell r="F290" t="str">
            <v>PKWF</v>
          </cell>
        </row>
        <row r="291">
          <cell r="B291">
            <v>703281</v>
          </cell>
          <cell r="C291" t="str">
            <v>ﾊﾙｼﾞﾂﾌﾟｶｲﾛﾐﾆ 10P       0円</v>
          </cell>
          <cell r="D291" t="str">
            <v>848</v>
          </cell>
          <cell r="E291" t="str">
            <v>80AF</v>
          </cell>
          <cell r="F291" t="str">
            <v>PKWF</v>
          </cell>
        </row>
        <row r="292">
          <cell r="B292">
            <v>703303</v>
          </cell>
          <cell r="C292" t="str">
            <v>ﾊﾙｼﾞﾂﾌﾟｶｲﾛﾐﾆ 2 30P     0円</v>
          </cell>
          <cell r="D292" t="str">
            <v>871</v>
          </cell>
          <cell r="E292" t="str">
            <v>80AF</v>
          </cell>
          <cell r="F292" t="str">
            <v>PKWF</v>
          </cell>
        </row>
        <row r="293">
          <cell r="B293">
            <v>703320</v>
          </cell>
          <cell r="C293" t="str">
            <v>ﾎﾟｶﾎﾟｶﾗｲﾌﾊﾙﾐﾆ10P       0円</v>
          </cell>
          <cell r="D293" t="str">
            <v>-</v>
          </cell>
          <cell r="E293" t="str">
            <v>80AF</v>
          </cell>
          <cell r="F293" t="str">
            <v>PKWF</v>
          </cell>
        </row>
        <row r="294">
          <cell r="B294">
            <v>712094</v>
          </cell>
          <cell r="C294" t="str">
            <v>プリポカ　ほんわかくまのプーサン5P　</v>
          </cell>
          <cell r="D294">
            <v>394</v>
          </cell>
          <cell r="E294" t="str">
            <v>80AF</v>
          </cell>
          <cell r="F294" t="str">
            <v>PKWF</v>
          </cell>
        </row>
        <row r="295">
          <cell r="B295">
            <v>701840</v>
          </cell>
          <cell r="C295" t="str">
            <v>ｸﾂｼﾀ(ﾍﾞ-ｼﾞﾕ )5P        500円</v>
          </cell>
          <cell r="D295" t="str">
            <v>914</v>
          </cell>
          <cell r="E295" t="str">
            <v>MR2</v>
          </cell>
          <cell r="F295" t="str">
            <v>PKWF(消臭)</v>
          </cell>
        </row>
        <row r="296">
          <cell r="B296">
            <v>703371</v>
          </cell>
          <cell r="C296" t="str">
            <v>ｸﾂｼﾀ(ﾍﾞ-ｼﾞﾕ) 2 5P      500円</v>
          </cell>
          <cell r="D296" t="str">
            <v>921</v>
          </cell>
          <cell r="E296" t="str">
            <v>MR2</v>
          </cell>
          <cell r="F296" t="str">
            <v>PKWF(消臭)</v>
          </cell>
        </row>
        <row r="297">
          <cell r="B297">
            <v>701858</v>
          </cell>
          <cell r="C297" t="str">
            <v>ｸﾂｼﾀ(ﾍﾞ-ｼﾞﾕ) 2 15P     1500円</v>
          </cell>
          <cell r="D297" t="str">
            <v>922</v>
          </cell>
          <cell r="E297" t="str">
            <v>MR2</v>
          </cell>
          <cell r="F297" t="str">
            <v>PKWF(消臭)</v>
          </cell>
        </row>
        <row r="298">
          <cell r="B298">
            <v>703389</v>
          </cell>
          <cell r="C298" t="str">
            <v>ｸﾂｼﾀ(ﾍﾞ-ｼﾞﾕ) 2 30P     3000円</v>
          </cell>
          <cell r="D298" t="str">
            <v>933</v>
          </cell>
          <cell r="E298" t="str">
            <v>MR2</v>
          </cell>
          <cell r="F298" t="str">
            <v>PKWF(消臭)</v>
          </cell>
        </row>
        <row r="299">
          <cell r="B299">
            <v>706353</v>
          </cell>
          <cell r="C299" t="str">
            <v>ﾊﾙ ｸﾂｼﾀ ﾍﾞ-ｼﾞﾕ 3 15P ﾊｺ1500円</v>
          </cell>
          <cell r="D299">
            <v>936</v>
          </cell>
          <cell r="E299" t="str">
            <v>MR2</v>
          </cell>
          <cell r="F299" t="str">
            <v>PKWF(消臭)</v>
          </cell>
        </row>
        <row r="300">
          <cell r="B300">
            <v>703397</v>
          </cell>
          <cell r="C300" t="str">
            <v>ｸﾂｼﾀ(ｸﾛ) 2 5P          500円</v>
          </cell>
          <cell r="D300" t="str">
            <v>923</v>
          </cell>
          <cell r="E300" t="str">
            <v>MR2</v>
          </cell>
          <cell r="F300" t="str">
            <v>PKWF(消臭)</v>
          </cell>
        </row>
        <row r="301">
          <cell r="B301">
            <v>706388</v>
          </cell>
          <cell r="C301" t="str">
            <v>ｸﾂｼﾀ(ｸﾛ) 3 15P         1500円</v>
          </cell>
          <cell r="D301">
            <v>937</v>
          </cell>
          <cell r="E301" t="str">
            <v>MR2</v>
          </cell>
          <cell r="F301" t="str">
            <v>PKWF(消臭)</v>
          </cell>
        </row>
        <row r="302">
          <cell r="B302">
            <v>703401</v>
          </cell>
          <cell r="C302" t="str">
            <v>ｸﾂ(ﾍﾞ-ｼﾞﾕ)  2 5P       500円</v>
          </cell>
          <cell r="D302" t="str">
            <v>927</v>
          </cell>
          <cell r="E302" t="str">
            <v>MR2</v>
          </cell>
          <cell r="F302" t="str">
            <v>PKWF(消臭)</v>
          </cell>
        </row>
        <row r="303">
          <cell r="B303">
            <v>706396</v>
          </cell>
          <cell r="C303" t="str">
            <v>ｸﾂ(ﾍﾞ-ｼﾞﾕ)  3 15P      1500円</v>
          </cell>
          <cell r="D303">
            <v>938</v>
          </cell>
          <cell r="E303" t="str">
            <v>MR2</v>
          </cell>
          <cell r="F303" t="str">
            <v>PKWF(消臭)</v>
          </cell>
        </row>
        <row r="304">
          <cell r="B304">
            <v>703443</v>
          </cell>
          <cell r="C304" t="str">
            <v>ｳｴｶﾗﾊﾙｸﾂｼﾀﾖｳ 2 5P      500円</v>
          </cell>
          <cell r="D304" t="str">
            <v>926</v>
          </cell>
          <cell r="E304" t="str">
            <v>MR2</v>
          </cell>
          <cell r="F304" t="str">
            <v>PKWF(消臭)</v>
          </cell>
        </row>
        <row r="305">
          <cell r="B305">
            <v>703451</v>
          </cell>
          <cell r="C305" t="str">
            <v>ｸﾂｼﾀﾂﾏｻｷｵｵﾊﾞﾝ 3P       380円</v>
          </cell>
          <cell r="D305" t="str">
            <v>320</v>
          </cell>
          <cell r="E305" t="str">
            <v>MR2</v>
          </cell>
          <cell r="F305" t="str">
            <v>PKWF(消臭)</v>
          </cell>
        </row>
        <row r="306">
          <cell r="B306">
            <v>703460</v>
          </cell>
          <cell r="C306" t="str">
            <v>ｸﾂﾂﾏｻｷｵｵﾊﾞﾝ 3P         380円</v>
          </cell>
          <cell r="D306" t="str">
            <v>319</v>
          </cell>
          <cell r="E306" t="str">
            <v>MR2</v>
          </cell>
          <cell r="F306" t="str">
            <v>PKWF(消臭)</v>
          </cell>
        </row>
        <row r="307">
          <cell r="B307">
            <v>708763</v>
          </cell>
          <cell r="C307" t="str">
            <v>ﾎﾂﾄｳｵ-ﾏ-K 2 ｸﾂｼﾀ5P     0円</v>
          </cell>
          <cell r="D307">
            <v>943</v>
          </cell>
          <cell r="E307" t="str">
            <v>MR2</v>
          </cell>
          <cell r="F307" t="str">
            <v>PKWF</v>
          </cell>
        </row>
        <row r="308">
          <cell r="B308">
            <v>708101</v>
          </cell>
          <cell r="C308" t="str">
            <v>DNﾃﾞｲﾘ-ﾆ-ｽﾞｸﾂｼﾀ 2 5P   500円</v>
          </cell>
          <cell r="D308">
            <v>941</v>
          </cell>
          <cell r="E308" t="str">
            <v>MR2</v>
          </cell>
          <cell r="F308" t="str">
            <v>PKWF</v>
          </cell>
        </row>
        <row r="309">
          <cell r="B309">
            <v>710971</v>
          </cell>
          <cell r="C309" t="str">
            <v>ｶｲﾛﾔｻﾝﾉ ﾊﾙ ｸﾂｼﾀﾖｳ 5P   500円</v>
          </cell>
          <cell r="D309">
            <v>945</v>
          </cell>
          <cell r="E309" t="str">
            <v>MR2</v>
          </cell>
          <cell r="F309" t="str">
            <v>PKWF</v>
          </cell>
        </row>
        <row r="310">
          <cell r="B310">
            <v>703478</v>
          </cell>
          <cell r="C310" t="str">
            <v>ﾎﾟｶﾎﾟｶﾗｲﾌｸﾂｼﾀ5P        0円</v>
          </cell>
          <cell r="D310" t="str">
            <v>-</v>
          </cell>
          <cell r="E310" t="str">
            <v>MR2</v>
          </cell>
          <cell r="F310" t="str">
            <v>PKWF</v>
          </cell>
        </row>
        <row r="311">
          <cell r="B311">
            <v>708771</v>
          </cell>
          <cell r="C311" t="str">
            <v>ｺ-ﾅﾝｷﾘﾍﾟﾁｶｸﾂｼﾀ 20P ﾍﾞ-ｼ0円</v>
          </cell>
          <cell r="D311">
            <v>942</v>
          </cell>
          <cell r="E311" t="str">
            <v>MR2</v>
          </cell>
          <cell r="F311" t="str">
            <v>PKWF</v>
          </cell>
        </row>
        <row r="312">
          <cell r="B312">
            <v>711195</v>
          </cell>
          <cell r="C312" t="str">
            <v>ｺ-ﾅﾝ ｷﾘﾍﾟﾁｶ ｸﾂﾖｳ 20P   0円</v>
          </cell>
          <cell r="D312" t="str">
            <v>944</v>
          </cell>
          <cell r="E312" t="str">
            <v>MR2</v>
          </cell>
          <cell r="F312" t="str">
            <v>PKWF</v>
          </cell>
        </row>
        <row r="313">
          <cell r="B313">
            <v>207934</v>
          </cell>
          <cell r="C313" t="str">
            <v>E.K ﾊﾙ ｸﾂｼﾀ 5P GL      0円</v>
          </cell>
          <cell r="D313">
            <v>940</v>
          </cell>
          <cell r="E313" t="str">
            <v>MR2</v>
          </cell>
          <cell r="F313" t="str">
            <v>PKWF</v>
          </cell>
        </row>
        <row r="314">
          <cell r="B314">
            <v>152188</v>
          </cell>
          <cell r="C314" t="str">
            <v>E.Kﾋ-ﾄﾌｱｸﾄﾘ-ﾄｳ ﾊﾙｸﾂｼﾀ  0円</v>
          </cell>
          <cell r="D314" t="str">
            <v>-</v>
          </cell>
          <cell r="E314" t="str">
            <v>MR2</v>
          </cell>
          <cell r="F314" t="str">
            <v>PKWF(KCL･消臭)</v>
          </cell>
        </row>
        <row r="315">
          <cell r="B315">
            <v>193577</v>
          </cell>
          <cell r="C315" t="str">
            <v>E.TOASTI TOES/ENG.CD   0円</v>
          </cell>
          <cell r="D315">
            <v>1713</v>
          </cell>
          <cell r="E315" t="str">
            <v>MR2</v>
          </cell>
          <cell r="F315" t="str">
            <v>PKWF(KCL･消臭)</v>
          </cell>
        </row>
        <row r="316">
          <cell r="B316">
            <v>199362</v>
          </cell>
          <cell r="C316" t="str">
            <v>E.K HCT(3) 5P          0円</v>
          </cell>
          <cell r="D316" t="str">
            <v>-</v>
          </cell>
          <cell r="E316" t="str">
            <v>MR2</v>
          </cell>
          <cell r="F316" t="str">
            <v>PKWF(消臭)</v>
          </cell>
        </row>
        <row r="317">
          <cell r="B317">
            <v>168289</v>
          </cell>
          <cell r="C317" t="str">
            <v>E.Kﾋ-ﾄﾌｱｸﾄﾘ-ﾄｳ ｶﾅﾀﾞ    0円</v>
          </cell>
          <cell r="D317" t="str">
            <v>-</v>
          </cell>
          <cell r="E317" t="str">
            <v>MR2</v>
          </cell>
          <cell r="F317" t="str">
            <v>PKWF(KCL)</v>
          </cell>
        </row>
        <row r="318">
          <cell r="B318">
            <v>193593</v>
          </cell>
          <cell r="C318" t="str">
            <v>E.TOASTI TOES/ENG-SPAN 0円</v>
          </cell>
          <cell r="D318">
            <v>1715</v>
          </cell>
          <cell r="E318" t="str">
            <v>MR2</v>
          </cell>
          <cell r="F318" t="str">
            <v>PKWF(KCL･消臭)</v>
          </cell>
        </row>
        <row r="319">
          <cell r="B319">
            <v>193585</v>
          </cell>
          <cell r="C319" t="str">
            <v>E.TOASTITOES/ENG-FREB5P0円</v>
          </cell>
          <cell r="D319">
            <v>1714</v>
          </cell>
          <cell r="E319" t="str">
            <v>MR2</v>
          </cell>
          <cell r="F319" t="str">
            <v>PKWF(KCL･消臭)</v>
          </cell>
        </row>
        <row r="320">
          <cell r="B320">
            <v>193682</v>
          </cell>
          <cell r="C320" t="str">
            <v>E.TOASTI TOES/ENG.B 5P 0円</v>
          </cell>
          <cell r="D320">
            <v>1717</v>
          </cell>
          <cell r="E320" t="str">
            <v>MR2</v>
          </cell>
          <cell r="F320" t="str">
            <v>PKWF(消臭)</v>
          </cell>
        </row>
        <row r="321">
          <cell r="B321">
            <v>702005</v>
          </cell>
          <cell r="C321" t="str">
            <v>ｸﾂｼﾀﾛﾝｸﾞｻｲｽﾞｸﾛ 3P      450円</v>
          </cell>
          <cell r="D321" t="str">
            <v>925</v>
          </cell>
        </row>
        <row r="322">
          <cell r="B322">
            <v>702013</v>
          </cell>
          <cell r="C322" t="str">
            <v>ｸﾂﾛﾝｸﾞｻｲｽﾞ.ﾍﾞ-ｼﾞﾕ 3P   450円</v>
          </cell>
          <cell r="D322" t="str">
            <v>929</v>
          </cell>
        </row>
        <row r="323">
          <cell r="B323">
            <v>703575</v>
          </cell>
          <cell r="C323" t="str">
            <v>ｸﾂﾛﾝｸﾞｻｲｽﾞ.ﾍﾞ-ｼﾞﾕ 12P  1800円</v>
          </cell>
          <cell r="D323" t="str">
            <v>934</v>
          </cell>
        </row>
        <row r="324">
          <cell r="B324">
            <v>702021</v>
          </cell>
          <cell r="C324" t="str">
            <v>ﾚﾃﾞｲｳｵ-ﾏ-5P            250円</v>
          </cell>
          <cell r="D324" t="str">
            <v>838</v>
          </cell>
          <cell r="E324" t="str">
            <v>80AF</v>
          </cell>
          <cell r="F324" t="str">
            <v>PKWF(消臭)</v>
          </cell>
        </row>
        <row r="325">
          <cell r="B325">
            <v>703621</v>
          </cell>
          <cell r="C325" t="str">
            <v>ｹﾂﾘﾕｳｶｲｾﾞﾝｺｼﾎﾂﾄﾝ 2 5P  450円</v>
          </cell>
          <cell r="D325" t="str">
            <v>253</v>
          </cell>
          <cell r="E325" t="str">
            <v>MR2</v>
          </cell>
          <cell r="F325" t="str">
            <v>PKF</v>
          </cell>
        </row>
        <row r="326">
          <cell r="B326">
            <v>711705</v>
          </cell>
          <cell r="C326" t="str">
            <v>ｹﾂﾘﾕｳ ｶｲｾﾞﾝ ｺｼﾎﾂﾄﾝ 5P# 450円</v>
          </cell>
          <cell r="D326">
            <v>51</v>
          </cell>
          <cell r="E326" t="str">
            <v>MR2</v>
          </cell>
          <cell r="F326" t="str">
            <v>PKF</v>
          </cell>
        </row>
        <row r="327">
          <cell r="B327">
            <v>703681</v>
          </cell>
          <cell r="C327" t="str">
            <v>ｹﾂﾘﾕｳｶｲｾﾞﾝｶﾀﾎﾂﾄﾝ 2 8P  550円</v>
          </cell>
          <cell r="D327" t="str">
            <v>252</v>
          </cell>
          <cell r="E327" t="str">
            <v>80AF</v>
          </cell>
          <cell r="F327" t="str">
            <v>PKWF</v>
          </cell>
        </row>
        <row r="328">
          <cell r="B328">
            <v>194051</v>
          </cell>
          <cell r="C328" t="str">
            <v>E.C&amp;DBACKWARMER3CELL10P0円</v>
          </cell>
          <cell r="D328">
            <v>1720</v>
          </cell>
          <cell r="E328" t="str">
            <v>80AF</v>
          </cell>
          <cell r="F328" t="str">
            <v>PKWF</v>
          </cell>
        </row>
        <row r="329">
          <cell r="B329">
            <v>703702</v>
          </cell>
          <cell r="C329" t="str">
            <v>ｹﾂﾘﾕｳｶｲｾﾞﾝﾋｻﾞﾎﾂﾄﾝ ﾄﾘｶｴ 550円</v>
          </cell>
          <cell r="D329" t="str">
            <v>197</v>
          </cell>
          <cell r="E329" t="str">
            <v>80AF</v>
          </cell>
          <cell r="F329" t="str">
            <v>PKF</v>
          </cell>
        </row>
        <row r="330">
          <cell r="B330">
            <v>711721</v>
          </cell>
          <cell r="C330" t="str">
            <v>ｹﾂﾘﾕｳﾋｻﾞﾎﾂﾄﾝﾄﾘｶｴﾖｳ 20P#550円</v>
          </cell>
          <cell r="D330">
            <v>53</v>
          </cell>
          <cell r="E330" t="str">
            <v>80AF</v>
          </cell>
          <cell r="F330" t="str">
            <v>PKF</v>
          </cell>
        </row>
        <row r="331">
          <cell r="B331">
            <v>704601</v>
          </cell>
          <cell r="C331" t="str">
            <v>ｹﾂﾘﾕｳｶｲｾﾞﾝﾋｻﾞﾎﾂﾄﾝ 2 6P 550円</v>
          </cell>
          <cell r="D331" t="str">
            <v>254</v>
          </cell>
          <cell r="E331" t="str">
            <v>80AF</v>
          </cell>
          <cell r="F331" t="str">
            <v>PKF</v>
          </cell>
        </row>
        <row r="332">
          <cell r="B332">
            <v>711713</v>
          </cell>
          <cell r="C332" t="str">
            <v>ｹﾂﾘﾕｳ ｶｲｾﾞﾝ ﾋｻﾞﾎﾂﾄﾝ 6P#550円</v>
          </cell>
          <cell r="D332">
            <v>52</v>
          </cell>
          <cell r="E332" t="str">
            <v>80AF</v>
          </cell>
          <cell r="F332" t="str">
            <v>PKF</v>
          </cell>
        </row>
        <row r="333">
          <cell r="B333">
            <v>704636</v>
          </cell>
          <cell r="C333" t="str">
            <v>ｹﾂﾘﾕｳｶｲｾﾞﾝｸﾋﾞﾎﾂﾄﾝ 3P   880円</v>
          </cell>
          <cell r="D333" t="str">
            <v>250</v>
          </cell>
          <cell r="E333" t="str">
            <v>80AF</v>
          </cell>
          <cell r="F333" t="str">
            <v>PKF</v>
          </cell>
        </row>
        <row r="334">
          <cell r="B334">
            <v>704644</v>
          </cell>
          <cell r="C334" t="str">
            <v>ｹﾂﾘﾕｳｶｲｾﾞﾝｸﾋﾞﾎﾂﾄﾝﾄﾘｶｴ 8340円</v>
          </cell>
          <cell r="D334" t="str">
            <v>251</v>
          </cell>
          <cell r="E334" t="str">
            <v>80AF</v>
          </cell>
          <cell r="F334" t="str">
            <v>PKF</v>
          </cell>
        </row>
        <row r="335">
          <cell r="B335">
            <v>708445</v>
          </cell>
          <cell r="C335" t="str">
            <v>ﾏｷﾎﾟｶﾄﾘｶｴ 2 10P        340円</v>
          </cell>
          <cell r="D335">
            <v>426</v>
          </cell>
          <cell r="E335" t="str">
            <v>80AF</v>
          </cell>
          <cell r="F335" t="str">
            <v>PKWF</v>
          </cell>
        </row>
        <row r="336">
          <cell r="B336">
            <v>708453</v>
          </cell>
          <cell r="C336" t="str">
            <v>ﾏｷﾎﾟｶｱｼｸﾋﾞ 2 4P          780円</v>
          </cell>
          <cell r="D336">
            <v>425</v>
          </cell>
          <cell r="E336" t="str">
            <v>80AF</v>
          </cell>
          <cell r="F336" t="str">
            <v>PKWF</v>
          </cell>
        </row>
        <row r="337">
          <cell r="B337">
            <v>704709</v>
          </cell>
          <cell r="C337" t="str">
            <v>ｽﾁ-ﾑｱｼﾕ 4P             3300円</v>
          </cell>
          <cell r="D337" t="str">
            <v>297</v>
          </cell>
        </row>
        <row r="338">
          <cell r="B338">
            <v>703711</v>
          </cell>
          <cell r="C338" t="str">
            <v>ｽﾁ-ﾑｱｼﾕﾄﾘｶｴ 14P        880円</v>
          </cell>
          <cell r="D338" t="str">
            <v>298</v>
          </cell>
        </row>
        <row r="339">
          <cell r="B339">
            <v>708011</v>
          </cell>
          <cell r="C339" t="str">
            <v>ｹﾂﾘﾕｳｶｲｾﾞﾝｺﾘﾎｸﾞｼ-ﾄｶﾀﾖｳ 780円</v>
          </cell>
          <cell r="D339">
            <v>255</v>
          </cell>
          <cell r="E339" t="str">
            <v>80AF</v>
          </cell>
          <cell r="F339" t="str">
            <v>PKF</v>
          </cell>
        </row>
        <row r="340">
          <cell r="B340">
            <v>711659</v>
          </cell>
          <cell r="C340" t="str">
            <v>ｹﾂﾘﾕｳｶｲｾﾞﾝﾊﾀﾞﾆﾊﾙｶﾀﾖｳ 6P780円</v>
          </cell>
          <cell r="D340">
            <v>184</v>
          </cell>
          <cell r="E340" t="str">
            <v>80AF</v>
          </cell>
          <cell r="F340" t="str">
            <v>PKF</v>
          </cell>
        </row>
        <row r="341">
          <cell r="B341">
            <v>709379</v>
          </cell>
          <cell r="C341" t="str">
            <v>ﾊﾀﾞﾆﾊﾙｺﾘﾎｸﾞｼ-ﾄ ｺｼﾖｳ 1P 0円</v>
          </cell>
          <cell r="D341">
            <v>258</v>
          </cell>
          <cell r="E341" t="str">
            <v>MR2</v>
          </cell>
          <cell r="F341" t="str">
            <v>PKF</v>
          </cell>
        </row>
        <row r="342">
          <cell r="B342">
            <v>708020</v>
          </cell>
          <cell r="C342" t="str">
            <v>ｹﾂﾘﾕｳｶｲｾﾞﾝｺﾘﾎｸﾞｼ-ﾄｺｼﾖｳ 720円</v>
          </cell>
          <cell r="D342" t="str">
            <v>257</v>
          </cell>
          <cell r="E342" t="str">
            <v>MR2</v>
          </cell>
          <cell r="F342" t="str">
            <v>PKF</v>
          </cell>
        </row>
        <row r="343">
          <cell r="B343">
            <v>711641</v>
          </cell>
          <cell r="C343" t="str">
            <v>ｹﾂﾘﾕｳｶｲｾﾞﾝﾊﾀﾞﾆﾊﾙｺｼﾖｳ 5P720円</v>
          </cell>
          <cell r="D343" t="str">
            <v>185</v>
          </cell>
          <cell r="E343" t="str">
            <v>MR2</v>
          </cell>
          <cell r="F343" t="str">
            <v>PKF</v>
          </cell>
        </row>
        <row r="344">
          <cell r="B344">
            <v>10050108</v>
          </cell>
          <cell r="C344" t="str">
            <v>ＣＵＲＡ－ＨＥＡＴ（ひざ用）１０Ｐ仕掛 英国</v>
          </cell>
          <cell r="D344" t="str">
            <v>-</v>
          </cell>
          <cell r="E344" t="str">
            <v>80AF</v>
          </cell>
          <cell r="F344" t="str">
            <v>PKF</v>
          </cell>
          <cell r="G344" t="str">
            <v>ｻﾝﾌﾟﾙ必要</v>
          </cell>
        </row>
        <row r="345">
          <cell r="B345">
            <v>10050110</v>
          </cell>
          <cell r="C345" t="str">
            <v>ＣＵＲＡ－ＨＥＡＴ（手首用）１０Ｐ仕掛 英国</v>
          </cell>
          <cell r="D345" t="str">
            <v>-</v>
          </cell>
          <cell r="E345" t="str">
            <v>80AF</v>
          </cell>
          <cell r="F345" t="str">
            <v>PKF</v>
          </cell>
          <cell r="G345" t="str">
            <v>ｻﾝﾌﾟﾙ必要</v>
          </cell>
        </row>
        <row r="346">
          <cell r="B346">
            <v>10050106</v>
          </cell>
          <cell r="C346" t="str">
            <v>ＣＵＲＡ－ＨＥＡＴ（手首足首）１０Ｐ仕掛 英国</v>
          </cell>
          <cell r="D346" t="str">
            <v>-</v>
          </cell>
          <cell r="E346" t="str">
            <v>80AF</v>
          </cell>
          <cell r="F346" t="str">
            <v>PKF</v>
          </cell>
          <cell r="G346" t="str">
            <v>ｻﾝﾌﾟﾙ必要</v>
          </cell>
        </row>
        <row r="347">
          <cell r="B347">
            <v>10050102</v>
          </cell>
          <cell r="C347" t="str">
            <v>ｱﾝｸﾙﾗﾂﾌﾟUSA 10Ｐ仕掛</v>
          </cell>
          <cell r="D347" t="str">
            <v>-</v>
          </cell>
          <cell r="E347" t="str">
            <v>80AF</v>
          </cell>
          <cell r="F347" t="str">
            <v>PKF</v>
          </cell>
        </row>
        <row r="348">
          <cell r="B348">
            <v>10048718</v>
          </cell>
          <cell r="C348" t="str">
            <v>血流改善腰ホットン１Ｐ仕掛</v>
          </cell>
          <cell r="D348" t="str">
            <v>-</v>
          </cell>
          <cell r="E348" t="str">
            <v>MR2</v>
          </cell>
          <cell r="F348" t="str">
            <v>PKF</v>
          </cell>
        </row>
        <row r="349">
          <cell r="B349">
            <v>10051702</v>
          </cell>
          <cell r="C349" t="str">
            <v>血流改善腰ﾎﾂﾄﾝ1P仕掛b</v>
          </cell>
          <cell r="D349" t="str">
            <v>-</v>
          </cell>
          <cell r="E349" t="str">
            <v>MR2</v>
          </cell>
          <cell r="F349" t="str">
            <v>PKF</v>
          </cell>
        </row>
        <row r="350">
          <cell r="B350">
            <v>10048798</v>
          </cell>
          <cell r="C350" t="str">
            <v>ＣＵＲＡ－ＨＥＡＴ（Ｓ）１Ｐ仕掛 英国</v>
          </cell>
          <cell r="D350" t="str">
            <v>-</v>
          </cell>
          <cell r="E350" t="str">
            <v>MR2</v>
          </cell>
          <cell r="F350" t="str">
            <v>BKF</v>
          </cell>
          <cell r="G350" t="str">
            <v>ｻﾝﾌﾟﾙ必要</v>
          </cell>
        </row>
        <row r="351">
          <cell r="B351">
            <v>10048812</v>
          </cell>
          <cell r="C351" t="str">
            <v>ＣＶＳ生理痛用１Ｐ仕掛</v>
          </cell>
          <cell r="D351" t="str">
            <v>-</v>
          </cell>
          <cell r="E351" t="str">
            <v>MR2</v>
          </cell>
          <cell r="F351" t="str">
            <v>BKF</v>
          </cell>
        </row>
        <row r="352">
          <cell r="B352">
            <v>10048716</v>
          </cell>
          <cell r="C352" t="str">
            <v>血流改善肩ホットン１Ｐ仕掛</v>
          </cell>
          <cell r="D352" t="str">
            <v>-</v>
          </cell>
          <cell r="E352" t="str">
            <v>80AF</v>
          </cell>
          <cell r="F352" t="str">
            <v>PKF</v>
          </cell>
        </row>
        <row r="353">
          <cell r="B353">
            <v>10048720</v>
          </cell>
          <cell r="C353" t="str">
            <v>血流改善膝ホットン２Ｐ仕掛</v>
          </cell>
          <cell r="D353" t="str">
            <v>-</v>
          </cell>
          <cell r="E353" t="str">
            <v>80AF</v>
          </cell>
          <cell r="F353" t="str">
            <v>PKF</v>
          </cell>
        </row>
        <row r="354">
          <cell r="B354">
            <v>10051660</v>
          </cell>
          <cell r="C354" t="str">
            <v>血流改善膝ホットン２Ｐ仕掛品b</v>
          </cell>
          <cell r="D354" t="str">
            <v>-</v>
          </cell>
          <cell r="E354" t="str">
            <v>80AF</v>
          </cell>
          <cell r="F354" t="str">
            <v>PKF</v>
          </cell>
        </row>
        <row r="355">
          <cell r="B355">
            <v>10049826</v>
          </cell>
          <cell r="C355" t="str">
            <v>巻ポカⅡ共通1P仕掛</v>
          </cell>
          <cell r="D355" t="str">
            <v>-</v>
          </cell>
          <cell r="E355" t="str">
            <v>80AF</v>
          </cell>
          <cell r="F355" t="str">
            <v>PKWF</v>
          </cell>
        </row>
        <row r="356">
          <cell r="B356">
            <v>10050108</v>
          </cell>
          <cell r="C356" t="str">
            <v>ＣＵＲＡ－ＨＥＡＴ（ひざ用）１０Ｐ仕掛 英国</v>
          </cell>
          <cell r="D356" t="str">
            <v>-</v>
          </cell>
          <cell r="E356" t="str">
            <v>80AF</v>
          </cell>
          <cell r="F356" t="str">
            <v>PKF</v>
          </cell>
          <cell r="G356" t="str">
            <v>ｻﾝﾌﾟﾙ必要</v>
          </cell>
        </row>
        <row r="357">
          <cell r="B357">
            <v>10050102</v>
          </cell>
          <cell r="C357" t="str">
            <v>ｱﾝｸﾙﾗﾂﾌﾟUSA 10Ｐ仕掛</v>
          </cell>
          <cell r="D357" t="str">
            <v>-</v>
          </cell>
          <cell r="E357" t="str">
            <v>80AF</v>
          </cell>
          <cell r="F357" t="str">
            <v>PKF</v>
          </cell>
        </row>
        <row r="358">
          <cell r="B358">
            <v>10049794</v>
          </cell>
          <cell r="C358" t="str">
            <v>血流改善コリほぐシ－ト腰用1P仕掛</v>
          </cell>
          <cell r="D358" t="str">
            <v>-</v>
          </cell>
          <cell r="E358" t="str">
            <v>MR2</v>
          </cell>
          <cell r="F358" t="str">
            <v>PKF</v>
          </cell>
        </row>
        <row r="359">
          <cell r="B359">
            <v>30702021</v>
          </cell>
          <cell r="C359" t="str">
            <v>ﾚﾃﾞｲｳｵ-ﾏ-5P 単位製品</v>
          </cell>
          <cell r="D359" t="str">
            <v>-</v>
          </cell>
          <cell r="E359" t="str">
            <v>80AF</v>
          </cell>
          <cell r="F359" t="str">
            <v>PKWF(消臭)</v>
          </cell>
        </row>
        <row r="360">
          <cell r="B360">
            <v>10049016</v>
          </cell>
          <cell r="C360" t="str">
            <v>桐灰ＨＷⅢ１Ｐ仕掛（ﾀﾞﾝﾎﾞｾﾝｺｳ)</v>
          </cell>
          <cell r="D360" t="str">
            <v>-</v>
          </cell>
          <cell r="E360" t="str">
            <v>MR0</v>
          </cell>
          <cell r="F360" t="str">
            <v>PKWF</v>
          </cell>
        </row>
        <row r="361">
          <cell r="B361">
            <v>10048274</v>
          </cell>
          <cell r="C361" t="str">
            <v>桐灰はるミニⅡ１Ｐ仕掛</v>
          </cell>
          <cell r="D361" t="str">
            <v>-</v>
          </cell>
          <cell r="E361" t="str">
            <v>80AF</v>
          </cell>
          <cell r="F361" t="str">
            <v>PKWF</v>
          </cell>
        </row>
        <row r="362">
          <cell r="B362">
            <v>10048330</v>
          </cell>
          <cell r="C362" t="str">
            <v>桐灰ＨＷⅢ１０Ｐ無地仕掛</v>
          </cell>
          <cell r="D362" t="str">
            <v>-</v>
          </cell>
          <cell r="E362" t="str">
            <v>MR0</v>
          </cell>
          <cell r="F362" t="str">
            <v>PKWF</v>
          </cell>
        </row>
        <row r="363">
          <cell r="B363">
            <v>10049792</v>
          </cell>
          <cell r="C363" t="str">
            <v>血流改善コリほぐシ－ト肩用1P仕掛</v>
          </cell>
          <cell r="D363" t="str">
            <v>-</v>
          </cell>
          <cell r="E363" t="str">
            <v>80AF</v>
          </cell>
          <cell r="F363" t="str">
            <v>PKF</v>
          </cell>
        </row>
        <row r="364">
          <cell r="B364">
            <v>10051500</v>
          </cell>
          <cell r="C364" t="str">
            <v>血流改善コリほぐシート肩用1P仕掛ｂ</v>
          </cell>
          <cell r="D364" t="str">
            <v>-</v>
          </cell>
          <cell r="E364" t="str">
            <v>80AF</v>
          </cell>
          <cell r="F364" t="str">
            <v>PKF</v>
          </cell>
        </row>
        <row r="365">
          <cell r="B365">
            <v>10051698</v>
          </cell>
          <cell r="C365" t="str">
            <v>血流改善首ﾎﾂﾄﾝ10P無地仕掛b</v>
          </cell>
          <cell r="D365" t="str">
            <v>-</v>
          </cell>
          <cell r="E365" t="str">
            <v>80AF</v>
          </cell>
          <cell r="F365" t="str">
            <v>PKF</v>
          </cell>
        </row>
        <row r="366">
          <cell r="B366">
            <v>10051700</v>
          </cell>
          <cell r="C366" t="str">
            <v>血流改善首ﾎﾂﾄﾝ8P無地仕掛b</v>
          </cell>
          <cell r="D366" t="str">
            <v>-</v>
          </cell>
          <cell r="E366" t="str">
            <v>80AF</v>
          </cell>
          <cell r="F366" t="str">
            <v>PKF</v>
          </cell>
        </row>
        <row r="367">
          <cell r="B367">
            <v>30711713</v>
          </cell>
          <cell r="C367" t="str">
            <v>ｹﾂﾘﾕｳ ｶｲｾﾞﾝ ﾋｻﾞﾎﾂﾄﾝ 6P単位製品</v>
          </cell>
          <cell r="E367" t="str">
            <v>80AF</v>
          </cell>
          <cell r="F367" t="str">
            <v>PKWF</v>
          </cell>
        </row>
        <row r="368">
          <cell r="B368">
            <v>240575</v>
          </cell>
          <cell r="C368" t="str">
            <v>E.ADHESIVEHOTHANDSBW</v>
          </cell>
        </row>
        <row r="369">
          <cell r="B369">
            <v>251895</v>
          </cell>
          <cell r="C369" t="str">
            <v>E.HCHANDWARMERMMINIｽｶﾝｼﾞ</v>
          </cell>
          <cell r="D369" t="str">
            <v>-</v>
          </cell>
          <cell r="E369" t="str">
            <v>MR0</v>
          </cell>
          <cell r="F369" t="str">
            <v>SKF</v>
          </cell>
        </row>
        <row r="370">
          <cell r="B370">
            <v>713309</v>
          </cell>
          <cell r="C370" t="str">
            <v>♯桐灰はるミニ10P</v>
          </cell>
          <cell r="D370">
            <v>2003</v>
          </cell>
          <cell r="E370" t="str">
            <v>80AF</v>
          </cell>
          <cell r="F370" t="str">
            <v>QK-F2</v>
          </cell>
        </row>
        <row r="371">
          <cell r="B371">
            <v>713325</v>
          </cell>
          <cell r="C371" t="str">
            <v>♯桐灰はるミニ30P箱</v>
          </cell>
          <cell r="D371">
            <v>2005</v>
          </cell>
          <cell r="E371" t="str">
            <v>80AF</v>
          </cell>
          <cell r="F371" t="str">
            <v>QK-F2</v>
          </cell>
        </row>
        <row r="372">
          <cell r="B372">
            <v>711730</v>
          </cell>
          <cell r="C372" t="str">
            <v>ｹﾂﾘｭｳｶｲｾﾞﾝｸﾋﾞﾎｯﾄﾝ　ﾄﾘｶｴ　8P♯</v>
          </cell>
          <cell r="D372">
            <v>54</v>
          </cell>
        </row>
      </sheetData>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４月分"/>
      <sheetName val="５月分"/>
      <sheetName val="６月分"/>
      <sheetName val="７月分"/>
      <sheetName val="８月分"/>
      <sheetName val="９月分"/>
      <sheetName val="10月分"/>
      <sheetName val="11月分"/>
      <sheetName val="12月分"/>
      <sheetName val="１月分"/>
      <sheetName val="２月分"/>
      <sheetName val="３月分"/>
      <sheetName val="◇◆◇◆"/>
      <sheetName val="発生率計算用一覧表"/>
      <sheetName val="☆★☆★"/>
      <sheetName val="部署別（４）"/>
      <sheetName val="部署別（５）"/>
      <sheetName val="部署別（６）"/>
      <sheetName val="部署別（７）"/>
      <sheetName val="部署別（８）"/>
      <sheetName val="部署別（９）"/>
      <sheetName val="部署別（10）"/>
      <sheetName val="部署別（11）"/>
      <sheetName val="部署別（12）"/>
      <sheetName val="部署別（１）"/>
      <sheetName val="部署別（２）"/>
      <sheetName val="部署別（３）"/>
      <sheetName val="振り分け用"/>
      <sheetName val="部署別確認用"/>
      <sheetName val="★☆★☆"/>
      <sheetName val="技Ｇ別（4) "/>
      <sheetName val="技Ｇ別確認用"/>
      <sheetName val="振り分け用 "/>
      <sheetName val="部署別 （4)"/>
      <sheetName val="部署別 （５)"/>
      <sheetName val="部署別（６)"/>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3">
          <cell r="B3" t="str">
            <v>アンメルツヨコヨコ</v>
          </cell>
          <cell r="C3" t="str">
            <v>仙台小林</v>
          </cell>
        </row>
        <row r="4">
          <cell r="B4" t="str">
            <v>ニューアンメルツヨコヨコ</v>
          </cell>
          <cell r="C4" t="str">
            <v>仙台小林</v>
          </cell>
        </row>
        <row r="5">
          <cell r="B5" t="str">
            <v>アンメルツレディーナ</v>
          </cell>
          <cell r="C5" t="str">
            <v>仙台小林</v>
          </cell>
        </row>
        <row r="6">
          <cell r="B6" t="str">
            <v>アンメルツ温キューパッチ</v>
          </cell>
          <cell r="C6" t="str">
            <v>購買ＱＣ</v>
          </cell>
        </row>
        <row r="7">
          <cell r="B7" t="str">
            <v>アンメルシン１％ヨコヨコ</v>
          </cell>
          <cell r="C7" t="str">
            <v>仙台小林</v>
          </cell>
        </row>
        <row r="8">
          <cell r="B8" t="str">
            <v>アンメルシン１％軟膏</v>
          </cell>
          <cell r="C8" t="str">
            <v>購買ＱＣ</v>
          </cell>
        </row>
        <row r="9">
          <cell r="B9" t="str">
            <v>アンメルシン１％ゲル</v>
          </cell>
          <cell r="C9" t="str">
            <v>購買ＱＣ</v>
          </cell>
        </row>
        <row r="10">
          <cell r="B10" t="str">
            <v>アンメルシンハップ</v>
          </cell>
          <cell r="C10" t="str">
            <v>購買ＱＣ</v>
          </cell>
        </row>
        <row r="11">
          <cell r="B11" t="str">
            <v>ニューアンメルシンハップ</v>
          </cell>
          <cell r="C11" t="str">
            <v>購買ＱＣ</v>
          </cell>
        </row>
        <row r="12">
          <cell r="B12" t="str">
            <v>アンメルシン　コンドロパワー錠</v>
          </cell>
          <cell r="C12" t="str">
            <v>購買ＱＣ</v>
          </cell>
        </row>
        <row r="13">
          <cell r="B13" t="str">
            <v>アンメルツコールドスプレー</v>
          </cell>
          <cell r="C13" t="str">
            <v>仙台小林</v>
          </cell>
        </row>
        <row r="14">
          <cell r="B14" t="str">
            <v>アンメルツ　コリホグス</v>
          </cell>
          <cell r="C14" t="str">
            <v>購買ＱＣ</v>
          </cell>
        </row>
        <row r="15">
          <cell r="B15" t="str">
            <v>ハッキリエース</v>
          </cell>
          <cell r="C15" t="str">
            <v>富山小林</v>
          </cell>
        </row>
        <row r="16">
          <cell r="B16" t="str">
            <v>ピリコート</v>
          </cell>
          <cell r="C16" t="str">
            <v>購買ＱＣ</v>
          </cell>
        </row>
        <row r="17">
          <cell r="B17" t="str">
            <v>小林タムシチンキ</v>
          </cell>
          <cell r="C17" t="str">
            <v>仙台小林</v>
          </cell>
        </row>
        <row r="18">
          <cell r="B18" t="str">
            <v>小林タムシチンキゴールド</v>
          </cell>
          <cell r="C18" t="str">
            <v>仙台小林</v>
          </cell>
        </row>
        <row r="19">
          <cell r="B19" t="str">
            <v>タムチンキティッシュ</v>
          </cell>
          <cell r="C19" t="str">
            <v>購買ＱＣ</v>
          </cell>
        </row>
        <row r="20">
          <cell r="B20" t="str">
            <v>タムチンキパウダースプレー</v>
          </cell>
          <cell r="C20" t="str">
            <v>仙台小林</v>
          </cell>
        </row>
        <row r="21">
          <cell r="B21" t="str">
            <v>タムチンキシャーベットスプレー</v>
          </cell>
          <cell r="C21" t="str">
            <v>仙台小林</v>
          </cell>
        </row>
        <row r="22">
          <cell r="B22" t="str">
            <v>ミズムズ</v>
          </cell>
          <cell r="C22" t="str">
            <v>富山小林</v>
          </cell>
        </row>
        <row r="23">
          <cell r="B23" t="str">
            <v>ミズムズ　アイススプレー</v>
          </cell>
          <cell r="C23" t="str">
            <v>仙台小林</v>
          </cell>
        </row>
        <row r="24">
          <cell r="B24" t="str">
            <v>ラナケイン</v>
          </cell>
          <cell r="C24" t="str">
            <v>小林コーム</v>
          </cell>
        </row>
        <row r="25">
          <cell r="B25" t="str">
            <v>ラナケインクリーム</v>
          </cell>
          <cell r="C25" t="str">
            <v>小林コーム</v>
          </cell>
        </row>
        <row r="26">
          <cell r="B26" t="str">
            <v>フェミニーナ軟膏</v>
          </cell>
          <cell r="C26" t="str">
            <v>小林コーム</v>
          </cell>
        </row>
        <row r="27">
          <cell r="B27" t="str">
            <v>カユピタクール</v>
          </cell>
          <cell r="C27" t="str">
            <v>富山小林</v>
          </cell>
        </row>
        <row r="28">
          <cell r="B28" t="str">
            <v>アセモア</v>
          </cell>
          <cell r="C28" t="str">
            <v>富山小林</v>
          </cell>
        </row>
        <row r="29">
          <cell r="B29" t="str">
            <v>新キズドライ</v>
          </cell>
          <cell r="C29" t="str">
            <v>富山小林</v>
          </cell>
        </row>
        <row r="30">
          <cell r="B30" t="str">
            <v>キズアワワ</v>
          </cell>
          <cell r="C30" t="str">
            <v>富山小林</v>
          </cell>
        </row>
        <row r="31">
          <cell r="B31" t="str">
            <v>のどぬーる</v>
          </cell>
          <cell r="C31" t="str">
            <v>購買ＱＣ</v>
          </cell>
        </row>
        <row r="32">
          <cell r="B32" t="str">
            <v>のどぬーるスプレー</v>
          </cell>
          <cell r="C32" t="str">
            <v>富山小林</v>
          </cell>
        </row>
        <row r="33">
          <cell r="B33" t="str">
            <v>のどぬーるスプレー　ミニ</v>
          </cell>
          <cell r="C33" t="str">
            <v>富山小林</v>
          </cell>
        </row>
        <row r="34">
          <cell r="B34" t="str">
            <v>のどぬーるスプレー　大容量</v>
          </cell>
          <cell r="C34" t="str">
            <v>富山小林</v>
          </cell>
        </row>
        <row r="35">
          <cell r="B35" t="str">
            <v>のどぬーるスプレー　キッズ</v>
          </cell>
          <cell r="C35" t="str">
            <v>富山小林</v>
          </cell>
        </row>
        <row r="36">
          <cell r="B36" t="str">
            <v>のどぬーるトローチ</v>
          </cell>
          <cell r="C36" t="str">
            <v>購買ＱＣ</v>
          </cell>
        </row>
        <row r="37">
          <cell r="B37" t="str">
            <v>にきび薬ビフナイト</v>
          </cell>
          <cell r="C37" t="str">
            <v>購買ＱＣ</v>
          </cell>
        </row>
        <row r="38">
          <cell r="B38" t="str">
            <v>びふナイト　ＢＢ錠</v>
          </cell>
          <cell r="C38" t="str">
            <v>購買ＱＣ</v>
          </cell>
        </row>
        <row r="39">
          <cell r="B39" t="str">
            <v>アイボン　３００ｍｌ</v>
          </cell>
          <cell r="C39" t="str">
            <v>購買ＱＣ</v>
          </cell>
        </row>
        <row r="40">
          <cell r="B40" t="str">
            <v>アイボンａ　５００ｍｌ</v>
          </cell>
          <cell r="C40" t="str">
            <v>仙台小林</v>
          </cell>
        </row>
        <row r="41">
          <cell r="B41" t="str">
            <v>アイボン　携帯用</v>
          </cell>
          <cell r="C41" t="str">
            <v>購買ＱＣ</v>
          </cell>
        </row>
        <row r="42">
          <cell r="B42" t="str">
            <v>アイボンマイルド　５００ｍｌ</v>
          </cell>
          <cell r="C42" t="str">
            <v>仙台小林</v>
          </cell>
        </row>
        <row r="43">
          <cell r="B43" t="str">
            <v>アイボンＡＬ</v>
          </cell>
          <cell r="C43" t="str">
            <v>仙台小林</v>
          </cell>
        </row>
        <row r="44">
          <cell r="B44" t="str">
            <v>アイボンＡＬｂ　５００ｍｌ</v>
          </cell>
          <cell r="C44" t="str">
            <v>仙台小林</v>
          </cell>
        </row>
        <row r="45">
          <cell r="B45" t="str">
            <v>アイボンクールａ　３００ｍｌ</v>
          </cell>
          <cell r="C45" t="str">
            <v>仙台小林</v>
          </cell>
        </row>
        <row r="46">
          <cell r="B46" t="str">
            <v>アイボンクールａ　５００ｍｌ</v>
          </cell>
          <cell r="C46" t="str">
            <v>仙台小林</v>
          </cell>
        </row>
        <row r="47">
          <cell r="B47" t="str">
            <v>アイボントローリ目薬</v>
          </cell>
          <cell r="C47" t="str">
            <v>購買ＱＣ</v>
          </cell>
        </row>
        <row r="48">
          <cell r="B48" t="str">
            <v>アイボンパワーｉ</v>
          </cell>
          <cell r="C48" t="str">
            <v>購買ＱＣ</v>
          </cell>
        </row>
        <row r="49">
          <cell r="B49" t="str">
            <v>プレガン　ＥＸクール</v>
          </cell>
          <cell r="C49" t="str">
            <v>仙台小林</v>
          </cell>
        </row>
        <row r="50">
          <cell r="B50" t="str">
            <v>プレガン　ＥＸクール</v>
          </cell>
          <cell r="C50" t="str">
            <v>富山小林</v>
          </cell>
        </row>
        <row r="51">
          <cell r="B51" t="str">
            <v>プレガン　Ｗビタミン</v>
          </cell>
          <cell r="C51" t="str">
            <v>仙台小林</v>
          </cell>
        </row>
        <row r="52">
          <cell r="B52" t="str">
            <v>プレガン　Ｗビタミン</v>
          </cell>
          <cell r="C52" t="str">
            <v>富山小林</v>
          </cell>
        </row>
        <row r="53">
          <cell r="B53" t="str">
            <v>ツージーＱ</v>
          </cell>
          <cell r="C53" t="str">
            <v>購買ＱＣ</v>
          </cell>
        </row>
        <row r="54">
          <cell r="B54" t="str">
            <v>プッシュＧ軟膏</v>
          </cell>
          <cell r="C54" t="str">
            <v>富山小林</v>
          </cell>
        </row>
        <row r="55">
          <cell r="B55" t="str">
            <v>ケシミン</v>
          </cell>
          <cell r="C55" t="str">
            <v>購買ＱＣ</v>
          </cell>
        </row>
        <row r="56">
          <cell r="B56" t="str">
            <v>ケシミン　ＬＣ錠</v>
          </cell>
          <cell r="C56" t="str">
            <v>購買ＱＣ</v>
          </cell>
        </row>
        <row r="57">
          <cell r="B57" t="str">
            <v>ユリナール</v>
          </cell>
          <cell r="C57" t="str">
            <v>購買ＱＣ</v>
          </cell>
        </row>
        <row r="58">
          <cell r="B58" t="str">
            <v>イララック</v>
          </cell>
          <cell r="C58" t="str">
            <v>購買ＱＣ</v>
          </cell>
        </row>
        <row r="59">
          <cell r="B59" t="str">
            <v>新アンメールヨコヨコ</v>
          </cell>
          <cell r="C59" t="str">
            <v>仙台小林</v>
          </cell>
        </row>
        <row r="60">
          <cell r="B60" t="str">
            <v>のどシュッシュ</v>
          </cell>
          <cell r="C60" t="str">
            <v>富山小林</v>
          </cell>
        </row>
        <row r="61">
          <cell r="B61" t="str">
            <v>キズパウダースプレーＳ</v>
          </cell>
          <cell r="C61" t="str">
            <v>富山小林</v>
          </cell>
        </row>
        <row r="62">
          <cell r="B62" t="str">
            <v>ガスピタン</v>
          </cell>
          <cell r="C62" t="str">
            <v>購買ＱＣ</v>
          </cell>
        </row>
        <row r="63">
          <cell r="B63" t="str">
            <v>ヒリピタクール</v>
          </cell>
          <cell r="C63" t="str">
            <v>富山小林</v>
          </cell>
        </row>
        <row r="64">
          <cell r="B64" t="str">
            <v>アッチＱＱ</v>
          </cell>
          <cell r="C64" t="str">
            <v>富山小林</v>
          </cell>
        </row>
        <row r="65">
          <cell r="B65" t="str">
            <v>サカムケア</v>
          </cell>
          <cell r="C65" t="str">
            <v>購買ＱＣ</v>
          </cell>
        </row>
        <row r="66">
          <cell r="B66" t="str">
            <v>カゼピタンハップ</v>
          </cell>
          <cell r="C66" t="str">
            <v>購買ＱＣ</v>
          </cell>
        </row>
        <row r="67">
          <cell r="B67" t="str">
            <v>タフデント</v>
          </cell>
          <cell r="C67" t="str">
            <v>チバコバヤシ</v>
          </cell>
        </row>
        <row r="68">
          <cell r="B68" t="str">
            <v>Ｗパワー酵素タフデント</v>
          </cell>
          <cell r="C68" t="str">
            <v>チバコバヤシ</v>
          </cell>
        </row>
        <row r="69">
          <cell r="B69" t="str">
            <v>お茶タフデント</v>
          </cell>
          <cell r="C69" t="str">
            <v>チバコバヤシ</v>
          </cell>
        </row>
        <row r="70">
          <cell r="B70" t="str">
            <v>ひと晩つけおきタフデント</v>
          </cell>
          <cell r="C70" t="str">
            <v>チバコバヤシ</v>
          </cell>
        </row>
        <row r="71">
          <cell r="B71" t="str">
            <v>たばこタフデント</v>
          </cell>
          <cell r="C71" t="str">
            <v>チバコバヤシ</v>
          </cell>
        </row>
        <row r="72">
          <cell r="B72" t="str">
            <v>部分入れ歯用タフデント</v>
          </cell>
          <cell r="C72" t="str">
            <v>チバコバヤシ</v>
          </cell>
        </row>
        <row r="73">
          <cell r="B73" t="str">
            <v>タフデントカップ</v>
          </cell>
          <cell r="C73" t="str">
            <v>プラックス</v>
          </cell>
        </row>
        <row r="74">
          <cell r="B74" t="str">
            <v>パーシャルデント</v>
          </cell>
          <cell r="C74" t="str">
            <v>チバコバヤシ</v>
          </cell>
        </row>
        <row r="75">
          <cell r="B75" t="str">
            <v>ＴＤ入れ歯の歯みがき</v>
          </cell>
          <cell r="C75" t="str">
            <v>購買ＱＣ</v>
          </cell>
        </row>
        <row r="76">
          <cell r="B76" t="str">
            <v>ＴＤ入れ歯の歯ブラシ</v>
          </cell>
          <cell r="C76" t="str">
            <v>購買ＱＣ</v>
          </cell>
        </row>
        <row r="77">
          <cell r="B77" t="str">
            <v>タフグリップ</v>
          </cell>
          <cell r="C77" t="str">
            <v>仙台小林</v>
          </cell>
        </row>
        <row r="78">
          <cell r="B78" t="str">
            <v>タフグリップクリーム</v>
          </cell>
          <cell r="C78" t="str">
            <v>仙台小林</v>
          </cell>
        </row>
        <row r="79">
          <cell r="B79" t="str">
            <v>糸ようじ</v>
          </cell>
          <cell r="C79" t="str">
            <v>購買ＱＣ</v>
          </cell>
        </row>
        <row r="80">
          <cell r="B80" t="str">
            <v>こどもの糸ようじ</v>
          </cell>
          <cell r="C80" t="str">
            <v>購買ＱＣ</v>
          </cell>
        </row>
        <row r="81">
          <cell r="B81" t="str">
            <v>糸ようじ歯間ブラシ</v>
          </cell>
          <cell r="C81" t="str">
            <v>購買ＱＣ</v>
          </cell>
        </row>
        <row r="82">
          <cell r="B82" t="str">
            <v>糸ようじ歯間ブラシ Ｌ字型</v>
          </cell>
          <cell r="C82" t="str">
            <v>購買ＱＣ</v>
          </cell>
        </row>
        <row r="83">
          <cell r="B83" t="str">
            <v>糸ようじ歯間ブラシ Ｉ字型</v>
          </cell>
          <cell r="C83" t="str">
            <v>購買ＱＣ</v>
          </cell>
        </row>
        <row r="84">
          <cell r="B84" t="str">
            <v>糸ようじ歯間ブラシロング</v>
          </cell>
          <cell r="C84" t="str">
            <v>プラックス</v>
          </cell>
        </row>
        <row r="85">
          <cell r="B85" t="str">
            <v>糸ようじ　舌ブラシ</v>
          </cell>
          <cell r="C85" t="str">
            <v>購買ＱＣ</v>
          </cell>
        </row>
        <row r="86">
          <cell r="B86" t="str">
            <v>糸ようじ歯間みがきジェル</v>
          </cell>
          <cell r="C86" t="str">
            <v>購買ＱＣ</v>
          </cell>
        </row>
        <row r="87">
          <cell r="B87" t="str">
            <v>液体　入れ歯みがきーな</v>
          </cell>
          <cell r="C87" t="str">
            <v>購買ＱＣ</v>
          </cell>
        </row>
        <row r="88">
          <cell r="B88" t="str">
            <v>シコンコート</v>
          </cell>
          <cell r="C88" t="str">
            <v>購買ＱＣ</v>
          </cell>
        </row>
        <row r="89">
          <cell r="B89" t="str">
            <v>１～２滴ブレスケア</v>
          </cell>
          <cell r="C89" t="str">
            <v>仙台小林</v>
          </cell>
        </row>
        <row r="90">
          <cell r="B90" t="str">
            <v>噛むブレスケア</v>
          </cell>
          <cell r="C90" t="str">
            <v>購買ＱＣ</v>
          </cell>
        </row>
        <row r="91">
          <cell r="B91" t="str">
            <v>噛むブレスケア　ボトル</v>
          </cell>
          <cell r="C91" t="str">
            <v>購買ＱＣ</v>
          </cell>
        </row>
        <row r="92">
          <cell r="B92" t="str">
            <v>香るブレスケア</v>
          </cell>
          <cell r="C92" t="str">
            <v>購買ＱＣ</v>
          </cell>
        </row>
        <row r="93">
          <cell r="B93" t="str">
            <v>ブレスケア</v>
          </cell>
          <cell r="C93" t="str">
            <v>大阪工場</v>
          </cell>
        </row>
        <row r="94">
          <cell r="B94" t="str">
            <v>ブレスケアフィルム</v>
          </cell>
          <cell r="C94" t="str">
            <v>購買ＱＣ</v>
          </cell>
        </row>
        <row r="95">
          <cell r="B95" t="str">
            <v>生葉</v>
          </cell>
          <cell r="C95" t="str">
            <v>購買ＱＣ</v>
          </cell>
        </row>
        <row r="96">
          <cell r="B96" t="str">
            <v>スミガキ</v>
          </cell>
          <cell r="C96" t="str">
            <v>購買ＱＣ</v>
          </cell>
        </row>
        <row r="97">
          <cell r="B97" t="str">
            <v>シュミナイン</v>
          </cell>
          <cell r="C97" t="str">
            <v>富山小林</v>
          </cell>
        </row>
        <row r="98">
          <cell r="B98" t="str">
            <v>おやすみ手袋＆クリーム</v>
          </cell>
          <cell r="C98" t="str">
            <v>富山小林</v>
          </cell>
        </row>
        <row r="99">
          <cell r="B99" t="str">
            <v>おやすみ手袋</v>
          </cell>
          <cell r="C99" t="str">
            <v>購買ＱＣ</v>
          </cell>
        </row>
        <row r="100">
          <cell r="B100" t="str">
            <v>薬用おやすみハンドクリーム</v>
          </cell>
          <cell r="C100" t="str">
            <v>富山小林</v>
          </cell>
        </row>
        <row r="101">
          <cell r="B101" t="str">
            <v>おやすみ靴下＆クリーム</v>
          </cell>
          <cell r="C101" t="str">
            <v>富山小林</v>
          </cell>
        </row>
        <row r="102">
          <cell r="B102" t="str">
            <v>なめらかかと　おやすみクリームと靴下</v>
          </cell>
          <cell r="C102" t="str">
            <v>富山小林</v>
          </cell>
        </row>
        <row r="103">
          <cell r="B103" t="str">
            <v>おやすみ靴下</v>
          </cell>
          <cell r="C103" t="str">
            <v>購買ＱＣ</v>
          </cell>
        </row>
        <row r="104">
          <cell r="B104" t="str">
            <v>なめらかかと　おやすみ靴下</v>
          </cell>
          <cell r="C104" t="str">
            <v>購買ＱＣ</v>
          </cell>
        </row>
        <row r="105">
          <cell r="B105" t="str">
            <v>薬用おやすみフットクリーム</v>
          </cell>
          <cell r="C105" t="str">
            <v>富山小林</v>
          </cell>
        </row>
        <row r="106">
          <cell r="B106" t="str">
            <v>なめらかかと　おやすみクリーム</v>
          </cell>
          <cell r="C106" t="str">
            <v>富山小林</v>
          </cell>
        </row>
        <row r="107">
          <cell r="B107" t="str">
            <v>びふナイト</v>
          </cell>
          <cell r="C107" t="str">
            <v>購買ＱＣ</v>
          </cell>
        </row>
        <row r="108">
          <cell r="B108" t="str">
            <v>びふナイト洗顔ジェル</v>
          </cell>
          <cell r="C108" t="str">
            <v>購買ＱＣ</v>
          </cell>
        </row>
        <row r="109">
          <cell r="B109" t="str">
            <v>びふナイト泡洗顔フォーム</v>
          </cell>
          <cell r="C109" t="str">
            <v>購買ＱＣ</v>
          </cell>
        </row>
        <row r="110">
          <cell r="B110" t="str">
            <v>びふナイトちょこぬり</v>
          </cell>
          <cell r="C110" t="str">
            <v>購買ＱＣ</v>
          </cell>
        </row>
        <row r="111">
          <cell r="B111" t="str">
            <v>びふナイトパッチ</v>
          </cell>
          <cell r="C111" t="str">
            <v>購買ＱＣ</v>
          </cell>
        </row>
        <row r="112">
          <cell r="B112" t="str">
            <v>オフロート</v>
          </cell>
          <cell r="C112" t="str">
            <v>購買ＱＣ</v>
          </cell>
        </row>
        <row r="113">
          <cell r="B113" t="str">
            <v>ノンギラス</v>
          </cell>
          <cell r="C113" t="str">
            <v>愛媛小林</v>
          </cell>
        </row>
        <row r="114">
          <cell r="B114" t="str">
            <v>ケシミンクリーム</v>
          </cell>
          <cell r="C114" t="str">
            <v>購買ＱＣ</v>
          </cell>
        </row>
        <row r="115">
          <cell r="B115" t="str">
            <v>フェミニーナなめらかローション</v>
          </cell>
          <cell r="C115" t="str">
            <v>小林コーム</v>
          </cell>
        </row>
        <row r="116">
          <cell r="B116" t="str">
            <v>フェミニーナなめらかゼリー</v>
          </cell>
          <cell r="C116" t="str">
            <v>小林コーム</v>
          </cell>
        </row>
        <row r="117">
          <cell r="B117" t="str">
            <v>フェミニーナソープ</v>
          </cell>
          <cell r="C117" t="str">
            <v>小林コーム</v>
          </cell>
        </row>
        <row r="118">
          <cell r="B118" t="str">
            <v>プリティー軽石ソープ</v>
          </cell>
          <cell r="C118" t="str">
            <v>購買ＱＣ</v>
          </cell>
        </row>
        <row r="119">
          <cell r="B119" t="str">
            <v>爪ピカッシュ</v>
          </cell>
          <cell r="C119" t="str">
            <v>購買ＱＣ</v>
          </cell>
        </row>
        <row r="120">
          <cell r="B120" t="str">
            <v>なめらかかとパック</v>
          </cell>
          <cell r="C120" t="str">
            <v>購買ＱＣ</v>
          </cell>
        </row>
        <row r="121">
          <cell r="B121" t="str">
            <v>なめらかかとスティック</v>
          </cell>
          <cell r="C121" t="str">
            <v>購買ＱＣ</v>
          </cell>
        </row>
        <row r="122">
          <cell r="B122" t="str">
            <v>薬用ヒリぴたクール</v>
          </cell>
          <cell r="C122" t="str">
            <v>富山小林</v>
          </cell>
        </row>
        <row r="123">
          <cell r="B123" t="str">
            <v>手もみ湯</v>
          </cell>
          <cell r="C123" t="str">
            <v>購買ＱＣ</v>
          </cell>
        </row>
        <row r="124">
          <cell r="B124" t="str">
            <v>キズアワワＡ</v>
          </cell>
          <cell r="C124" t="str">
            <v>富山小林</v>
          </cell>
        </row>
        <row r="125">
          <cell r="B125" t="str">
            <v>オドイーター</v>
          </cell>
          <cell r="C125" t="str">
            <v>購買ＱＣ</v>
          </cell>
        </row>
        <row r="126">
          <cell r="B126" t="str">
            <v>ｵﾄﾞｲｰﾀｰﾊﾟｳﾀﾞｰﾌﾚｯｼｭｲﾝｿｰﾙ</v>
          </cell>
          <cell r="C126" t="str">
            <v>購買ＱＣ</v>
          </cell>
        </row>
        <row r="127">
          <cell r="B127" t="str">
            <v>ｵﾄﾞｲｰﾀｰタオルインソール</v>
          </cell>
          <cell r="C127" t="str">
            <v>購買ＱＣ</v>
          </cell>
        </row>
        <row r="128">
          <cell r="B128" t="str">
            <v>オドイーター腰痛対策</v>
          </cell>
          <cell r="C128" t="str">
            <v>購買ＱＣ</v>
          </cell>
        </row>
        <row r="129">
          <cell r="B129" t="str">
            <v>オドイーター膝痛対策</v>
          </cell>
          <cell r="C129" t="str">
            <v>購買ＱＣ</v>
          </cell>
        </row>
        <row r="130">
          <cell r="B130" t="str">
            <v>オドイーター外反母趾対策</v>
          </cell>
          <cell r="C130" t="str">
            <v>購買ＱＣ</v>
          </cell>
        </row>
        <row r="131">
          <cell r="B131" t="str">
            <v>オドイーター足マッサージ</v>
          </cell>
          <cell r="C131" t="str">
            <v>購買ＱＣ</v>
          </cell>
        </row>
        <row r="132">
          <cell r="B132" t="str">
            <v>オドイーター防寒</v>
          </cell>
          <cell r="C132" t="str">
            <v>購買ＱＣ</v>
          </cell>
        </row>
        <row r="133">
          <cell r="B133" t="str">
            <v>オドイーターカシミアインソール</v>
          </cell>
          <cell r="C133" t="str">
            <v>購買ＱＣ</v>
          </cell>
        </row>
        <row r="134">
          <cell r="B134" t="str">
            <v>オドイーター除菌消臭スプレー</v>
          </cell>
          <cell r="C134" t="str">
            <v>購買ＱＣ</v>
          </cell>
        </row>
        <row r="135">
          <cell r="B135" t="str">
            <v>Ｍｉｓｓオドイータースプレー</v>
          </cell>
          <cell r="C135" t="str">
            <v>購買ＱＣ</v>
          </cell>
        </row>
        <row r="136">
          <cell r="B136" t="str">
            <v>靴の中ふき取りッシュ</v>
          </cell>
          <cell r="C136" t="str">
            <v>愛媛小林</v>
          </cell>
        </row>
        <row r="137">
          <cell r="B137" t="str">
            <v>サラサーティＷパウダー</v>
          </cell>
          <cell r="C137" t="str">
            <v>愛媛小林</v>
          </cell>
        </row>
        <row r="138">
          <cell r="B138" t="str">
            <v>サラサーティコットン１００</v>
          </cell>
          <cell r="C138" t="str">
            <v>愛媛小林</v>
          </cell>
        </row>
        <row r="139">
          <cell r="B139" t="str">
            <v>サラサーティコットン１００　弱酸性</v>
          </cell>
          <cell r="C139" t="str">
            <v>愛媛小林</v>
          </cell>
        </row>
        <row r="140">
          <cell r="B140" t="str">
            <v>サラサーティカラーコットン１００</v>
          </cell>
          <cell r="C140" t="str">
            <v>愛媛小林</v>
          </cell>
        </row>
        <row r="141">
          <cell r="B141" t="str">
            <v>２枚重ねのｻﾗｻｰﾃｨｺｯﾄﾝ100</v>
          </cell>
          <cell r="C141" t="str">
            <v>愛媛小林</v>
          </cell>
        </row>
        <row r="142">
          <cell r="B142" t="str">
            <v>Ｔバック用サラサーティコットン１００</v>
          </cell>
          <cell r="C142" t="str">
            <v>愛媛小林</v>
          </cell>
        </row>
        <row r="143">
          <cell r="B143" t="str">
            <v>サラサーティ抗菌コート</v>
          </cell>
          <cell r="C143" t="str">
            <v>愛媛小林</v>
          </cell>
        </row>
        <row r="144">
          <cell r="B144" t="str">
            <v>サラサーティミニシート　本体</v>
          </cell>
          <cell r="C144" t="str">
            <v>愛媛小林</v>
          </cell>
        </row>
        <row r="145">
          <cell r="B145" t="str">
            <v>サラサーティミニシート　詰替</v>
          </cell>
          <cell r="C145" t="str">
            <v>愛媛小林</v>
          </cell>
        </row>
        <row r="146">
          <cell r="B146" t="str">
            <v>サラサーティホットサポート</v>
          </cell>
          <cell r="C146" t="str">
            <v>購買ＱＣ</v>
          </cell>
        </row>
        <row r="147">
          <cell r="B147" t="str">
            <v>シャワレ</v>
          </cell>
          <cell r="C147" t="str">
            <v>富山小林</v>
          </cell>
        </row>
        <row r="148">
          <cell r="B148" t="str">
            <v>熱さまシート　子供向け</v>
          </cell>
          <cell r="C148" t="str">
            <v>大阪工場</v>
          </cell>
        </row>
        <row r="149">
          <cell r="B149" t="str">
            <v>熱さまシート　大人向け</v>
          </cell>
          <cell r="C149" t="str">
            <v>大阪工場</v>
          </cell>
        </row>
        <row r="150">
          <cell r="B150" t="str">
            <v>熱さまシート　赤ちゃん用</v>
          </cell>
          <cell r="C150" t="str">
            <v>購買ＱＣ</v>
          </cell>
        </row>
        <row r="151">
          <cell r="B151" t="str">
            <v>スリム　熱さまシート</v>
          </cell>
          <cell r="C151" t="str">
            <v>購買ＱＣ</v>
          </cell>
        </row>
        <row r="152">
          <cell r="B152" t="str">
            <v>ワキに貼る熱さまシート</v>
          </cell>
          <cell r="C152" t="str">
            <v>購買ＱＣ</v>
          </cell>
        </row>
        <row r="153">
          <cell r="B153" t="str">
            <v>熱冷却シート</v>
          </cell>
          <cell r="C153" t="str">
            <v>大阪工場</v>
          </cell>
        </row>
        <row r="154">
          <cell r="B154" t="str">
            <v>やわらかアイス枕</v>
          </cell>
          <cell r="C154" t="str">
            <v>購買ＱＣ</v>
          </cell>
        </row>
        <row r="155">
          <cell r="B155" t="str">
            <v>やわらかアイス枕　赤ちゃん用</v>
          </cell>
          <cell r="C155" t="str">
            <v>購買ＱＣ</v>
          </cell>
        </row>
        <row r="156">
          <cell r="B156" t="str">
            <v>やわらかアイス枕　おでこ用</v>
          </cell>
          <cell r="C156" t="str">
            <v>購買ＱＣ</v>
          </cell>
        </row>
        <row r="157">
          <cell r="B157" t="str">
            <v>熱さま　やわらかアイマスク</v>
          </cell>
          <cell r="C157" t="str">
            <v>購買ＱＣ</v>
          </cell>
        </row>
        <row r="158">
          <cell r="B158" t="str">
            <v>熱さま透明ゼリー　子供用</v>
          </cell>
          <cell r="C158" t="str">
            <v>愛媛小林</v>
          </cell>
        </row>
        <row r="159">
          <cell r="B159" t="str">
            <v>熱さま透明ゼリー　大人用</v>
          </cell>
          <cell r="C159" t="str">
            <v>愛媛小林</v>
          </cell>
        </row>
        <row r="160">
          <cell r="B160" t="str">
            <v>アンメルツ足爽快シート</v>
          </cell>
          <cell r="C160" t="str">
            <v>購買ＱＣ</v>
          </cell>
        </row>
        <row r="161">
          <cell r="B161" t="str">
            <v>アンメルツ足爽快シート　ミニサイズ</v>
          </cell>
          <cell r="C161" t="str">
            <v>購買ＱＣ</v>
          </cell>
        </row>
        <row r="162">
          <cell r="B162" t="str">
            <v>アンメルツ足爽快シート　ロングサイズ</v>
          </cell>
          <cell r="C162" t="str">
            <v>購買ＱＣ</v>
          </cell>
        </row>
        <row r="163">
          <cell r="B163" t="str">
            <v>アンメルツ足爽快シート　男性用</v>
          </cell>
          <cell r="C163" t="str">
            <v>購買ＱＣ</v>
          </cell>
        </row>
        <row r="164">
          <cell r="B164" t="str">
            <v>アンメルツ足爽快スプレー</v>
          </cell>
          <cell r="C164" t="str">
            <v>購買ＱＣ</v>
          </cell>
        </row>
        <row r="165">
          <cell r="B165" t="str">
            <v>ワキガード</v>
          </cell>
          <cell r="C165" t="str">
            <v>富山小林</v>
          </cell>
        </row>
        <row r="166">
          <cell r="B166" t="str">
            <v>ワキガードウエットティッシュ</v>
          </cell>
          <cell r="C166" t="str">
            <v>愛媛小林</v>
          </cell>
        </row>
        <row r="167">
          <cell r="B167" t="str">
            <v>目もとひんやりシート</v>
          </cell>
          <cell r="C167" t="str">
            <v>愛媛小林</v>
          </cell>
        </row>
        <row r="168">
          <cell r="B168" t="str">
            <v>ミミクリン</v>
          </cell>
          <cell r="C168" t="str">
            <v>購買ＱＣ</v>
          </cell>
        </row>
        <row r="169">
          <cell r="B169" t="str">
            <v>赤ちゃん用ミミクリン</v>
          </cell>
          <cell r="C169" t="str">
            <v>購買ＱＣ</v>
          </cell>
        </row>
        <row r="170">
          <cell r="B170" t="str">
            <v>あせワキパット</v>
          </cell>
          <cell r="C170" t="str">
            <v>愛媛小林</v>
          </cell>
        </row>
        <row r="171">
          <cell r="B171" t="str">
            <v>ノースリーブ用あせワキパット</v>
          </cell>
          <cell r="C171" t="str">
            <v>愛媛小林</v>
          </cell>
        </row>
        <row r="172">
          <cell r="B172" t="str">
            <v>クイックドライタオル</v>
          </cell>
          <cell r="C172" t="str">
            <v>購買ＱＣ</v>
          </cell>
        </row>
        <row r="173">
          <cell r="B173" t="str">
            <v>シルバーキラッシュ</v>
          </cell>
          <cell r="C173" t="str">
            <v>購買ＱＣ</v>
          </cell>
        </row>
        <row r="174">
          <cell r="B174" t="str">
            <v>ｱﾝﾒﾙﾂ医学サポーター　固定用</v>
          </cell>
          <cell r="C174" t="str">
            <v>購買ＱＣ</v>
          </cell>
        </row>
        <row r="175">
          <cell r="B175" t="str">
            <v>ｱﾝﾒﾙﾂ医学サポーター　保温用</v>
          </cell>
          <cell r="C175" t="str">
            <v>購買ＱＣ</v>
          </cell>
        </row>
        <row r="176">
          <cell r="B176" t="str">
            <v>ｱﾝﾒﾙﾂ医学サポーター　腰椎用</v>
          </cell>
          <cell r="C176" t="str">
            <v>購買ＱＣ</v>
          </cell>
        </row>
        <row r="177">
          <cell r="B177" t="str">
            <v>アンメルツ　医学ひざベルト</v>
          </cell>
          <cell r="C177" t="str">
            <v>購買ＱＣ</v>
          </cell>
        </row>
        <row r="178">
          <cell r="B178" t="str">
            <v>アンメルツ　サーモヘルプ</v>
          </cell>
          <cell r="C178" t="str">
            <v>桐灰化学</v>
          </cell>
        </row>
        <row r="179">
          <cell r="B179" t="str">
            <v>スチームマッサー　肩用</v>
          </cell>
          <cell r="C179" t="str">
            <v>購買ＱＣ</v>
          </cell>
        </row>
        <row r="180">
          <cell r="B180" t="str">
            <v>スチームマッサー　腰用</v>
          </cell>
          <cell r="C180" t="str">
            <v>購買ＱＣ</v>
          </cell>
        </row>
        <row r="181">
          <cell r="B181" t="str">
            <v>スチームマッサー　ひざ用</v>
          </cell>
          <cell r="C181" t="str">
            <v>購買ＱＣ</v>
          </cell>
        </row>
        <row r="182">
          <cell r="B182" t="str">
            <v>キズドライ防水ばんそうこう</v>
          </cell>
          <cell r="C182" t="str">
            <v>購買ＱＣ</v>
          </cell>
        </row>
        <row r="183">
          <cell r="B183" t="str">
            <v>ムシガード</v>
          </cell>
          <cell r="C183" t="str">
            <v>愛媛小林</v>
          </cell>
        </row>
        <row r="184">
          <cell r="B184" t="str">
            <v>くすりの錠剤カッター</v>
          </cell>
          <cell r="C184" t="str">
            <v>購買ＱＣ</v>
          </cell>
        </row>
        <row r="185">
          <cell r="B185" t="str">
            <v>くすりの錠剤クラッシャー</v>
          </cell>
          <cell r="C185" t="str">
            <v>購買ＱＣ</v>
          </cell>
        </row>
        <row r="186">
          <cell r="B186" t="str">
            <v>ニトログリセリンカプセル</v>
          </cell>
          <cell r="C186" t="str">
            <v>購買ＱＣ</v>
          </cell>
        </row>
        <row r="187">
          <cell r="B187" t="str">
            <v>くすりケース　１週間用</v>
          </cell>
          <cell r="C187" t="str">
            <v>購買ＱＣ</v>
          </cell>
        </row>
        <row r="188">
          <cell r="B188" t="str">
            <v>くすりケース　１日用</v>
          </cell>
          <cell r="C188" t="str">
            <v>購買ＱＣ</v>
          </cell>
        </row>
        <row r="189">
          <cell r="B189" t="str">
            <v>くすりケース　６区分用</v>
          </cell>
          <cell r="C189" t="str">
            <v>購買ＱＣ</v>
          </cell>
        </row>
        <row r="190">
          <cell r="B190" t="str">
            <v>くすりケース　キーホルダー付</v>
          </cell>
          <cell r="C190" t="str">
            <v>購買ＱＣ</v>
          </cell>
        </row>
        <row r="191">
          <cell r="B191" t="str">
            <v>くすりのシロップ　ほ乳瓶</v>
          </cell>
          <cell r="C191" t="str">
            <v>購買ＱＣ</v>
          </cell>
        </row>
        <row r="192">
          <cell r="B192" t="str">
            <v>くすりのシロップ　スポイド</v>
          </cell>
          <cell r="C192" t="str">
            <v>購買ＱＣ</v>
          </cell>
        </row>
        <row r="193">
          <cell r="B193" t="str">
            <v>くすりのシロップ　スプーン</v>
          </cell>
          <cell r="C193" t="str">
            <v>購買ＱＣ</v>
          </cell>
        </row>
        <row r="194">
          <cell r="B194" t="str">
            <v>指の包帯</v>
          </cell>
          <cell r="C194" t="str">
            <v>購買ＱＣ</v>
          </cell>
        </row>
        <row r="195">
          <cell r="B195" t="str">
            <v>指の保護クッション</v>
          </cell>
          <cell r="C195" t="str">
            <v>購買ＱＣ</v>
          </cell>
        </row>
        <row r="196">
          <cell r="B196" t="str">
            <v>防水指サック　大きいサイズ</v>
          </cell>
          <cell r="C196" t="str">
            <v>購買ＱＣ</v>
          </cell>
        </row>
        <row r="197">
          <cell r="B197" t="str">
            <v>防水指サック　小さいサイズ</v>
          </cell>
          <cell r="C197" t="str">
            <v>購買ＱＣ</v>
          </cell>
        </row>
        <row r="198">
          <cell r="B198" t="str">
            <v>のどぬーる綿棒</v>
          </cell>
          <cell r="C198" t="str">
            <v>購買ＱＣ</v>
          </cell>
        </row>
        <row r="199">
          <cell r="B199" t="str">
            <v>のどぬーるマスク</v>
          </cell>
          <cell r="C199" t="str">
            <v>購買ＱＣ</v>
          </cell>
        </row>
        <row r="200">
          <cell r="B200" t="str">
            <v>目覚めクールスティック</v>
          </cell>
          <cell r="C200" t="str">
            <v>購買ＱＣ</v>
          </cell>
        </row>
        <row r="201">
          <cell r="B201" t="str">
            <v>鼻スースースティック</v>
          </cell>
          <cell r="C201" t="str">
            <v>購買ＱＣ</v>
          </cell>
        </row>
        <row r="202">
          <cell r="B202" t="str">
            <v>鼻シュッシュ</v>
          </cell>
          <cell r="C202" t="str">
            <v>富山小林</v>
          </cell>
        </row>
        <row r="203">
          <cell r="B203" t="str">
            <v>鼻スースー洗浄液</v>
          </cell>
          <cell r="C203" t="str">
            <v>富山小林</v>
          </cell>
        </row>
        <row r="204">
          <cell r="B204" t="str">
            <v>鼻スースー洗浄液やわらかエアゾール</v>
          </cell>
          <cell r="C204" t="str">
            <v>購買ＱＣ</v>
          </cell>
        </row>
        <row r="205">
          <cell r="B205" t="str">
            <v>鼻スースークール</v>
          </cell>
          <cell r="C205" t="str">
            <v>購買ＱＣ</v>
          </cell>
        </row>
        <row r="206">
          <cell r="B206" t="str">
            <v>イージーファイバー</v>
          </cell>
          <cell r="C206" t="str">
            <v>購買ＱＣ</v>
          </cell>
        </row>
        <row r="207">
          <cell r="B207" t="str">
            <v>イージーファイバーダイエット</v>
          </cell>
          <cell r="C207" t="str">
            <v>購買ＱＣ</v>
          </cell>
        </row>
        <row r="208">
          <cell r="B208" t="str">
            <v>ＢＡＤＩＥＴ</v>
          </cell>
          <cell r="C208" t="str">
            <v>購買ＱＣ</v>
          </cell>
        </row>
        <row r="209">
          <cell r="B209" t="str">
            <v>小林　杜仲茶　３０包</v>
          </cell>
          <cell r="C209" t="str">
            <v>因島工場</v>
          </cell>
        </row>
        <row r="210">
          <cell r="B210" t="str">
            <v>小林　杜仲茶　５０包</v>
          </cell>
          <cell r="C210" t="str">
            <v>因島工場</v>
          </cell>
        </row>
        <row r="211">
          <cell r="B211" t="str">
            <v>小林　杜仲茶　６０包</v>
          </cell>
          <cell r="C211" t="str">
            <v>因島工場</v>
          </cell>
        </row>
        <row r="212">
          <cell r="B212" t="str">
            <v>小林　杜仲茶　１９０Ｇ缶</v>
          </cell>
          <cell r="C212" t="str">
            <v>購買ＱＣ</v>
          </cell>
        </row>
        <row r="213">
          <cell r="B213" t="str">
            <v>小林　杜仲茶　１９０Ｇ缶×６</v>
          </cell>
          <cell r="C213" t="str">
            <v>購買ＱＣ</v>
          </cell>
        </row>
        <row r="214">
          <cell r="B214" t="str">
            <v>小林　杜仲　健圧流茶</v>
          </cell>
          <cell r="C214" t="str">
            <v>購買ＱＣ</v>
          </cell>
        </row>
        <row r="215">
          <cell r="B215" t="str">
            <v>小林　杜仲茶セラミド　５００ｍｌ</v>
          </cell>
          <cell r="C215" t="str">
            <v>購買ＱＣ</v>
          </cell>
        </row>
        <row r="216">
          <cell r="B216" t="str">
            <v>小林　杜仲茶　１．５Ｌボトル</v>
          </cell>
          <cell r="C216" t="str">
            <v>購買ＱＣ</v>
          </cell>
        </row>
        <row r="217">
          <cell r="B217" t="str">
            <v>小林　杜仲１２０</v>
          </cell>
          <cell r="C217" t="str">
            <v>購買ＱＣ</v>
          </cell>
        </row>
        <row r="218">
          <cell r="B218" t="str">
            <v>小林　杜仲１２０×１０本</v>
          </cell>
          <cell r="C218" t="str">
            <v>購買ＱＣ</v>
          </cell>
        </row>
        <row r="219">
          <cell r="B219" t="str">
            <v>小林　杜仲源Ｓ</v>
          </cell>
          <cell r="C219" t="str">
            <v>購買ＱＣ</v>
          </cell>
        </row>
        <row r="220">
          <cell r="B220" t="str">
            <v>小林　杜仲源Ｓ×１０本</v>
          </cell>
          <cell r="C220" t="str">
            <v>購買ＱＣ</v>
          </cell>
        </row>
        <row r="221">
          <cell r="B221" t="str">
            <v>杜仲茶　深緑葉　３０包</v>
          </cell>
          <cell r="C221" t="str">
            <v>因島工場</v>
          </cell>
        </row>
        <row r="222">
          <cell r="B222" t="str">
            <v>杜仲茶　深緑葉　５０包</v>
          </cell>
          <cell r="C222" t="str">
            <v>因島工場</v>
          </cell>
        </row>
        <row r="223">
          <cell r="B223" t="str">
            <v>杜仲茶　深緑葉　６０包</v>
          </cell>
          <cell r="C223" t="str">
            <v>因島工場</v>
          </cell>
        </row>
        <row r="224">
          <cell r="B224" t="str">
            <v>杜仲茶　ゴールド　３０包</v>
          </cell>
          <cell r="C224" t="str">
            <v>因島工場</v>
          </cell>
        </row>
        <row r="225">
          <cell r="B225" t="str">
            <v>杜仲茶　ゴールド　６０包</v>
          </cell>
          <cell r="C225" t="str">
            <v>因島工場</v>
          </cell>
        </row>
        <row r="226">
          <cell r="B226" t="str">
            <v>杜仲茶　象印ポットセット</v>
          </cell>
          <cell r="C226" t="str">
            <v>因島工場</v>
          </cell>
        </row>
        <row r="227">
          <cell r="B227" t="str">
            <v>杜仲茶　業務用</v>
          </cell>
          <cell r="C227" t="str">
            <v>因島工場</v>
          </cell>
        </row>
        <row r="228">
          <cell r="B228" t="str">
            <v>サワデー　本体</v>
          </cell>
          <cell r="C228" t="str">
            <v>富山小林</v>
          </cell>
        </row>
        <row r="229">
          <cell r="B229" t="str">
            <v>サワデー　詰替</v>
          </cell>
          <cell r="C229" t="str">
            <v>富山小林</v>
          </cell>
        </row>
        <row r="230">
          <cell r="B230" t="str">
            <v>サワデー　詰替</v>
          </cell>
          <cell r="C230" t="str">
            <v>仙台小林</v>
          </cell>
        </row>
        <row r="231">
          <cell r="B231" t="str">
            <v>新サワデー　本体</v>
          </cell>
          <cell r="C231" t="str">
            <v>仙台小林</v>
          </cell>
        </row>
        <row r="232">
          <cell r="B232" t="str">
            <v>新サワデー　詰替</v>
          </cell>
          <cell r="C232" t="str">
            <v>仙台小林</v>
          </cell>
        </row>
        <row r="233">
          <cell r="B233" t="str">
            <v>サワデー香りのウォーター</v>
          </cell>
          <cell r="C233" t="str">
            <v>購買ＱＣ</v>
          </cell>
        </row>
        <row r="234">
          <cell r="B234" t="str">
            <v>陶器のサワデー　本体</v>
          </cell>
          <cell r="C234" t="str">
            <v>購買ＱＣ</v>
          </cell>
        </row>
        <row r="235">
          <cell r="B235" t="str">
            <v>陶器のサワデー　詰替</v>
          </cell>
          <cell r="C235" t="str">
            <v>富山小林</v>
          </cell>
        </row>
        <row r="236">
          <cell r="B236" t="str">
            <v>緑茶園ビーズ</v>
          </cell>
          <cell r="C236" t="str">
            <v>富山小林</v>
          </cell>
        </row>
        <row r="237">
          <cell r="B237" t="str">
            <v>緑茶園スプレー</v>
          </cell>
          <cell r="C237" t="str">
            <v>購買ＱＣ</v>
          </cell>
        </row>
        <row r="238">
          <cell r="B238" t="str">
            <v>消臭ガーデン</v>
          </cell>
          <cell r="C238" t="str">
            <v>購買ＱＣ</v>
          </cell>
        </row>
        <row r="239">
          <cell r="B239" t="str">
            <v>なごミュール　本体</v>
          </cell>
          <cell r="C239" t="str">
            <v>購買ＱＣ</v>
          </cell>
        </row>
        <row r="240">
          <cell r="B240" t="str">
            <v>なごミュール　詰替</v>
          </cell>
          <cell r="C240" t="str">
            <v>購買ＱＣ</v>
          </cell>
        </row>
        <row r="241">
          <cell r="B241" t="str">
            <v>好気香炉　本体</v>
          </cell>
          <cell r="C241" t="str">
            <v>購買ＱＣ</v>
          </cell>
        </row>
        <row r="242">
          <cell r="B242" t="str">
            <v>好気香炉　詰替</v>
          </cell>
          <cell r="C242" t="str">
            <v>購買ＱＣ</v>
          </cell>
        </row>
        <row r="243">
          <cell r="B243" t="str">
            <v>トイレの消臭元</v>
          </cell>
          <cell r="C243" t="str">
            <v>富山小林</v>
          </cell>
        </row>
        <row r="244">
          <cell r="B244" t="str">
            <v>トイレの消臭元スプレー</v>
          </cell>
          <cell r="C244" t="str">
            <v>購買ＱＣ</v>
          </cell>
        </row>
        <row r="245">
          <cell r="B245" t="str">
            <v>ブランコロン</v>
          </cell>
          <cell r="C245" t="str">
            <v>購買ＱＣ</v>
          </cell>
        </row>
        <row r="246">
          <cell r="B246" t="str">
            <v>消臭ピュア　トイレ用</v>
          </cell>
          <cell r="C246" t="str">
            <v>購買ＱＣ</v>
          </cell>
        </row>
        <row r="247">
          <cell r="B247" t="str">
            <v>ナチュエアー</v>
          </cell>
          <cell r="C247" t="str">
            <v>購買ＱＣ</v>
          </cell>
        </row>
        <row r="248">
          <cell r="B248" t="str">
            <v>エアリッチ</v>
          </cell>
          <cell r="C248" t="str">
            <v>購買ＱＣ</v>
          </cell>
        </row>
        <row r="249">
          <cell r="B249" t="str">
            <v>ピュアエア　置き型</v>
          </cell>
          <cell r="C249" t="str">
            <v>購買ＱＣ</v>
          </cell>
        </row>
        <row r="250">
          <cell r="B250" t="str">
            <v>ピュアエア　スプレー</v>
          </cell>
          <cell r="C250" t="str">
            <v>購買ＱＣ</v>
          </cell>
        </row>
        <row r="251">
          <cell r="B251" t="str">
            <v>ピュアエア　ミスト</v>
          </cell>
          <cell r="C251" t="str">
            <v>富山小林</v>
          </cell>
        </row>
        <row r="252">
          <cell r="B252" t="str">
            <v>消臭ゴミサワデー　レモン</v>
          </cell>
          <cell r="C252" t="str">
            <v>富山小林</v>
          </cell>
        </row>
        <row r="253">
          <cell r="B253" t="str">
            <v>消臭ゴミサワデー　グリーン</v>
          </cell>
          <cell r="C253" t="str">
            <v>富山小林</v>
          </cell>
        </row>
        <row r="254">
          <cell r="B254" t="str">
            <v>消臭ゴミサワデー　　無香料</v>
          </cell>
          <cell r="C254" t="str">
            <v>購買ＱＣ</v>
          </cell>
        </row>
        <row r="255">
          <cell r="B255" t="str">
            <v>ゴミサワデー</v>
          </cell>
          <cell r="C255" t="str">
            <v>富山小林</v>
          </cell>
        </row>
        <row r="256">
          <cell r="B256" t="str">
            <v>ゴミサワデー消臭スプレー</v>
          </cell>
          <cell r="C256" t="str">
            <v>富山小林</v>
          </cell>
        </row>
        <row r="257">
          <cell r="B257" t="str">
            <v>お部屋の消臭元</v>
          </cell>
          <cell r="C257" t="str">
            <v>富山小林</v>
          </cell>
        </row>
        <row r="258">
          <cell r="B258" t="str">
            <v>消臭コンセントパワー　本体</v>
          </cell>
          <cell r="C258" t="str">
            <v>購買ＱＣ</v>
          </cell>
        </row>
        <row r="259">
          <cell r="B259" t="str">
            <v>消臭コンセントパワー　詰替</v>
          </cell>
          <cell r="C259" t="str">
            <v>購買ＱＣ</v>
          </cell>
        </row>
        <row r="260">
          <cell r="B260" t="str">
            <v>電気の消臭元　本体</v>
          </cell>
          <cell r="C260" t="str">
            <v>購買ＱＣ</v>
          </cell>
        </row>
        <row r="261">
          <cell r="B261" t="str">
            <v>電気の消臭元　詰替</v>
          </cell>
          <cell r="C261" t="str">
            <v>購買ＱＣ</v>
          </cell>
        </row>
        <row r="262">
          <cell r="B262" t="str">
            <v>炭の消臭元　トイレ用</v>
          </cell>
          <cell r="C262" t="str">
            <v>富山小林</v>
          </cell>
        </row>
        <row r="263">
          <cell r="B263" t="str">
            <v>炭の消臭元　お部屋用</v>
          </cell>
          <cell r="C263" t="str">
            <v>富山小林</v>
          </cell>
        </row>
        <row r="264">
          <cell r="B264" t="str">
            <v>和風香　本体</v>
          </cell>
          <cell r="C264" t="str">
            <v>富山小林</v>
          </cell>
        </row>
        <row r="265">
          <cell r="B265" t="str">
            <v>和風香　詰替</v>
          </cell>
          <cell r="C265" t="str">
            <v>富山小林</v>
          </cell>
        </row>
        <row r="266">
          <cell r="B266" t="str">
            <v>木風香　本体</v>
          </cell>
          <cell r="C266" t="str">
            <v>購買ＱＣ</v>
          </cell>
        </row>
        <row r="267">
          <cell r="B267" t="str">
            <v>木風香　詰替</v>
          </cell>
          <cell r="C267" t="str">
            <v>購買ＱＣ</v>
          </cell>
        </row>
        <row r="268">
          <cell r="B268" t="str">
            <v>消臭ピュア　お部屋用</v>
          </cell>
          <cell r="C268" t="str">
            <v>購買ＱＣ</v>
          </cell>
        </row>
        <row r="269">
          <cell r="B269" t="str">
            <v>Ｋｅｓｓ　トイレ用　本体</v>
          </cell>
          <cell r="C269" t="str">
            <v>購買ＱＣ</v>
          </cell>
        </row>
        <row r="270">
          <cell r="B270" t="str">
            <v>Ｋｅｓｓ　トイレ用　詰替</v>
          </cell>
          <cell r="C270" t="str">
            <v>購買ＱＣ</v>
          </cell>
        </row>
        <row r="271">
          <cell r="B271" t="str">
            <v>エコロン</v>
          </cell>
          <cell r="C271" t="str">
            <v>富山小林</v>
          </cell>
        </row>
        <row r="272">
          <cell r="B272" t="str">
            <v>消臭レンジャー　本体</v>
          </cell>
          <cell r="C272" t="str">
            <v>購買ＱＣ</v>
          </cell>
        </row>
        <row r="273">
          <cell r="B273" t="str">
            <v>消臭レンジャー　詰替</v>
          </cell>
          <cell r="C273" t="str">
            <v>購買ＱＣ</v>
          </cell>
        </row>
        <row r="274">
          <cell r="B274" t="str">
            <v>ライゾール</v>
          </cell>
          <cell r="C274" t="str">
            <v>購買ＱＣ</v>
          </cell>
        </row>
        <row r="275">
          <cell r="B275" t="str">
            <v>トイレその後に</v>
          </cell>
          <cell r="C275" t="str">
            <v>購買ＱＣ</v>
          </cell>
        </row>
        <row r="276">
          <cell r="B276" t="str">
            <v>ＫＥＳＳ　トイレその後に</v>
          </cell>
          <cell r="C276" t="str">
            <v>購買ＱＣ</v>
          </cell>
        </row>
        <row r="277">
          <cell r="B277" t="str">
            <v>一滴消臭</v>
          </cell>
          <cell r="C277" t="str">
            <v>購買ＱＣ</v>
          </cell>
        </row>
        <row r="278">
          <cell r="B278" t="str">
            <v>炭力</v>
          </cell>
          <cell r="C278" t="str">
            <v>購買ＱＣ</v>
          </cell>
        </row>
        <row r="279">
          <cell r="B279" t="str">
            <v>無香空間　○得パック</v>
          </cell>
          <cell r="C279" t="str">
            <v>仙台小林</v>
          </cell>
        </row>
        <row r="280">
          <cell r="B280" t="str">
            <v>無香空間　大容量　本体</v>
          </cell>
          <cell r="C280" t="str">
            <v>購買ＱＣ</v>
          </cell>
        </row>
        <row r="281">
          <cell r="B281" t="str">
            <v>無香空間　大容量　詰替</v>
          </cell>
          <cell r="C281" t="str">
            <v>富山小林</v>
          </cell>
        </row>
        <row r="282">
          <cell r="B282" t="str">
            <v>無香空間　詰替 パウチ</v>
          </cell>
          <cell r="C282" t="str">
            <v>富山小林</v>
          </cell>
        </row>
        <row r="283">
          <cell r="B283" t="str">
            <v>無香空間　特大</v>
          </cell>
          <cell r="C283" t="str">
            <v>購買ＱＣ</v>
          </cell>
        </row>
        <row r="284">
          <cell r="B284" t="str">
            <v>無香空間　ﾄｲﾚ用</v>
          </cell>
          <cell r="C284" t="str">
            <v>購買ＱＣ</v>
          </cell>
        </row>
        <row r="285">
          <cell r="B285" t="str">
            <v>無香空間　車用</v>
          </cell>
          <cell r="C285" t="str">
            <v>購買ＱＣ</v>
          </cell>
        </row>
        <row r="286">
          <cell r="B286" t="str">
            <v>無香空間スプレー</v>
          </cell>
          <cell r="C286" t="str">
            <v>購買ＱＣ</v>
          </cell>
        </row>
        <row r="287">
          <cell r="B287" t="str">
            <v>微香空間　大容量　本体</v>
          </cell>
          <cell r="C287" t="str">
            <v>購買ＱＣ</v>
          </cell>
        </row>
        <row r="288">
          <cell r="B288" t="str">
            <v>微香空間　大容量　詰替</v>
          </cell>
          <cell r="C288" t="str">
            <v>富山小林</v>
          </cell>
        </row>
        <row r="289">
          <cell r="B289" t="str">
            <v>微香空間　詰替　パウチ</v>
          </cell>
          <cell r="C289" t="str">
            <v>富山小林</v>
          </cell>
        </row>
        <row r="290">
          <cell r="B290" t="str">
            <v>微香空間　○得パック</v>
          </cell>
          <cell r="C290" t="str">
            <v>仙台小林</v>
          </cell>
        </row>
        <row r="291">
          <cell r="B291" t="str">
            <v>微香空間　車用</v>
          </cell>
          <cell r="C291" t="str">
            <v>購買ＱＣ</v>
          </cell>
        </row>
        <row r="292">
          <cell r="B292" t="str">
            <v>そうじ機の排気抗菌中</v>
          </cell>
          <cell r="C292" t="str">
            <v>購買ＱＣ</v>
          </cell>
        </row>
        <row r="293">
          <cell r="B293" t="str">
            <v>キムコ脱臭消臭茶</v>
          </cell>
          <cell r="C293" t="str">
            <v>購買ＱＣ</v>
          </cell>
        </row>
        <row r="294">
          <cell r="B294" t="str">
            <v>でっかいキムコ脱臭消臭茶</v>
          </cell>
          <cell r="C294" t="str">
            <v>購買ＱＣ</v>
          </cell>
        </row>
        <row r="295">
          <cell r="B295" t="str">
            <v>消臭上手</v>
          </cell>
          <cell r="C295" t="str">
            <v>購買ＱＣ</v>
          </cell>
        </row>
        <row r="296">
          <cell r="B296" t="str">
            <v>新ＫＥＳＳビーズ</v>
          </cell>
          <cell r="C296" t="str">
            <v>購買ＱＣ</v>
          </cell>
        </row>
        <row r="297">
          <cell r="B297" t="str">
            <v>新ＫＥＳＳスプレー</v>
          </cell>
          <cell r="C297" t="str">
            <v>購買ＱＣ</v>
          </cell>
        </row>
        <row r="298">
          <cell r="B298" t="str">
            <v>ブルーレット吊り下げ 本体</v>
          </cell>
          <cell r="C298" t="str">
            <v>大阪工場</v>
          </cell>
        </row>
        <row r="299">
          <cell r="B299" t="str">
            <v>ブルーレット吊り下げ　詰替</v>
          </cell>
          <cell r="C299" t="str">
            <v>大阪工場</v>
          </cell>
        </row>
        <row r="300">
          <cell r="B300" t="str">
            <v>ブルーレットドボン</v>
          </cell>
          <cell r="C300" t="str">
            <v>大阪工場</v>
          </cell>
        </row>
        <row r="301">
          <cell r="B301" t="str">
            <v>ＢＬ無色のドボン</v>
          </cell>
          <cell r="C301" t="str">
            <v>富山小林</v>
          </cell>
        </row>
        <row r="302">
          <cell r="B302" t="str">
            <v>ＢＬドボン洗浄漂白剤</v>
          </cell>
          <cell r="C302" t="str">
            <v>購買ＱＣ</v>
          </cell>
        </row>
        <row r="303">
          <cell r="B303" t="str">
            <v>ブルーレットドボン２倍</v>
          </cell>
          <cell r="C303" t="str">
            <v>大阪工場</v>
          </cell>
        </row>
        <row r="304">
          <cell r="B304" t="str">
            <v>ＢＬおくだけ　本体</v>
          </cell>
          <cell r="C304" t="str">
            <v>仙台小林</v>
          </cell>
        </row>
        <row r="305">
          <cell r="B305" t="str">
            <v>ＢＬおくだけ　詰替</v>
          </cell>
          <cell r="C305" t="str">
            <v>仙台小林</v>
          </cell>
        </row>
        <row r="306">
          <cell r="B306" t="str">
            <v>ＢＬ無色のおくだけ　本体</v>
          </cell>
          <cell r="C306" t="str">
            <v>富山小林</v>
          </cell>
        </row>
        <row r="307">
          <cell r="B307" t="str">
            <v>ＢＬ無色のおくだけ　詰替</v>
          </cell>
          <cell r="C307" t="str">
            <v>富山小林</v>
          </cell>
        </row>
        <row r="308">
          <cell r="B308" t="str">
            <v>ＢＬ陶器のおくだけ　本体</v>
          </cell>
          <cell r="C308" t="str">
            <v>大阪工場</v>
          </cell>
        </row>
        <row r="309">
          <cell r="B309" t="str">
            <v>ＢＬ陶器のおくだけ　詰替</v>
          </cell>
          <cell r="C309" t="str">
            <v>仙台小林</v>
          </cell>
        </row>
        <row r="310">
          <cell r="B310" t="str">
            <v>ＢＬおくだけ洗浄漂白剤　本体</v>
          </cell>
          <cell r="C310" t="str">
            <v>購買ＱＣ</v>
          </cell>
        </row>
        <row r="311">
          <cell r="B311" t="str">
            <v>ＢＬおくだけ洗浄漂白剤　詰替</v>
          </cell>
          <cell r="C311" t="str">
            <v>購買ＱＣ</v>
          </cell>
        </row>
        <row r="312">
          <cell r="B312" t="str">
            <v>液体ブルーレットおくだけ　本体</v>
          </cell>
          <cell r="C312" t="str">
            <v>購買ＱＣ</v>
          </cell>
        </row>
        <row r="313">
          <cell r="B313" t="str">
            <v>液体ブルーレットおくだけ　詰替</v>
          </cell>
          <cell r="C313" t="str">
            <v>購買ＱＣ</v>
          </cell>
        </row>
        <row r="314">
          <cell r="B314" t="str">
            <v>小便器の芳香ゲル</v>
          </cell>
          <cell r="C314" t="str">
            <v>富山小林</v>
          </cell>
        </row>
        <row r="315">
          <cell r="B315" t="str">
            <v>防虫・防かびモスノー</v>
          </cell>
          <cell r="C315" t="str">
            <v>購買ＱＣ</v>
          </cell>
        </row>
        <row r="316">
          <cell r="B316" t="str">
            <v>洋ダンス用モスノー</v>
          </cell>
          <cell r="C316" t="str">
            <v>購買ＱＣ</v>
          </cell>
        </row>
        <row r="317">
          <cell r="B317" t="str">
            <v>モスボックス　フタ式</v>
          </cell>
          <cell r="C317" t="str">
            <v>購買ＱＣ</v>
          </cell>
        </row>
        <row r="318">
          <cell r="B318" t="str">
            <v>モスボックス　引出式</v>
          </cell>
          <cell r="C318" t="str">
            <v>購買ＱＣ</v>
          </cell>
        </row>
        <row r="319">
          <cell r="B319" t="str">
            <v>見えるモスボックス</v>
          </cell>
          <cell r="C319" t="str">
            <v>購買ＱＣ</v>
          </cell>
        </row>
        <row r="320">
          <cell r="B320" t="str">
            <v>ふりふりカーペット</v>
          </cell>
          <cell r="C320" t="str">
            <v>富山小林</v>
          </cell>
        </row>
        <row r="321">
          <cell r="B321" t="str">
            <v>サニボンＦ</v>
          </cell>
          <cell r="C321" t="str">
            <v>購買ＱＣ</v>
          </cell>
        </row>
        <row r="322">
          <cell r="B322" t="str">
            <v>サニボン泡パワー</v>
          </cell>
          <cell r="C322" t="str">
            <v>購買ＱＣ</v>
          </cell>
        </row>
        <row r="323">
          <cell r="B323" t="str">
            <v>かんたん洗浄丸</v>
          </cell>
          <cell r="C323" t="str">
            <v>購買ＱＣ</v>
          </cell>
        </row>
        <row r="324">
          <cell r="B324" t="str">
            <v>かんたん洗浄丸　強力タイプ</v>
          </cell>
          <cell r="C324" t="str">
            <v>購買ＱＣ</v>
          </cell>
        </row>
        <row r="325">
          <cell r="B325" t="str">
            <v>かんたん洗浄丸　洗濯槽用</v>
          </cell>
          <cell r="C325" t="str">
            <v>購買ＱＣ</v>
          </cell>
        </row>
        <row r="326">
          <cell r="B326" t="str">
            <v>洗浄キューブ</v>
          </cell>
          <cell r="C326" t="str">
            <v>購買ＱＣ</v>
          </cell>
        </row>
        <row r="327">
          <cell r="B327" t="str">
            <v>ブルーレット液体トイレ洗浄中　本体</v>
          </cell>
          <cell r="C327" t="str">
            <v>仙台小林</v>
          </cell>
        </row>
        <row r="328">
          <cell r="B328" t="str">
            <v>ブルーレット液体トイレ洗浄中　詰替</v>
          </cell>
          <cell r="C328" t="str">
            <v>仙台小林</v>
          </cell>
        </row>
        <row r="329">
          <cell r="B329" t="str">
            <v>小林製薬のヌメリ取り</v>
          </cell>
          <cell r="C329" t="str">
            <v>購買ＱＣ</v>
          </cell>
        </row>
        <row r="330">
          <cell r="B330" t="str">
            <v>小林製薬のヌメリ取り　浴室用</v>
          </cell>
          <cell r="C330" t="str">
            <v>購買ＱＣ</v>
          </cell>
        </row>
        <row r="331">
          <cell r="B331" t="str">
            <v>まな板洗浄中</v>
          </cell>
          <cell r="C331" t="str">
            <v>購買ＱＣ</v>
          </cell>
        </row>
        <row r="332">
          <cell r="B332" t="str">
            <v>トイレ洗浄中</v>
          </cell>
          <cell r="C332" t="str">
            <v>富山小林</v>
          </cell>
        </row>
        <row r="333">
          <cell r="B333" t="str">
            <v>水洗タンク洗浄中</v>
          </cell>
          <cell r="C333" t="str">
            <v>富山小林</v>
          </cell>
        </row>
        <row r="334">
          <cell r="B334" t="str">
            <v>便器のすきまお掃除スティック</v>
          </cell>
          <cell r="C334" t="str">
            <v>プラックス</v>
          </cell>
        </row>
        <row r="335">
          <cell r="B335" t="str">
            <v>ポット洗浄中</v>
          </cell>
          <cell r="C335" t="str">
            <v>富山小林</v>
          </cell>
        </row>
        <row r="336">
          <cell r="B336" t="str">
            <v>クエン酸洗浄中</v>
          </cell>
          <cell r="C336" t="str">
            <v>購買ＱＣ</v>
          </cell>
        </row>
        <row r="337">
          <cell r="B337" t="str">
            <v>水筒洗浄中</v>
          </cell>
          <cell r="C337" t="str">
            <v>富山小林</v>
          </cell>
        </row>
        <row r="338">
          <cell r="B338" t="str">
            <v>コーヒーメーカー洗浄中</v>
          </cell>
          <cell r="C338" t="str">
            <v>富山小林</v>
          </cell>
        </row>
        <row r="339">
          <cell r="B339" t="str">
            <v>タタミのツヤ出し～な</v>
          </cell>
          <cell r="C339" t="str">
            <v>愛媛小林</v>
          </cell>
        </row>
        <row r="340">
          <cell r="B340" t="str">
            <v>水アカふきとりーな</v>
          </cell>
          <cell r="C340" t="str">
            <v>愛媛小林</v>
          </cell>
        </row>
        <row r="341">
          <cell r="B341" t="str">
            <v>自然にカエル</v>
          </cell>
          <cell r="C341" t="str">
            <v>購買ＱＣ</v>
          </cell>
        </row>
        <row r="342">
          <cell r="B342" t="str">
            <v>エブリピュア</v>
          </cell>
          <cell r="C342" t="str">
            <v>購買ＱＣ</v>
          </cell>
        </row>
        <row r="343">
          <cell r="B343" t="str">
            <v>エアコン徹底消臭防カビスプレー</v>
          </cell>
          <cell r="C343" t="str">
            <v>購買ＱＣ</v>
          </cell>
        </row>
        <row r="344">
          <cell r="B344" t="str">
            <v>エアコン徹底洗浄スプレー</v>
          </cell>
          <cell r="C344" t="str">
            <v>購買ＱＣ</v>
          </cell>
        </row>
        <row r="345">
          <cell r="B345" t="str">
            <v>エアコン徹底スティック</v>
          </cell>
          <cell r="C345" t="str">
            <v>プラックス</v>
          </cell>
        </row>
        <row r="346">
          <cell r="B346" t="str">
            <v>フィルター洗浄中</v>
          </cell>
          <cell r="C346" t="str">
            <v>購買ＱＣ</v>
          </cell>
        </row>
        <row r="347">
          <cell r="B347" t="str">
            <v>カビ生えない泡スプレー</v>
          </cell>
          <cell r="C347" t="str">
            <v>購買ＱＣ</v>
          </cell>
        </row>
        <row r="348">
          <cell r="B348" t="str">
            <v>チン！してふくだけ</v>
          </cell>
          <cell r="C348" t="str">
            <v>愛媛小林</v>
          </cell>
        </row>
        <row r="349">
          <cell r="B349" t="str">
            <v>あ！グリルきれい</v>
          </cell>
          <cell r="C349" t="str">
            <v>購買ＱＣ</v>
          </cell>
        </row>
        <row r="350">
          <cell r="B350" t="str">
            <v>ｻﾗｻｰﾃｨ生理用洗剤</v>
          </cell>
          <cell r="C350" t="str">
            <v>富山小林</v>
          </cell>
        </row>
        <row r="351">
          <cell r="B351" t="str">
            <v>しみとりーな</v>
          </cell>
          <cell r="C351" t="str">
            <v>購買ＱＣ</v>
          </cell>
        </row>
        <row r="352">
          <cell r="B352" t="str">
            <v>ジャブル</v>
          </cell>
          <cell r="C352" t="str">
            <v>購買ＱＣ</v>
          </cell>
        </row>
        <row r="353">
          <cell r="B353" t="str">
            <v>電気シェーバー洗浄中</v>
          </cell>
          <cell r="C353" t="str">
            <v>購買ＱＣ</v>
          </cell>
        </row>
        <row r="354">
          <cell r="B354" t="str">
            <v>窓ガラスきれいに仕上げ隊</v>
          </cell>
          <cell r="C354" t="str">
            <v>購買ＱＣ</v>
          </cell>
        </row>
        <row r="355">
          <cell r="B355" t="str">
            <v>網戸きれいに仕上げ隊</v>
          </cell>
          <cell r="C355" t="str">
            <v>購買ＱＣ</v>
          </cell>
        </row>
        <row r="356">
          <cell r="B356" t="str">
            <v>露取りワイパー</v>
          </cell>
          <cell r="C356" t="str">
            <v>プラックス</v>
          </cell>
        </row>
        <row r="357">
          <cell r="B357" t="str">
            <v>便座除菌クリーナ　ティッシュ</v>
          </cell>
          <cell r="C357" t="str">
            <v>愛媛小林</v>
          </cell>
        </row>
        <row r="358">
          <cell r="B358" t="str">
            <v>便座除菌クリーナ　スプレー</v>
          </cell>
          <cell r="C358" t="str">
            <v>購買ＱＣ</v>
          </cell>
        </row>
        <row r="359">
          <cell r="B359" t="str">
            <v>便座除菌クリーナ　家庭・業務用</v>
          </cell>
          <cell r="C359" t="str">
            <v>愛媛小林</v>
          </cell>
        </row>
        <row r="360">
          <cell r="B360" t="str">
            <v>便座除菌クリーナ　ＪＲ用</v>
          </cell>
          <cell r="C360" t="str">
            <v>愛媛小林</v>
          </cell>
        </row>
        <row r="361">
          <cell r="B361" t="str">
            <v>ﾊﾞｸﾃﾉｰﾙ除菌・衛生ｱﾙｺｰﾙ　携帯用</v>
          </cell>
          <cell r="C361" t="str">
            <v>愛媛小林</v>
          </cell>
        </row>
        <row r="362">
          <cell r="B362" t="str">
            <v>ﾊﾞｸﾃﾉｰﾙ除菌・衛生ｱﾙｺｰﾙ　ボトル</v>
          </cell>
          <cell r="C362" t="str">
            <v>愛媛小林</v>
          </cell>
        </row>
        <row r="363">
          <cell r="B363" t="str">
            <v>ﾊﾞｸﾃﾉｰﾙ除菌・衛生ｱﾙｺｰﾙ　ｽﾌﾟﾚｰ本体</v>
          </cell>
          <cell r="C363" t="str">
            <v>購買ＱＣ</v>
          </cell>
        </row>
        <row r="364">
          <cell r="B364" t="str">
            <v>ﾊﾞｸﾃﾉｰﾙ除菌・衛生ｱﾙｺｰﾙ　ｽﾌﾟﾚｰ詰替</v>
          </cell>
          <cell r="C364" t="str">
            <v>購買ＱＣ</v>
          </cell>
        </row>
        <row r="365">
          <cell r="B365" t="str">
            <v>トイレットペーパーでちょいふき</v>
          </cell>
          <cell r="C365" t="str">
            <v>購買ＱＣ</v>
          </cell>
        </row>
        <row r="366">
          <cell r="B366" t="str">
            <v>ティッシュでちょいふき</v>
          </cell>
          <cell r="C366" t="str">
            <v>購買ＱＣ</v>
          </cell>
        </row>
        <row r="367">
          <cell r="B367" t="str">
            <v>ミトンでふきふき</v>
          </cell>
          <cell r="C367" t="str">
            <v>購買ＱＣ</v>
          </cell>
        </row>
        <row r="368">
          <cell r="B368" t="str">
            <v>ナチュリーズ</v>
          </cell>
          <cell r="C368" t="str">
            <v>購買ＱＣ</v>
          </cell>
        </row>
        <row r="369">
          <cell r="B369" t="str">
            <v>デオコート</v>
          </cell>
          <cell r="C369" t="str">
            <v>購買ＱＣ</v>
          </cell>
        </row>
        <row r="370">
          <cell r="B370" t="str">
            <v>めがねクリーナふきふき</v>
          </cell>
          <cell r="C370" t="str">
            <v>愛媛小林</v>
          </cell>
        </row>
        <row r="371">
          <cell r="B371" t="str">
            <v>めがねクリーナふきふき　家庭・ｵﾌｨｽ用</v>
          </cell>
          <cell r="C371" t="str">
            <v>購買ＱＣ</v>
          </cell>
        </row>
        <row r="372">
          <cell r="B372" t="str">
            <v>鏡クリーナふきふき</v>
          </cell>
          <cell r="C372" t="str">
            <v>愛媛小林</v>
          </cell>
        </row>
        <row r="373">
          <cell r="B373" t="str">
            <v>お弁当の衛生対策シート</v>
          </cell>
          <cell r="C373" t="str">
            <v>購買ＱＣ</v>
          </cell>
        </row>
        <row r="374">
          <cell r="B374" t="str">
            <v>髪の毛集めてポイ</v>
          </cell>
          <cell r="C374" t="str">
            <v>購買ＱＣ</v>
          </cell>
        </row>
        <row r="375">
          <cell r="B375" t="str">
            <v>へアブラシ洗浄中</v>
          </cell>
          <cell r="C375" t="str">
            <v>富山小林</v>
          </cell>
        </row>
        <row r="376">
          <cell r="B376" t="str">
            <v>まな板汚さないシート</v>
          </cell>
          <cell r="C376" t="str">
            <v>購買ＱＣ</v>
          </cell>
        </row>
        <row r="377">
          <cell r="B377" t="str">
            <v>換気扇のホコリ集めてポイ</v>
          </cell>
          <cell r="C377" t="str">
            <v>購買ＱＣ</v>
          </cell>
        </row>
        <row r="378">
          <cell r="B378" t="str">
            <v>エアコンのホコリ集めてポイ</v>
          </cell>
          <cell r="C378" t="str">
            <v>購買ＱＣ</v>
          </cell>
        </row>
        <row r="379">
          <cell r="B379" t="str">
            <v>ピシット</v>
          </cell>
          <cell r="C379" t="str">
            <v>購買ＱＣ</v>
          </cell>
        </row>
        <row r="380">
          <cell r="B380" t="str">
            <v>根菜長持ちーな</v>
          </cell>
          <cell r="C380" t="str">
            <v>購買ＱＣ</v>
          </cell>
        </row>
        <row r="381">
          <cell r="B381" t="str">
            <v>野菜長持ちーな</v>
          </cell>
          <cell r="C381" t="str">
            <v>購買ＱＣ</v>
          </cell>
        </row>
        <row r="382">
          <cell r="B382" t="str">
            <v>キムコ　マックスレギュラー　抗菌</v>
          </cell>
          <cell r="C382" t="str">
            <v>チバコバヤシ</v>
          </cell>
        </row>
        <row r="383">
          <cell r="B383" t="str">
            <v>キムコ　マックスジャイアント　抗菌</v>
          </cell>
          <cell r="C383" t="str">
            <v>チバコバヤシ</v>
          </cell>
        </row>
        <row r="384">
          <cell r="B384" t="str">
            <v>スピード　キムコ</v>
          </cell>
          <cell r="C384" t="str">
            <v>チバコバヤシ</v>
          </cell>
        </row>
        <row r="385">
          <cell r="B385" t="str">
            <v>氷キムコ　マックス</v>
          </cell>
          <cell r="C385" t="str">
            <v>チバコバヤシ</v>
          </cell>
        </row>
        <row r="386">
          <cell r="B386" t="str">
            <v>ニュー氷キムコ</v>
          </cell>
          <cell r="C386" t="str">
            <v>チバコバヤシ</v>
          </cell>
        </row>
        <row r="387">
          <cell r="B387" t="str">
            <v>ニュー野菜キムコ</v>
          </cell>
          <cell r="C387" t="str">
            <v>チバコバヤシ</v>
          </cell>
        </row>
        <row r="388">
          <cell r="B388" t="str">
            <v>ニューキムコ　冷蔵庫クリーナー</v>
          </cell>
          <cell r="C388" t="str">
            <v>チバコバヤシ</v>
          </cell>
        </row>
        <row r="389">
          <cell r="B389" t="str">
            <v>プリティ　角質除去クリーム</v>
          </cell>
          <cell r="C389" t="str">
            <v>購買ＱＣ</v>
          </cell>
        </row>
      </sheetData>
      <sheetData sheetId="29" refreshError="1"/>
      <sheetData sheetId="30" refreshError="1"/>
      <sheetData sheetId="31" refreshError="1"/>
      <sheetData sheetId="32" refreshError="1"/>
      <sheetData sheetId="33"/>
      <sheetData sheetId="34"/>
      <sheetData sheetId="35"/>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個人Ｍ"/>
      <sheetName val="元データ"/>
      <sheetName val="Sheet2"/>
      <sheetName val="変換データ"/>
      <sheetName val="データ集計"/>
      <sheetName val="Sheet1"/>
      <sheetName val="メッセージ変換"/>
    </sheetNames>
    <sheetDataSet>
      <sheetData sheetId="0"/>
      <sheetData sheetId="1"/>
      <sheetData sheetId="2"/>
      <sheetData sheetId="3">
        <row r="1">
          <cell r="A1" t="str">
            <v>社員コード</v>
          </cell>
          <cell r="B1" t="str">
            <v>氏名</v>
          </cell>
          <cell r="C1" t="str">
            <v>問い番号</v>
          </cell>
          <cell r="D1" t="str">
            <v>内容１</v>
          </cell>
          <cell r="E1" t="str">
            <v>内容２</v>
          </cell>
          <cell r="F1" t="str">
            <v>内容3</v>
          </cell>
        </row>
        <row r="2">
          <cell r="A2" t="str">
            <v>A09801</v>
          </cell>
        </row>
        <row r="3">
          <cell r="A3" t="str">
            <v>A09801</v>
          </cell>
        </row>
        <row r="4">
          <cell r="A4" t="str">
            <v>A09801</v>
          </cell>
        </row>
        <row r="5">
          <cell r="A5" t="str">
            <v>A09801</v>
          </cell>
        </row>
        <row r="6">
          <cell r="A6" t="str">
            <v>A09801</v>
          </cell>
        </row>
        <row r="7">
          <cell r="A7" t="str">
            <v>A09801</v>
          </cell>
        </row>
        <row r="8">
          <cell r="A8" t="str">
            <v>A07411</v>
          </cell>
        </row>
        <row r="9">
          <cell r="A9" t="str">
            <v>A07411</v>
          </cell>
        </row>
        <row r="10">
          <cell r="A10" t="str">
            <v>A07411</v>
          </cell>
        </row>
        <row r="11">
          <cell r="A11" t="str">
            <v>A07411</v>
          </cell>
        </row>
        <row r="12">
          <cell r="A12" t="str">
            <v>A07411</v>
          </cell>
        </row>
        <row r="13">
          <cell r="A13" t="str">
            <v>A07411</v>
          </cell>
        </row>
        <row r="14">
          <cell r="A14" t="str">
            <v>A07411</v>
          </cell>
        </row>
        <row r="15">
          <cell r="A15" t="str">
            <v>A07411</v>
          </cell>
        </row>
        <row r="16">
          <cell r="A16" t="str">
            <v>A07411</v>
          </cell>
        </row>
        <row r="17">
          <cell r="A17" t="str">
            <v>A07411</v>
          </cell>
        </row>
        <row r="18">
          <cell r="A18" t="str">
            <v>A07411</v>
          </cell>
        </row>
        <row r="19">
          <cell r="A19" t="str">
            <v>A00201</v>
          </cell>
        </row>
        <row r="20">
          <cell r="A20" t="str">
            <v>A00201</v>
          </cell>
        </row>
        <row r="21">
          <cell r="A21" t="str">
            <v>A00201</v>
          </cell>
        </row>
        <row r="22">
          <cell r="A22" t="str">
            <v>A00201</v>
          </cell>
        </row>
        <row r="23">
          <cell r="A23" t="str">
            <v>A00201</v>
          </cell>
        </row>
        <row r="24">
          <cell r="A24" t="str">
            <v>A00201</v>
          </cell>
        </row>
        <row r="25">
          <cell r="A25" t="str">
            <v>A00201</v>
          </cell>
        </row>
        <row r="26">
          <cell r="A26" t="str">
            <v>A00101</v>
          </cell>
        </row>
        <row r="27">
          <cell r="A27" t="str">
            <v>A00101</v>
          </cell>
        </row>
        <row r="28">
          <cell r="A28" t="str">
            <v>A00101</v>
          </cell>
        </row>
        <row r="29">
          <cell r="A29" t="str">
            <v>A00101</v>
          </cell>
        </row>
        <row r="30">
          <cell r="A30" t="str">
            <v>A00101</v>
          </cell>
        </row>
        <row r="31">
          <cell r="A31" t="str">
            <v>A00101</v>
          </cell>
        </row>
        <row r="32">
          <cell r="A32" t="str">
            <v>A00101</v>
          </cell>
        </row>
        <row r="33">
          <cell r="A33" t="str">
            <v>A00101</v>
          </cell>
        </row>
        <row r="34">
          <cell r="A34" t="str">
            <v>A00404</v>
          </cell>
        </row>
        <row r="35">
          <cell r="A35" t="str">
            <v>A00404</v>
          </cell>
        </row>
        <row r="36">
          <cell r="A36" t="str">
            <v>A00404</v>
          </cell>
        </row>
        <row r="37">
          <cell r="A37" t="str">
            <v>A00404</v>
          </cell>
        </row>
        <row r="38">
          <cell r="A38" t="str">
            <v>A00404</v>
          </cell>
        </row>
        <row r="39">
          <cell r="A39" t="str">
            <v>A00404</v>
          </cell>
        </row>
        <row r="40">
          <cell r="A40" t="str">
            <v>A00404</v>
          </cell>
        </row>
        <row r="41">
          <cell r="A41" t="str">
            <v>A00404</v>
          </cell>
        </row>
        <row r="42">
          <cell r="A42" t="str">
            <v>A09107</v>
          </cell>
        </row>
        <row r="43">
          <cell r="A43" t="str">
            <v>A09107</v>
          </cell>
        </row>
        <row r="44">
          <cell r="A44" t="str">
            <v>A09107</v>
          </cell>
        </row>
        <row r="45">
          <cell r="A45" t="str">
            <v>A09107</v>
          </cell>
        </row>
        <row r="46">
          <cell r="A46" t="str">
            <v>A09107</v>
          </cell>
        </row>
        <row r="47">
          <cell r="A47" t="str">
            <v>A09107</v>
          </cell>
        </row>
        <row r="48">
          <cell r="A48" t="str">
            <v>A09107</v>
          </cell>
        </row>
        <row r="49">
          <cell r="A49" t="str">
            <v>A09107</v>
          </cell>
        </row>
        <row r="50">
          <cell r="A50" t="str">
            <v>A09107</v>
          </cell>
        </row>
        <row r="51">
          <cell r="A51" t="str">
            <v>A09107</v>
          </cell>
        </row>
        <row r="52">
          <cell r="A52" t="str">
            <v>A09107</v>
          </cell>
        </row>
        <row r="53">
          <cell r="A53" t="str">
            <v>A09107</v>
          </cell>
        </row>
        <row r="54">
          <cell r="A54" t="str">
            <v>A09107</v>
          </cell>
        </row>
        <row r="55">
          <cell r="A55" t="str">
            <v>A09107</v>
          </cell>
        </row>
        <row r="56">
          <cell r="A56" t="str">
            <v>A09107</v>
          </cell>
        </row>
        <row r="57">
          <cell r="A57" t="str">
            <v>A09107</v>
          </cell>
        </row>
        <row r="58">
          <cell r="A58" t="str">
            <v>A09107</v>
          </cell>
        </row>
        <row r="59">
          <cell r="A59" t="str">
            <v>A09107</v>
          </cell>
        </row>
        <row r="60">
          <cell r="A60" t="str">
            <v>A09107</v>
          </cell>
        </row>
        <row r="61">
          <cell r="A61" t="str">
            <v>A09107</v>
          </cell>
        </row>
        <row r="62">
          <cell r="A62" t="str">
            <v>A09107</v>
          </cell>
        </row>
        <row r="63">
          <cell r="A63" t="str">
            <v>A09107</v>
          </cell>
        </row>
        <row r="64">
          <cell r="A64" t="str">
            <v>A08930</v>
          </cell>
        </row>
        <row r="65">
          <cell r="A65" t="str">
            <v>A08930</v>
          </cell>
        </row>
        <row r="66">
          <cell r="A66" t="str">
            <v>A08930</v>
          </cell>
        </row>
        <row r="67">
          <cell r="A67" t="str">
            <v>A08930</v>
          </cell>
        </row>
        <row r="68">
          <cell r="A68" t="str">
            <v>A08930</v>
          </cell>
        </row>
        <row r="69">
          <cell r="A69" t="str">
            <v>A08930</v>
          </cell>
        </row>
        <row r="70">
          <cell r="A70" t="str">
            <v>A08930</v>
          </cell>
        </row>
        <row r="71">
          <cell r="A71" t="str">
            <v>A09503</v>
          </cell>
        </row>
        <row r="72">
          <cell r="A72" t="str">
            <v>A09503</v>
          </cell>
        </row>
        <row r="73">
          <cell r="A73" t="str">
            <v>A09503</v>
          </cell>
        </row>
        <row r="74">
          <cell r="A74" t="str">
            <v>A09503</v>
          </cell>
        </row>
        <row r="75">
          <cell r="A75" t="str">
            <v>A09503</v>
          </cell>
        </row>
        <row r="76">
          <cell r="A76" t="str">
            <v>A09503</v>
          </cell>
        </row>
        <row r="77">
          <cell r="A77" t="str">
            <v>A09503</v>
          </cell>
        </row>
        <row r="78">
          <cell r="A78" t="str">
            <v>A09503</v>
          </cell>
        </row>
        <row r="79">
          <cell r="A79" t="str">
            <v>A09503</v>
          </cell>
        </row>
        <row r="80">
          <cell r="A80" t="str">
            <v>A07708</v>
          </cell>
        </row>
        <row r="81">
          <cell r="A81" t="str">
            <v>A07708</v>
          </cell>
        </row>
        <row r="82">
          <cell r="A82" t="str">
            <v>A07708</v>
          </cell>
        </row>
        <row r="83">
          <cell r="A83" t="str">
            <v>A07708</v>
          </cell>
        </row>
        <row r="84">
          <cell r="A84" t="str">
            <v>A07708</v>
          </cell>
        </row>
        <row r="85">
          <cell r="A85" t="str">
            <v>A07708</v>
          </cell>
        </row>
        <row r="86">
          <cell r="A86" t="str">
            <v>A07708</v>
          </cell>
        </row>
        <row r="87">
          <cell r="A87" t="str">
            <v>A07708</v>
          </cell>
        </row>
        <row r="88">
          <cell r="A88" t="str">
            <v>A07708</v>
          </cell>
        </row>
        <row r="89">
          <cell r="A89" t="str">
            <v>A07708</v>
          </cell>
        </row>
        <row r="90">
          <cell r="A90" t="str">
            <v>A07708</v>
          </cell>
        </row>
        <row r="91">
          <cell r="A91" t="str">
            <v>A09507</v>
          </cell>
        </row>
        <row r="92">
          <cell r="A92" t="str">
            <v>A09507</v>
          </cell>
        </row>
        <row r="93">
          <cell r="A93" t="str">
            <v>A09507</v>
          </cell>
        </row>
        <row r="94">
          <cell r="A94" t="str">
            <v>A09507</v>
          </cell>
        </row>
        <row r="95">
          <cell r="A95" t="str">
            <v>A09507</v>
          </cell>
        </row>
        <row r="96">
          <cell r="A96" t="str">
            <v>A09507</v>
          </cell>
        </row>
        <row r="97">
          <cell r="A97" t="str">
            <v>A09507</v>
          </cell>
        </row>
        <row r="98">
          <cell r="A98" t="str">
            <v>A09507</v>
          </cell>
        </row>
        <row r="99">
          <cell r="A99" t="str">
            <v>A07323</v>
          </cell>
        </row>
        <row r="100">
          <cell r="A100" t="str">
            <v>A07323</v>
          </cell>
        </row>
        <row r="101">
          <cell r="A101" t="str">
            <v>A07323</v>
          </cell>
        </row>
        <row r="102">
          <cell r="A102" t="str">
            <v>A07323</v>
          </cell>
        </row>
        <row r="103">
          <cell r="A103" t="str">
            <v>A07323</v>
          </cell>
        </row>
        <row r="104">
          <cell r="A104" t="str">
            <v>A07323</v>
          </cell>
        </row>
        <row r="105">
          <cell r="A105" t="str">
            <v>A07323</v>
          </cell>
        </row>
        <row r="106">
          <cell r="A106" t="str">
            <v>A07323</v>
          </cell>
        </row>
        <row r="107">
          <cell r="A107" t="str">
            <v>A07323</v>
          </cell>
        </row>
        <row r="108">
          <cell r="A108" t="str">
            <v>A07323</v>
          </cell>
        </row>
        <row r="109">
          <cell r="A109" t="str">
            <v>A07218</v>
          </cell>
        </row>
        <row r="110">
          <cell r="A110" t="str">
            <v>A07218</v>
          </cell>
        </row>
        <row r="111">
          <cell r="A111" t="str">
            <v>A07218</v>
          </cell>
        </row>
        <row r="112">
          <cell r="A112" t="str">
            <v>A07218</v>
          </cell>
        </row>
        <row r="113">
          <cell r="A113" t="str">
            <v>A07218</v>
          </cell>
        </row>
        <row r="114">
          <cell r="A114" t="str">
            <v>A07218</v>
          </cell>
        </row>
        <row r="115">
          <cell r="A115" t="str">
            <v>A07218</v>
          </cell>
        </row>
        <row r="116">
          <cell r="A116" t="str">
            <v>A00505</v>
          </cell>
        </row>
        <row r="117">
          <cell r="A117" t="str">
            <v>A00505</v>
          </cell>
        </row>
        <row r="118">
          <cell r="A118" t="str">
            <v>A00505</v>
          </cell>
        </row>
        <row r="119">
          <cell r="A119" t="str">
            <v>A00505</v>
          </cell>
        </row>
        <row r="120">
          <cell r="A120" t="str">
            <v>A00505</v>
          </cell>
        </row>
        <row r="121">
          <cell r="A121" t="str">
            <v>A00505</v>
          </cell>
        </row>
        <row r="122">
          <cell r="A122" t="str">
            <v>A00505</v>
          </cell>
        </row>
        <row r="123">
          <cell r="A123" t="str">
            <v>A00505</v>
          </cell>
        </row>
        <row r="124">
          <cell r="A124" t="str">
            <v>A00503</v>
          </cell>
        </row>
        <row r="125">
          <cell r="A125" t="str">
            <v>A00503</v>
          </cell>
        </row>
        <row r="126">
          <cell r="A126" t="str">
            <v>A00503</v>
          </cell>
        </row>
        <row r="127">
          <cell r="A127" t="str">
            <v>A00503</v>
          </cell>
        </row>
        <row r="128">
          <cell r="A128" t="str">
            <v>A00503</v>
          </cell>
        </row>
        <row r="129">
          <cell r="A129" t="str">
            <v>A00503</v>
          </cell>
        </row>
        <row r="130">
          <cell r="A130" t="str">
            <v>A00503</v>
          </cell>
        </row>
        <row r="131">
          <cell r="A131" t="str">
            <v>A00503</v>
          </cell>
        </row>
        <row r="132">
          <cell r="A132" t="str">
            <v>A00503</v>
          </cell>
        </row>
        <row r="133">
          <cell r="A133" t="str">
            <v>A00507</v>
          </cell>
        </row>
        <row r="134">
          <cell r="A134" t="str">
            <v>A00507</v>
          </cell>
        </row>
        <row r="135">
          <cell r="A135" t="str">
            <v>A00507</v>
          </cell>
        </row>
        <row r="136">
          <cell r="A136" t="str">
            <v>A00507</v>
          </cell>
        </row>
        <row r="137">
          <cell r="A137" t="str">
            <v>A00507</v>
          </cell>
        </row>
        <row r="138">
          <cell r="A138" t="str">
            <v>A00507</v>
          </cell>
        </row>
        <row r="139">
          <cell r="A139" t="str">
            <v>A09901</v>
          </cell>
        </row>
        <row r="140">
          <cell r="A140" t="str">
            <v>A09901</v>
          </cell>
        </row>
        <row r="141">
          <cell r="A141" t="str">
            <v>A09901</v>
          </cell>
        </row>
        <row r="142">
          <cell r="A142" t="str">
            <v>A09901</v>
          </cell>
        </row>
        <row r="143">
          <cell r="A143" t="str">
            <v>A09901</v>
          </cell>
        </row>
        <row r="144">
          <cell r="A144" t="str">
            <v>A09410</v>
          </cell>
        </row>
        <row r="145">
          <cell r="A145" t="str">
            <v>A09410</v>
          </cell>
        </row>
        <row r="146">
          <cell r="A146" t="str">
            <v>A09410</v>
          </cell>
        </row>
        <row r="147">
          <cell r="A147" t="str">
            <v>A09410</v>
          </cell>
        </row>
        <row r="148">
          <cell r="A148" t="str">
            <v>A09410</v>
          </cell>
        </row>
        <row r="149">
          <cell r="A149" t="str">
            <v>A09410</v>
          </cell>
        </row>
        <row r="150">
          <cell r="A150" t="str">
            <v>A09410</v>
          </cell>
        </row>
        <row r="151">
          <cell r="A151" t="str">
            <v>A09410</v>
          </cell>
        </row>
        <row r="152">
          <cell r="A152" t="str">
            <v>A00302</v>
          </cell>
        </row>
        <row r="153">
          <cell r="A153" t="str">
            <v>A00302</v>
          </cell>
        </row>
        <row r="154">
          <cell r="A154" t="str">
            <v>A00302</v>
          </cell>
        </row>
        <row r="155">
          <cell r="A155" t="str">
            <v>A00302</v>
          </cell>
        </row>
        <row r="156">
          <cell r="A156" t="str">
            <v>A00302</v>
          </cell>
        </row>
        <row r="157">
          <cell r="A157" t="str">
            <v>A00302</v>
          </cell>
        </row>
        <row r="158">
          <cell r="A158" t="str">
            <v>A00302</v>
          </cell>
        </row>
        <row r="159">
          <cell r="A159" t="str">
            <v>A00302</v>
          </cell>
        </row>
        <row r="160">
          <cell r="A160" t="str">
            <v>A00302</v>
          </cell>
        </row>
        <row r="161">
          <cell r="A161" t="str">
            <v>A08920</v>
          </cell>
        </row>
        <row r="162">
          <cell r="A162" t="str">
            <v>A08920</v>
          </cell>
        </row>
        <row r="163">
          <cell r="A163" t="str">
            <v>A08920</v>
          </cell>
        </row>
        <row r="164">
          <cell r="A164" t="str">
            <v>A08920</v>
          </cell>
        </row>
        <row r="165">
          <cell r="A165" t="str">
            <v>A08920</v>
          </cell>
        </row>
        <row r="166">
          <cell r="A166" t="str">
            <v>A08920</v>
          </cell>
        </row>
        <row r="167">
          <cell r="A167" t="str">
            <v>A08920</v>
          </cell>
        </row>
        <row r="168">
          <cell r="A168" t="str">
            <v>A08920</v>
          </cell>
        </row>
        <row r="169">
          <cell r="A169" t="str">
            <v>A08920</v>
          </cell>
        </row>
        <row r="170">
          <cell r="A170" t="str">
            <v>A09103</v>
          </cell>
        </row>
        <row r="171">
          <cell r="A171" t="str">
            <v>A09103</v>
          </cell>
        </row>
        <row r="172">
          <cell r="A172" t="str">
            <v>A09103</v>
          </cell>
        </row>
        <row r="173">
          <cell r="A173" t="str">
            <v>A09103</v>
          </cell>
        </row>
        <row r="174">
          <cell r="A174" t="str">
            <v>A09103</v>
          </cell>
        </row>
        <row r="175">
          <cell r="A175" t="str">
            <v>A09103</v>
          </cell>
        </row>
        <row r="176">
          <cell r="A176" t="str">
            <v>A09103</v>
          </cell>
        </row>
        <row r="177">
          <cell r="A177" t="str">
            <v>A09103</v>
          </cell>
        </row>
        <row r="178">
          <cell r="A178" t="str">
            <v>A09103</v>
          </cell>
        </row>
        <row r="179">
          <cell r="A179" t="str">
            <v>A09103</v>
          </cell>
        </row>
        <row r="180">
          <cell r="A180" t="str">
            <v>A00601</v>
          </cell>
        </row>
        <row r="181">
          <cell r="A181" t="str">
            <v>A00601</v>
          </cell>
        </row>
        <row r="182">
          <cell r="A182" t="str">
            <v>A00601</v>
          </cell>
        </row>
        <row r="183">
          <cell r="A183" t="str">
            <v>A00601</v>
          </cell>
        </row>
        <row r="184">
          <cell r="A184" t="str">
            <v>A00601</v>
          </cell>
        </row>
        <row r="185">
          <cell r="A185" t="str">
            <v>A00601</v>
          </cell>
        </row>
        <row r="186">
          <cell r="A186" t="str">
            <v>A00601</v>
          </cell>
        </row>
        <row r="187">
          <cell r="A187" t="str">
            <v>A00601</v>
          </cell>
        </row>
        <row r="188">
          <cell r="A188" t="str">
            <v>A09008</v>
          </cell>
        </row>
        <row r="189">
          <cell r="A189" t="str">
            <v>A09008</v>
          </cell>
        </row>
        <row r="190">
          <cell r="A190" t="str">
            <v>A09008</v>
          </cell>
        </row>
        <row r="191">
          <cell r="A191" t="str">
            <v>A09008</v>
          </cell>
        </row>
        <row r="192">
          <cell r="A192" t="str">
            <v>A09008</v>
          </cell>
        </row>
        <row r="193">
          <cell r="A193" t="str">
            <v>A09008</v>
          </cell>
        </row>
        <row r="194">
          <cell r="A194" t="str">
            <v>A09008</v>
          </cell>
        </row>
        <row r="195">
          <cell r="A195" t="str">
            <v>A09008</v>
          </cell>
        </row>
        <row r="196">
          <cell r="A196" t="str">
            <v>A09008</v>
          </cell>
        </row>
        <row r="197">
          <cell r="A197" t="str">
            <v>A07717</v>
          </cell>
        </row>
        <row r="198">
          <cell r="A198" t="str">
            <v>A07717</v>
          </cell>
        </row>
        <row r="199">
          <cell r="A199" t="str">
            <v>A07717</v>
          </cell>
        </row>
        <row r="200">
          <cell r="A200" t="str">
            <v>A07717</v>
          </cell>
        </row>
        <row r="201">
          <cell r="A201" t="str">
            <v>A07717</v>
          </cell>
        </row>
        <row r="202">
          <cell r="A202" t="str">
            <v>A07717</v>
          </cell>
        </row>
        <row r="203">
          <cell r="A203" t="str">
            <v>A07717</v>
          </cell>
        </row>
        <row r="204">
          <cell r="A204" t="str">
            <v>A07717</v>
          </cell>
        </row>
        <row r="205">
          <cell r="A205" t="str">
            <v>A07717</v>
          </cell>
        </row>
        <row r="206">
          <cell r="A206" t="str">
            <v>A07717</v>
          </cell>
        </row>
        <row r="207">
          <cell r="A207" t="str">
            <v>A07717</v>
          </cell>
        </row>
        <row r="208">
          <cell r="A208" t="str">
            <v>A07717</v>
          </cell>
        </row>
        <row r="209">
          <cell r="A209" t="str">
            <v>A07717</v>
          </cell>
        </row>
        <row r="210">
          <cell r="A210" t="str">
            <v>A07717</v>
          </cell>
        </row>
        <row r="211">
          <cell r="A211" t="str">
            <v>A07717</v>
          </cell>
        </row>
        <row r="212">
          <cell r="A212" t="str">
            <v>A07717</v>
          </cell>
        </row>
        <row r="213">
          <cell r="A213" t="str">
            <v>A08814</v>
          </cell>
        </row>
        <row r="214">
          <cell r="A214" t="str">
            <v>A08814</v>
          </cell>
        </row>
        <row r="215">
          <cell r="A215" t="str">
            <v>A08814</v>
          </cell>
        </row>
        <row r="216">
          <cell r="A216" t="str">
            <v>A08814</v>
          </cell>
        </row>
        <row r="217">
          <cell r="A217" t="str">
            <v>A08814</v>
          </cell>
        </row>
        <row r="218">
          <cell r="A218" t="str">
            <v>A08814</v>
          </cell>
        </row>
        <row r="219">
          <cell r="A219" t="str">
            <v>A08814</v>
          </cell>
        </row>
        <row r="220">
          <cell r="A220" t="str">
            <v>A08814</v>
          </cell>
        </row>
        <row r="221">
          <cell r="A221" t="str">
            <v>A08814</v>
          </cell>
        </row>
        <row r="222">
          <cell r="A222" t="str">
            <v>A08814</v>
          </cell>
        </row>
        <row r="223">
          <cell r="A223" t="str">
            <v>A08814</v>
          </cell>
        </row>
        <row r="224">
          <cell r="A224" t="str">
            <v>A08814</v>
          </cell>
        </row>
        <row r="225">
          <cell r="A225" t="str">
            <v>A08814</v>
          </cell>
        </row>
        <row r="226">
          <cell r="A226" t="str">
            <v>A08814</v>
          </cell>
        </row>
        <row r="227">
          <cell r="A227" t="str">
            <v>A08814</v>
          </cell>
        </row>
        <row r="228">
          <cell r="A228" t="str">
            <v>A08814</v>
          </cell>
        </row>
        <row r="229">
          <cell r="A229" t="str">
            <v>A08814</v>
          </cell>
        </row>
        <row r="230">
          <cell r="A230" t="str">
            <v>A08814</v>
          </cell>
        </row>
        <row r="231">
          <cell r="A231" t="str">
            <v>A08408</v>
          </cell>
        </row>
        <row r="232">
          <cell r="A232" t="str">
            <v>A08408</v>
          </cell>
        </row>
        <row r="233">
          <cell r="A233" t="str">
            <v>A08408</v>
          </cell>
        </row>
        <row r="234">
          <cell r="A234" t="str">
            <v>A08408</v>
          </cell>
        </row>
        <row r="235">
          <cell r="A235" t="str">
            <v>A08408</v>
          </cell>
        </row>
        <row r="236">
          <cell r="A236" t="str">
            <v>A08408</v>
          </cell>
        </row>
        <row r="237">
          <cell r="A237" t="str">
            <v>A08408</v>
          </cell>
        </row>
        <row r="238">
          <cell r="A238" t="str">
            <v>A08408</v>
          </cell>
        </row>
        <row r="239">
          <cell r="A239" t="str">
            <v>A08408</v>
          </cell>
        </row>
        <row r="240">
          <cell r="A240" t="str">
            <v>A08408</v>
          </cell>
        </row>
        <row r="241">
          <cell r="A241" t="str">
            <v>A08408</v>
          </cell>
        </row>
        <row r="242">
          <cell r="A242" t="str">
            <v>A08408</v>
          </cell>
        </row>
        <row r="243">
          <cell r="A243" t="str">
            <v>A08408</v>
          </cell>
        </row>
        <row r="244">
          <cell r="A244" t="str">
            <v>A08408</v>
          </cell>
        </row>
        <row r="245">
          <cell r="A245" t="str">
            <v>A08408</v>
          </cell>
        </row>
        <row r="246">
          <cell r="A246" t="str">
            <v>A08810</v>
          </cell>
        </row>
        <row r="247">
          <cell r="A247" t="str">
            <v>A08810</v>
          </cell>
        </row>
        <row r="248">
          <cell r="A248" t="str">
            <v>A08810</v>
          </cell>
        </row>
        <row r="249">
          <cell r="A249" t="str">
            <v>A08810</v>
          </cell>
        </row>
        <row r="250">
          <cell r="A250" t="str">
            <v>A08810</v>
          </cell>
        </row>
        <row r="251">
          <cell r="A251" t="str">
            <v>A08810</v>
          </cell>
        </row>
        <row r="252">
          <cell r="A252" t="str">
            <v>A08810</v>
          </cell>
        </row>
        <row r="253">
          <cell r="A253" t="str">
            <v>A08810</v>
          </cell>
        </row>
        <row r="254">
          <cell r="A254" t="str">
            <v>A08810</v>
          </cell>
        </row>
        <row r="255">
          <cell r="A255" t="str">
            <v>A08810</v>
          </cell>
        </row>
        <row r="256">
          <cell r="A256" t="str">
            <v>A08810</v>
          </cell>
        </row>
        <row r="257">
          <cell r="A257" t="str">
            <v>A08916</v>
          </cell>
        </row>
        <row r="258">
          <cell r="A258" t="str">
            <v>A08916</v>
          </cell>
        </row>
        <row r="259">
          <cell r="A259" t="str">
            <v>A08916</v>
          </cell>
        </row>
        <row r="260">
          <cell r="A260" t="str">
            <v>A08916</v>
          </cell>
        </row>
        <row r="261">
          <cell r="A261" t="str">
            <v>A08916</v>
          </cell>
        </row>
        <row r="262">
          <cell r="A262" t="str">
            <v>A08916</v>
          </cell>
        </row>
        <row r="263">
          <cell r="A263" t="str">
            <v>A08916</v>
          </cell>
        </row>
        <row r="264">
          <cell r="A264" t="str">
            <v>A08916</v>
          </cell>
        </row>
        <row r="265">
          <cell r="A265" t="str">
            <v>A08916</v>
          </cell>
        </row>
        <row r="266">
          <cell r="A266" t="str">
            <v>A08916</v>
          </cell>
        </row>
        <row r="267">
          <cell r="A267" t="str">
            <v>A08916</v>
          </cell>
        </row>
        <row r="268">
          <cell r="A268" t="str">
            <v>A08916</v>
          </cell>
        </row>
        <row r="269">
          <cell r="A269" t="str">
            <v>A08916</v>
          </cell>
        </row>
        <row r="270">
          <cell r="A270" t="str">
            <v>A08916</v>
          </cell>
        </row>
        <row r="271">
          <cell r="A271" t="str">
            <v>A08916</v>
          </cell>
        </row>
        <row r="272">
          <cell r="A272" t="str">
            <v>A08406</v>
          </cell>
        </row>
        <row r="273">
          <cell r="A273" t="str">
            <v>A08406</v>
          </cell>
        </row>
        <row r="274">
          <cell r="A274" t="str">
            <v>A08406</v>
          </cell>
        </row>
        <row r="275">
          <cell r="A275" t="str">
            <v>A08406</v>
          </cell>
        </row>
        <row r="276">
          <cell r="A276" t="str">
            <v>A08406</v>
          </cell>
        </row>
        <row r="277">
          <cell r="A277" t="str">
            <v>A08406</v>
          </cell>
        </row>
        <row r="278">
          <cell r="A278" t="str">
            <v>A08406</v>
          </cell>
        </row>
        <row r="279">
          <cell r="A279" t="str">
            <v>A08406</v>
          </cell>
        </row>
        <row r="280">
          <cell r="A280" t="str">
            <v>A08406</v>
          </cell>
        </row>
        <row r="281">
          <cell r="A281" t="str">
            <v>A08406</v>
          </cell>
        </row>
        <row r="282">
          <cell r="A282" t="str">
            <v>A08406</v>
          </cell>
        </row>
        <row r="283">
          <cell r="A283" t="str">
            <v>A08406</v>
          </cell>
        </row>
        <row r="284">
          <cell r="A284" t="str">
            <v>A08406</v>
          </cell>
        </row>
        <row r="285">
          <cell r="A285" t="str">
            <v>A08406</v>
          </cell>
        </row>
        <row r="286">
          <cell r="A286" t="str">
            <v>A08406</v>
          </cell>
        </row>
        <row r="287">
          <cell r="A287" t="str">
            <v>A08406</v>
          </cell>
        </row>
        <row r="288">
          <cell r="A288" t="str">
            <v>A08406</v>
          </cell>
        </row>
        <row r="289">
          <cell r="A289" t="str">
            <v>A08406</v>
          </cell>
        </row>
        <row r="290">
          <cell r="A290" t="str">
            <v>J03029</v>
          </cell>
        </row>
        <row r="291">
          <cell r="A291" t="str">
            <v>J03029</v>
          </cell>
        </row>
        <row r="292">
          <cell r="A292" t="str">
            <v>J03029</v>
          </cell>
        </row>
        <row r="293">
          <cell r="A293" t="str">
            <v>J03029</v>
          </cell>
        </row>
        <row r="294">
          <cell r="A294" t="str">
            <v>J03029</v>
          </cell>
        </row>
        <row r="295">
          <cell r="A295" t="str">
            <v>J03029</v>
          </cell>
        </row>
        <row r="296">
          <cell r="A296" t="str">
            <v>J03029</v>
          </cell>
        </row>
        <row r="297">
          <cell r="A297" t="str">
            <v>J03029</v>
          </cell>
        </row>
        <row r="298">
          <cell r="A298" t="str">
            <v>J03029</v>
          </cell>
        </row>
        <row r="299">
          <cell r="A299" t="str">
            <v>J03029</v>
          </cell>
        </row>
        <row r="300">
          <cell r="A300" t="str">
            <v>J03029</v>
          </cell>
        </row>
        <row r="301">
          <cell r="A301" t="str">
            <v>J03029</v>
          </cell>
        </row>
        <row r="302">
          <cell r="A302" t="str">
            <v>A00502</v>
          </cell>
        </row>
        <row r="303">
          <cell r="A303" t="str">
            <v>A00502</v>
          </cell>
        </row>
        <row r="304">
          <cell r="A304" t="str">
            <v>A00502</v>
          </cell>
        </row>
        <row r="305">
          <cell r="A305" t="str">
            <v>A00502</v>
          </cell>
        </row>
        <row r="306">
          <cell r="A306" t="str">
            <v>A00502</v>
          </cell>
        </row>
        <row r="307">
          <cell r="A307" t="str">
            <v>A09402</v>
          </cell>
        </row>
        <row r="308">
          <cell r="A308" t="str">
            <v>A09402</v>
          </cell>
        </row>
        <row r="309">
          <cell r="A309" t="str">
            <v>A09402</v>
          </cell>
        </row>
        <row r="310">
          <cell r="A310" t="str">
            <v>A09402</v>
          </cell>
        </row>
        <row r="311">
          <cell r="A311" t="str">
            <v>A09402</v>
          </cell>
        </row>
        <row r="312">
          <cell r="A312" t="str">
            <v>A09402</v>
          </cell>
        </row>
        <row r="313">
          <cell r="A313" t="str">
            <v>A09402</v>
          </cell>
        </row>
        <row r="314">
          <cell r="A314" t="str">
            <v>A09004</v>
          </cell>
        </row>
        <row r="315">
          <cell r="A315" t="str">
            <v>A09004</v>
          </cell>
        </row>
        <row r="316">
          <cell r="A316" t="str">
            <v>A09004</v>
          </cell>
        </row>
        <row r="317">
          <cell r="A317" t="str">
            <v>A09004</v>
          </cell>
        </row>
        <row r="318">
          <cell r="A318" t="str">
            <v>A09004</v>
          </cell>
        </row>
        <row r="319">
          <cell r="A319" t="str">
            <v>A09004</v>
          </cell>
        </row>
        <row r="320">
          <cell r="A320" t="str">
            <v>A09004</v>
          </cell>
        </row>
        <row r="321">
          <cell r="A321" t="str">
            <v>A09004</v>
          </cell>
        </row>
        <row r="322">
          <cell r="A322" t="str">
            <v>A09004</v>
          </cell>
        </row>
        <row r="323">
          <cell r="A323" t="str">
            <v>A09004</v>
          </cell>
        </row>
        <row r="324">
          <cell r="A324" t="str">
            <v>A06703</v>
          </cell>
        </row>
        <row r="325">
          <cell r="A325" t="str">
            <v>A06703</v>
          </cell>
        </row>
        <row r="326">
          <cell r="A326" t="str">
            <v>A06703</v>
          </cell>
        </row>
        <row r="327">
          <cell r="A327" t="str">
            <v>A06703</v>
          </cell>
        </row>
        <row r="328">
          <cell r="A328" t="str">
            <v>A06703</v>
          </cell>
        </row>
        <row r="329">
          <cell r="A329" t="str">
            <v>A09412</v>
          </cell>
        </row>
        <row r="330">
          <cell r="A330" t="str">
            <v>A09412</v>
          </cell>
        </row>
        <row r="331">
          <cell r="A331" t="str">
            <v>A09412</v>
          </cell>
        </row>
        <row r="332">
          <cell r="A332" t="str">
            <v>A09412</v>
          </cell>
        </row>
        <row r="333">
          <cell r="A333" t="str">
            <v>A09412</v>
          </cell>
        </row>
        <row r="334">
          <cell r="A334" t="str">
            <v>A09412</v>
          </cell>
        </row>
        <row r="335">
          <cell r="A335" t="str">
            <v>A09412</v>
          </cell>
        </row>
        <row r="336">
          <cell r="A336" t="str">
            <v>A09412</v>
          </cell>
        </row>
        <row r="337">
          <cell r="A337" t="str">
            <v>A09412</v>
          </cell>
        </row>
        <row r="338">
          <cell r="A338" t="str">
            <v>A09412</v>
          </cell>
        </row>
        <row r="339">
          <cell r="A339" t="str">
            <v>A09412</v>
          </cell>
        </row>
        <row r="340">
          <cell r="A340" t="str">
            <v>A09412</v>
          </cell>
        </row>
        <row r="341">
          <cell r="A341" t="str">
            <v>A09412</v>
          </cell>
        </row>
        <row r="342">
          <cell r="A342" t="str">
            <v>A09701</v>
          </cell>
        </row>
        <row r="343">
          <cell r="A343" t="str">
            <v>A09701</v>
          </cell>
        </row>
        <row r="344">
          <cell r="A344" t="str">
            <v>A09701</v>
          </cell>
        </row>
        <row r="345">
          <cell r="A345" t="str">
            <v>A09701</v>
          </cell>
        </row>
        <row r="346">
          <cell r="A346" t="str">
            <v>A09701</v>
          </cell>
        </row>
        <row r="347">
          <cell r="A347" t="str">
            <v>A09701</v>
          </cell>
        </row>
        <row r="348">
          <cell r="A348" t="str">
            <v>A09701</v>
          </cell>
        </row>
        <row r="349">
          <cell r="A349" t="str">
            <v>A09701</v>
          </cell>
        </row>
        <row r="350">
          <cell r="A350" t="str">
            <v>A09701</v>
          </cell>
        </row>
        <row r="351">
          <cell r="A351" t="str">
            <v>A09702</v>
          </cell>
        </row>
        <row r="352">
          <cell r="A352" t="str">
            <v>A09702</v>
          </cell>
        </row>
        <row r="353">
          <cell r="A353" t="str">
            <v>A09702</v>
          </cell>
        </row>
        <row r="354">
          <cell r="A354" t="str">
            <v>A09702</v>
          </cell>
        </row>
        <row r="355">
          <cell r="A355" t="str">
            <v>A09702</v>
          </cell>
        </row>
        <row r="356">
          <cell r="A356" t="str">
            <v>A09702</v>
          </cell>
        </row>
        <row r="357">
          <cell r="A357" t="str">
            <v>A09702</v>
          </cell>
        </row>
        <row r="358">
          <cell r="A358" t="str">
            <v>A09702</v>
          </cell>
        </row>
        <row r="359">
          <cell r="A359" t="str">
            <v>A09702</v>
          </cell>
        </row>
        <row r="360">
          <cell r="A360" t="str">
            <v>A08828</v>
          </cell>
        </row>
        <row r="361">
          <cell r="A361" t="str">
            <v>A08828</v>
          </cell>
        </row>
        <row r="362">
          <cell r="A362" t="str">
            <v>A08828</v>
          </cell>
        </row>
        <row r="363">
          <cell r="A363" t="str">
            <v>A08828</v>
          </cell>
        </row>
        <row r="364">
          <cell r="A364" t="str">
            <v>A08828</v>
          </cell>
        </row>
        <row r="365">
          <cell r="A365" t="str">
            <v>A08828</v>
          </cell>
        </row>
        <row r="366">
          <cell r="A366" t="str">
            <v>A08828</v>
          </cell>
        </row>
        <row r="367">
          <cell r="A367" t="str">
            <v>A08828</v>
          </cell>
        </row>
        <row r="368">
          <cell r="A368" t="str">
            <v>A08828</v>
          </cell>
        </row>
        <row r="369">
          <cell r="A369" t="str">
            <v>A08828</v>
          </cell>
        </row>
        <row r="370">
          <cell r="A370" t="str">
            <v>A08828</v>
          </cell>
        </row>
        <row r="371">
          <cell r="A371" t="str">
            <v>A08828</v>
          </cell>
        </row>
        <row r="372">
          <cell r="A372" t="str">
            <v>A08828</v>
          </cell>
        </row>
        <row r="373">
          <cell r="A373" t="str">
            <v>A08828</v>
          </cell>
        </row>
        <row r="374">
          <cell r="A374" t="str">
            <v>A08828</v>
          </cell>
        </row>
        <row r="375">
          <cell r="A375" t="str">
            <v>A08828</v>
          </cell>
        </row>
        <row r="376">
          <cell r="A376" t="str">
            <v>A08828</v>
          </cell>
        </row>
        <row r="377">
          <cell r="A377" t="str">
            <v>A08828</v>
          </cell>
        </row>
        <row r="378">
          <cell r="A378" t="str">
            <v>A09002</v>
          </cell>
        </row>
        <row r="379">
          <cell r="A379" t="str">
            <v>A09002</v>
          </cell>
        </row>
        <row r="380">
          <cell r="A380" t="str">
            <v>A09002</v>
          </cell>
        </row>
        <row r="381">
          <cell r="A381" t="str">
            <v>A09002</v>
          </cell>
        </row>
        <row r="382">
          <cell r="A382" t="str">
            <v>A09002</v>
          </cell>
        </row>
        <row r="383">
          <cell r="A383" t="str">
            <v>A09002</v>
          </cell>
        </row>
        <row r="384">
          <cell r="A384" t="str">
            <v>A09002</v>
          </cell>
        </row>
        <row r="385">
          <cell r="A385" t="str">
            <v>A09002</v>
          </cell>
        </row>
        <row r="386">
          <cell r="A386" t="str">
            <v>A09002</v>
          </cell>
        </row>
        <row r="387">
          <cell r="A387" t="str">
            <v>A09002</v>
          </cell>
        </row>
        <row r="388">
          <cell r="A388" t="str">
            <v>A08915</v>
          </cell>
        </row>
        <row r="389">
          <cell r="A389" t="str">
            <v>A08915</v>
          </cell>
        </row>
        <row r="390">
          <cell r="A390" t="str">
            <v>A08915</v>
          </cell>
        </row>
        <row r="391">
          <cell r="A391" t="str">
            <v>A08915</v>
          </cell>
        </row>
        <row r="392">
          <cell r="A392" t="str">
            <v>A08915</v>
          </cell>
        </row>
        <row r="393">
          <cell r="A393" t="str">
            <v>A08915</v>
          </cell>
        </row>
        <row r="394">
          <cell r="A394" t="str">
            <v>A08915</v>
          </cell>
        </row>
        <row r="395">
          <cell r="A395" t="str">
            <v>A08915</v>
          </cell>
        </row>
        <row r="396">
          <cell r="A396" t="str">
            <v>A08915</v>
          </cell>
        </row>
        <row r="397">
          <cell r="A397" t="str">
            <v>A00301</v>
          </cell>
        </row>
        <row r="398">
          <cell r="A398" t="str">
            <v>A00301</v>
          </cell>
        </row>
        <row r="399">
          <cell r="A399" t="str">
            <v>A00301</v>
          </cell>
        </row>
        <row r="400">
          <cell r="A400" t="str">
            <v>A00301</v>
          </cell>
        </row>
        <row r="401">
          <cell r="A401" t="str">
            <v>A00301</v>
          </cell>
        </row>
        <row r="402">
          <cell r="A402" t="str">
            <v>A00301</v>
          </cell>
        </row>
        <row r="403">
          <cell r="A403" t="str">
            <v>A00301</v>
          </cell>
        </row>
        <row r="404">
          <cell r="A404" t="str">
            <v>A00301</v>
          </cell>
        </row>
        <row r="405">
          <cell r="A405" t="str">
            <v>A00506</v>
          </cell>
        </row>
        <row r="406">
          <cell r="A406" t="str">
            <v>A00506</v>
          </cell>
        </row>
        <row r="407">
          <cell r="A407" t="str">
            <v>A00506</v>
          </cell>
        </row>
        <row r="408">
          <cell r="A408" t="str">
            <v>A00506</v>
          </cell>
        </row>
        <row r="409">
          <cell r="A409" t="str">
            <v>A00506</v>
          </cell>
        </row>
        <row r="410">
          <cell r="A410" t="str">
            <v>A00506</v>
          </cell>
        </row>
        <row r="411">
          <cell r="A411" t="str">
            <v>A00506</v>
          </cell>
        </row>
        <row r="412">
          <cell r="A412" t="str">
            <v>A00506</v>
          </cell>
        </row>
        <row r="413">
          <cell r="A413" t="str">
            <v>A00506</v>
          </cell>
        </row>
        <row r="414">
          <cell r="A414" t="str">
            <v>A08911</v>
          </cell>
        </row>
        <row r="415">
          <cell r="A415" t="str">
            <v>A08911</v>
          </cell>
        </row>
        <row r="416">
          <cell r="A416" t="str">
            <v>A08911</v>
          </cell>
        </row>
        <row r="417">
          <cell r="A417" t="str">
            <v>A08911</v>
          </cell>
        </row>
        <row r="418">
          <cell r="A418" t="str">
            <v>A08911</v>
          </cell>
        </row>
        <row r="419">
          <cell r="A419" t="str">
            <v>A08911</v>
          </cell>
        </row>
        <row r="420">
          <cell r="A420" t="str">
            <v>A08911</v>
          </cell>
        </row>
        <row r="421">
          <cell r="A421" t="str">
            <v>A08911</v>
          </cell>
        </row>
        <row r="422">
          <cell r="A422" t="str">
            <v>A08911</v>
          </cell>
        </row>
        <row r="423">
          <cell r="A423" t="str">
            <v>A08911</v>
          </cell>
        </row>
        <row r="424">
          <cell r="A424" t="str">
            <v>A08901</v>
          </cell>
        </row>
        <row r="425">
          <cell r="A425" t="str">
            <v>A08901</v>
          </cell>
        </row>
        <row r="426">
          <cell r="A426" t="str">
            <v>A08901</v>
          </cell>
        </row>
        <row r="427">
          <cell r="A427" t="str">
            <v>A08901</v>
          </cell>
        </row>
        <row r="428">
          <cell r="A428" t="str">
            <v>A08901</v>
          </cell>
        </row>
        <row r="429">
          <cell r="A429" t="str">
            <v>A08901</v>
          </cell>
        </row>
        <row r="430">
          <cell r="A430" t="str">
            <v>A08901</v>
          </cell>
        </row>
        <row r="431">
          <cell r="A431" t="str">
            <v>A09001</v>
          </cell>
        </row>
        <row r="432">
          <cell r="A432" t="str">
            <v>A09001</v>
          </cell>
        </row>
        <row r="433">
          <cell r="A433" t="str">
            <v>A09001</v>
          </cell>
        </row>
        <row r="434">
          <cell r="A434" t="str">
            <v>A09001</v>
          </cell>
        </row>
        <row r="435">
          <cell r="A435" t="str">
            <v>A09001</v>
          </cell>
        </row>
        <row r="436">
          <cell r="A436" t="str">
            <v>A09001</v>
          </cell>
        </row>
        <row r="437">
          <cell r="A437" t="str">
            <v>A09001</v>
          </cell>
        </row>
        <row r="438">
          <cell r="A438" t="str">
            <v>A09001</v>
          </cell>
        </row>
        <row r="439">
          <cell r="A439" t="str">
            <v>A09001</v>
          </cell>
        </row>
        <row r="440">
          <cell r="A440" t="str">
            <v>A09001</v>
          </cell>
        </row>
        <row r="441">
          <cell r="A441" t="str">
            <v>A09001</v>
          </cell>
        </row>
        <row r="442">
          <cell r="A442" t="str">
            <v>A09001</v>
          </cell>
        </row>
        <row r="443">
          <cell r="A443" t="str">
            <v>A09001</v>
          </cell>
        </row>
        <row r="444">
          <cell r="A444" t="str">
            <v>A09001</v>
          </cell>
        </row>
        <row r="445">
          <cell r="A445" t="str">
            <v>A08821</v>
          </cell>
        </row>
        <row r="446">
          <cell r="A446" t="str">
            <v>A08821</v>
          </cell>
        </row>
        <row r="447">
          <cell r="A447" t="str">
            <v>A08821</v>
          </cell>
        </row>
        <row r="448">
          <cell r="A448" t="str">
            <v>A08821</v>
          </cell>
        </row>
        <row r="449">
          <cell r="A449" t="str">
            <v>A08821</v>
          </cell>
        </row>
        <row r="450">
          <cell r="A450" t="str">
            <v>A08821</v>
          </cell>
        </row>
        <row r="451">
          <cell r="A451" t="str">
            <v>A00103</v>
          </cell>
        </row>
        <row r="452">
          <cell r="A452" t="str">
            <v>A00103</v>
          </cell>
        </row>
        <row r="453">
          <cell r="A453" t="str">
            <v>A00103</v>
          </cell>
        </row>
        <row r="454">
          <cell r="A454" t="str">
            <v>A00103</v>
          </cell>
        </row>
        <row r="455">
          <cell r="A455" t="str">
            <v>A00103</v>
          </cell>
        </row>
        <row r="456">
          <cell r="A456" t="str">
            <v>A00103</v>
          </cell>
        </row>
        <row r="457">
          <cell r="A457" t="str">
            <v>A00103</v>
          </cell>
        </row>
        <row r="458">
          <cell r="A458" t="str">
            <v>A00103</v>
          </cell>
        </row>
        <row r="459">
          <cell r="A459" t="str">
            <v>A09411</v>
          </cell>
        </row>
        <row r="460">
          <cell r="A460" t="str">
            <v>A09411</v>
          </cell>
        </row>
        <row r="461">
          <cell r="A461" t="str">
            <v>A09411</v>
          </cell>
        </row>
        <row r="462">
          <cell r="A462" t="str">
            <v>A09411</v>
          </cell>
        </row>
        <row r="463">
          <cell r="A463" t="str">
            <v>A09411</v>
          </cell>
        </row>
        <row r="464">
          <cell r="A464" t="str">
            <v>A09411</v>
          </cell>
        </row>
        <row r="465">
          <cell r="A465" t="str">
            <v>A09411</v>
          </cell>
        </row>
        <row r="466">
          <cell r="A466" t="str">
            <v>A09411</v>
          </cell>
        </row>
        <row r="467">
          <cell r="A467" t="str">
            <v>A09411</v>
          </cell>
        </row>
        <row r="468">
          <cell r="A468" t="str">
            <v>A09411</v>
          </cell>
        </row>
        <row r="469">
          <cell r="A469" t="str">
            <v>A09411</v>
          </cell>
        </row>
        <row r="470">
          <cell r="A470" t="str">
            <v>A09406</v>
          </cell>
        </row>
        <row r="471">
          <cell r="A471" t="str">
            <v>A09406</v>
          </cell>
        </row>
        <row r="472">
          <cell r="A472" t="str">
            <v>A09406</v>
          </cell>
        </row>
        <row r="473">
          <cell r="A473" t="str">
            <v>A09406</v>
          </cell>
        </row>
        <row r="474">
          <cell r="A474" t="str">
            <v>A09406</v>
          </cell>
        </row>
        <row r="475">
          <cell r="A475" t="str">
            <v>A09406</v>
          </cell>
        </row>
        <row r="476">
          <cell r="A476" t="str">
            <v>A09406</v>
          </cell>
        </row>
        <row r="477">
          <cell r="A477" t="str">
            <v>A09406</v>
          </cell>
        </row>
        <row r="478">
          <cell r="A478" t="str">
            <v>A09406</v>
          </cell>
        </row>
        <row r="479">
          <cell r="A479" t="str">
            <v>A09406</v>
          </cell>
        </row>
        <row r="480">
          <cell r="A480" t="str">
            <v>A09406</v>
          </cell>
        </row>
        <row r="481">
          <cell r="A481" t="str">
            <v>A09505</v>
          </cell>
        </row>
        <row r="482">
          <cell r="A482" t="str">
            <v>A09505</v>
          </cell>
        </row>
        <row r="483">
          <cell r="A483" t="str">
            <v>A09505</v>
          </cell>
        </row>
        <row r="484">
          <cell r="A484" t="str">
            <v>A09505</v>
          </cell>
        </row>
        <row r="485">
          <cell r="A485" t="str">
            <v>A09505</v>
          </cell>
        </row>
        <row r="486">
          <cell r="A486" t="str">
            <v>A00001</v>
          </cell>
        </row>
        <row r="487">
          <cell r="A487" t="str">
            <v>A00001</v>
          </cell>
        </row>
        <row r="488">
          <cell r="A488" t="str">
            <v>A00001</v>
          </cell>
        </row>
        <row r="489">
          <cell r="A489" t="str">
            <v>A00001</v>
          </cell>
        </row>
        <row r="490">
          <cell r="A490" t="str">
            <v>A00001</v>
          </cell>
        </row>
        <row r="491">
          <cell r="A491" t="str">
            <v>A00001</v>
          </cell>
        </row>
        <row r="492">
          <cell r="A492" t="str">
            <v>A00001</v>
          </cell>
        </row>
        <row r="493">
          <cell r="A493" t="str">
            <v>A00001</v>
          </cell>
        </row>
        <row r="494">
          <cell r="A494" t="str">
            <v>A00001</v>
          </cell>
        </row>
        <row r="495">
          <cell r="A495" t="str">
            <v>A00001</v>
          </cell>
        </row>
        <row r="496">
          <cell r="A496" t="str">
            <v>A00001</v>
          </cell>
        </row>
        <row r="497">
          <cell r="A497" t="str">
            <v>A00001</v>
          </cell>
        </row>
        <row r="498">
          <cell r="A498" t="str">
            <v>A00001</v>
          </cell>
        </row>
        <row r="499">
          <cell r="A499" t="str">
            <v>A08803</v>
          </cell>
        </row>
        <row r="500">
          <cell r="A500" t="str">
            <v>A08803</v>
          </cell>
        </row>
        <row r="501">
          <cell r="A501" t="str">
            <v>A08803</v>
          </cell>
        </row>
        <row r="502">
          <cell r="A502" t="str">
            <v>A08803</v>
          </cell>
        </row>
        <row r="503">
          <cell r="A503" t="str">
            <v>A08803</v>
          </cell>
        </row>
        <row r="504">
          <cell r="A504" t="str">
            <v>A09304</v>
          </cell>
        </row>
        <row r="505">
          <cell r="A505" t="str">
            <v>A09304</v>
          </cell>
        </row>
        <row r="506">
          <cell r="A506" t="str">
            <v>A09304</v>
          </cell>
        </row>
        <row r="507">
          <cell r="A507" t="str">
            <v>A09304</v>
          </cell>
        </row>
        <row r="508">
          <cell r="A508" t="str">
            <v>A09304</v>
          </cell>
        </row>
        <row r="509">
          <cell r="A509" t="str">
            <v>A09304</v>
          </cell>
        </row>
        <row r="510">
          <cell r="A510" t="str">
            <v>A09304</v>
          </cell>
        </row>
        <row r="511">
          <cell r="A511" t="str">
            <v>A00508</v>
          </cell>
        </row>
        <row r="512">
          <cell r="A512" t="str">
            <v>A00508</v>
          </cell>
        </row>
        <row r="513">
          <cell r="A513" t="str">
            <v>A00508</v>
          </cell>
        </row>
        <row r="514">
          <cell r="A514" t="str">
            <v>A00508</v>
          </cell>
        </row>
        <row r="515">
          <cell r="A515" t="str">
            <v>A00508</v>
          </cell>
        </row>
        <row r="516">
          <cell r="A516" t="str">
            <v>A00508</v>
          </cell>
        </row>
        <row r="517">
          <cell r="A517" t="str">
            <v>A00508</v>
          </cell>
        </row>
        <row r="518">
          <cell r="A518" t="str">
            <v>A00508</v>
          </cell>
        </row>
        <row r="519">
          <cell r="A519" t="str">
            <v>A00508</v>
          </cell>
        </row>
        <row r="520">
          <cell r="A520" t="str">
            <v>A00508</v>
          </cell>
        </row>
        <row r="521">
          <cell r="A521" t="str">
            <v>A00508</v>
          </cell>
        </row>
        <row r="522">
          <cell r="A522" t="str">
            <v>A00508</v>
          </cell>
        </row>
        <row r="523">
          <cell r="A523" t="str">
            <v>A00508</v>
          </cell>
        </row>
        <row r="524">
          <cell r="A524" t="str">
            <v>A00508</v>
          </cell>
        </row>
        <row r="525">
          <cell r="A525" t="str">
            <v>A00508</v>
          </cell>
        </row>
        <row r="526">
          <cell r="A526" t="str">
            <v>A00508</v>
          </cell>
        </row>
        <row r="527">
          <cell r="A527" t="str">
            <v>A09506</v>
          </cell>
        </row>
        <row r="528">
          <cell r="A528" t="str">
            <v>A09506</v>
          </cell>
        </row>
        <row r="529">
          <cell r="A529" t="str">
            <v>A09506</v>
          </cell>
        </row>
        <row r="530">
          <cell r="A530" t="str">
            <v>A09506</v>
          </cell>
        </row>
        <row r="531">
          <cell r="A531" t="str">
            <v>A09506</v>
          </cell>
        </row>
        <row r="532">
          <cell r="A532" t="str">
            <v>A09506</v>
          </cell>
        </row>
        <row r="533">
          <cell r="A533" t="str">
            <v>A09506</v>
          </cell>
        </row>
        <row r="534">
          <cell r="A534" t="str">
            <v>A09506</v>
          </cell>
        </row>
        <row r="535">
          <cell r="A535" t="str">
            <v>A09506</v>
          </cell>
        </row>
        <row r="536">
          <cell r="A536" t="str">
            <v>A09506</v>
          </cell>
        </row>
        <row r="537">
          <cell r="A537" t="str">
            <v>A09506</v>
          </cell>
        </row>
        <row r="538">
          <cell r="A538" t="str">
            <v>A09506</v>
          </cell>
        </row>
        <row r="539">
          <cell r="A539" t="str">
            <v>A00203</v>
          </cell>
        </row>
        <row r="540">
          <cell r="A540" t="str">
            <v>A00203</v>
          </cell>
        </row>
        <row r="541">
          <cell r="A541" t="str">
            <v>A00203</v>
          </cell>
        </row>
        <row r="542">
          <cell r="A542" t="str">
            <v>A00203</v>
          </cell>
        </row>
        <row r="543">
          <cell r="A543" t="str">
            <v>A00203</v>
          </cell>
        </row>
        <row r="544">
          <cell r="A544" t="str">
            <v>A00203</v>
          </cell>
        </row>
        <row r="545">
          <cell r="A545" t="str">
            <v>A00203</v>
          </cell>
        </row>
        <row r="546">
          <cell r="A546" t="str">
            <v>A00180</v>
          </cell>
        </row>
        <row r="547">
          <cell r="A547" t="str">
            <v>A00180</v>
          </cell>
        </row>
        <row r="548">
          <cell r="A548" t="str">
            <v>A00180</v>
          </cell>
        </row>
        <row r="549">
          <cell r="A549" t="str">
            <v>A00180</v>
          </cell>
        </row>
        <row r="550">
          <cell r="A550" t="str">
            <v>A00180</v>
          </cell>
        </row>
        <row r="551">
          <cell r="A551" t="str">
            <v>A09407</v>
          </cell>
        </row>
        <row r="552">
          <cell r="A552" t="str">
            <v>A09407</v>
          </cell>
        </row>
        <row r="553">
          <cell r="A553" t="str">
            <v>A09407</v>
          </cell>
        </row>
        <row r="554">
          <cell r="A554" t="str">
            <v>A09407</v>
          </cell>
        </row>
        <row r="555">
          <cell r="A555" t="str">
            <v>A09407</v>
          </cell>
        </row>
        <row r="556">
          <cell r="A556" t="str">
            <v>A09407</v>
          </cell>
        </row>
        <row r="557">
          <cell r="A557" t="str">
            <v>A09407</v>
          </cell>
        </row>
        <row r="558">
          <cell r="A558" t="str">
            <v>A09407</v>
          </cell>
        </row>
        <row r="559">
          <cell r="A559" t="str">
            <v>A00236</v>
          </cell>
        </row>
        <row r="560">
          <cell r="A560" t="str">
            <v>A00236</v>
          </cell>
        </row>
        <row r="561">
          <cell r="A561" t="str">
            <v>A00236</v>
          </cell>
        </row>
        <row r="562">
          <cell r="A562" t="str">
            <v>A00236</v>
          </cell>
        </row>
        <row r="563">
          <cell r="A563" t="str">
            <v>A00236</v>
          </cell>
        </row>
        <row r="564">
          <cell r="A564" t="str">
            <v>A00236</v>
          </cell>
        </row>
        <row r="565">
          <cell r="A565" t="str">
            <v>A00236</v>
          </cell>
        </row>
        <row r="566">
          <cell r="A566" t="str">
            <v>A00236</v>
          </cell>
        </row>
        <row r="567">
          <cell r="A567" t="str">
            <v>A00244</v>
          </cell>
        </row>
        <row r="568">
          <cell r="A568" t="str">
            <v>A00244</v>
          </cell>
        </row>
        <row r="569">
          <cell r="A569" t="str">
            <v>A00244</v>
          </cell>
        </row>
        <row r="570">
          <cell r="A570" t="str">
            <v>A00244</v>
          </cell>
        </row>
        <row r="571">
          <cell r="A571" t="str">
            <v>A00244</v>
          </cell>
        </row>
        <row r="572">
          <cell r="A572" t="str">
            <v>A00244</v>
          </cell>
        </row>
        <row r="573">
          <cell r="A573" t="str">
            <v>A00244</v>
          </cell>
        </row>
        <row r="574">
          <cell r="A574" t="str">
            <v>A00244</v>
          </cell>
        </row>
        <row r="575">
          <cell r="A575" t="str">
            <v>A00244</v>
          </cell>
        </row>
        <row r="576">
          <cell r="A576" t="str">
            <v>A00244</v>
          </cell>
        </row>
        <row r="577">
          <cell r="A577" t="str">
            <v>A00244</v>
          </cell>
        </row>
        <row r="578">
          <cell r="A578" t="str">
            <v>A00242</v>
          </cell>
        </row>
        <row r="579">
          <cell r="A579" t="str">
            <v>A00242</v>
          </cell>
        </row>
        <row r="580">
          <cell r="A580" t="str">
            <v>A00242</v>
          </cell>
        </row>
        <row r="581">
          <cell r="A581" t="str">
            <v>A00242</v>
          </cell>
        </row>
        <row r="582">
          <cell r="A582" t="str">
            <v>A00242</v>
          </cell>
        </row>
        <row r="583">
          <cell r="A583" t="str">
            <v>A00242</v>
          </cell>
        </row>
        <row r="584">
          <cell r="A584" t="str">
            <v>A00242</v>
          </cell>
        </row>
        <row r="585">
          <cell r="A585" t="str">
            <v>A00242</v>
          </cell>
        </row>
        <row r="586">
          <cell r="A586" t="str">
            <v>A00239</v>
          </cell>
        </row>
        <row r="587">
          <cell r="A587" t="str">
            <v>A00239</v>
          </cell>
        </row>
        <row r="588">
          <cell r="A588" t="str">
            <v>A00239</v>
          </cell>
        </row>
        <row r="589">
          <cell r="A589" t="str">
            <v>A00239</v>
          </cell>
        </row>
        <row r="590">
          <cell r="A590" t="str">
            <v>A00239</v>
          </cell>
        </row>
        <row r="591">
          <cell r="A591" t="str">
            <v>A00239</v>
          </cell>
        </row>
        <row r="592">
          <cell r="A592" t="str">
            <v>A00239</v>
          </cell>
        </row>
        <row r="593">
          <cell r="A593" t="str">
            <v>A00234</v>
          </cell>
        </row>
        <row r="594">
          <cell r="A594" t="str">
            <v>A00234</v>
          </cell>
        </row>
        <row r="595">
          <cell r="A595" t="str">
            <v>A00234</v>
          </cell>
        </row>
        <row r="596">
          <cell r="A596" t="str">
            <v>A00234</v>
          </cell>
        </row>
        <row r="597">
          <cell r="A597" t="str">
            <v>A00234</v>
          </cell>
        </row>
        <row r="598">
          <cell r="A598" t="str">
            <v>A00234</v>
          </cell>
        </row>
        <row r="599">
          <cell r="A599" t="str">
            <v>A00234</v>
          </cell>
        </row>
        <row r="600">
          <cell r="A600" t="str">
            <v>A00234</v>
          </cell>
        </row>
        <row r="601">
          <cell r="A601" t="str">
            <v>A00234</v>
          </cell>
        </row>
        <row r="602">
          <cell r="A602" t="str">
            <v>A00234</v>
          </cell>
        </row>
        <row r="603">
          <cell r="A603" t="str">
            <v>A00234</v>
          </cell>
        </row>
        <row r="604">
          <cell r="A604" t="str">
            <v>A00234</v>
          </cell>
        </row>
        <row r="605">
          <cell r="A605" t="str">
            <v>A00234</v>
          </cell>
        </row>
        <row r="606">
          <cell r="A606" t="str">
            <v>A00237</v>
          </cell>
        </row>
        <row r="607">
          <cell r="A607" t="str">
            <v>A00237</v>
          </cell>
        </row>
        <row r="608">
          <cell r="A608" t="str">
            <v>A00237</v>
          </cell>
        </row>
        <row r="609">
          <cell r="A609" t="str">
            <v>A00237</v>
          </cell>
        </row>
        <row r="610">
          <cell r="A610" t="str">
            <v>A00237</v>
          </cell>
        </row>
        <row r="611">
          <cell r="A611" t="str">
            <v>A00237</v>
          </cell>
        </row>
        <row r="612">
          <cell r="A612" t="str">
            <v>A00237</v>
          </cell>
        </row>
        <row r="613">
          <cell r="A613" t="str">
            <v>A00237</v>
          </cell>
        </row>
        <row r="614">
          <cell r="A614" t="str">
            <v>A00237</v>
          </cell>
        </row>
        <row r="615">
          <cell r="A615" t="str">
            <v>A00237</v>
          </cell>
        </row>
        <row r="616">
          <cell r="A616" t="str">
            <v>A00237</v>
          </cell>
        </row>
        <row r="617">
          <cell r="A617" t="str">
            <v>A00237</v>
          </cell>
        </row>
        <row r="618">
          <cell r="A618" t="str">
            <v>A00237</v>
          </cell>
        </row>
        <row r="619">
          <cell r="A619" t="str">
            <v>A00237</v>
          </cell>
        </row>
        <row r="620">
          <cell r="A620" t="str">
            <v>A00402</v>
          </cell>
        </row>
        <row r="621">
          <cell r="A621" t="str">
            <v>A00402</v>
          </cell>
        </row>
        <row r="622">
          <cell r="A622" t="str">
            <v>A00402</v>
          </cell>
        </row>
        <row r="623">
          <cell r="A623" t="str">
            <v>A00402</v>
          </cell>
        </row>
        <row r="624">
          <cell r="A624" t="str">
            <v>A00402</v>
          </cell>
        </row>
        <row r="625">
          <cell r="A625" t="str">
            <v>A00402</v>
          </cell>
        </row>
        <row r="626">
          <cell r="A626" t="str">
            <v>A00402</v>
          </cell>
        </row>
        <row r="627">
          <cell r="A627" t="str">
            <v>A00402</v>
          </cell>
        </row>
        <row r="628">
          <cell r="A628" t="str">
            <v>A00402</v>
          </cell>
        </row>
        <row r="629">
          <cell r="A629" t="str">
            <v>A00402</v>
          </cell>
        </row>
        <row r="630">
          <cell r="A630" t="str">
            <v>A00247</v>
          </cell>
        </row>
        <row r="631">
          <cell r="A631" t="str">
            <v>A00247</v>
          </cell>
        </row>
        <row r="632">
          <cell r="A632" t="str">
            <v>A00247</v>
          </cell>
        </row>
        <row r="633">
          <cell r="A633" t="str">
            <v>A00247</v>
          </cell>
        </row>
        <row r="634">
          <cell r="A634" t="str">
            <v>A00247</v>
          </cell>
        </row>
        <row r="635">
          <cell r="A635" t="str">
            <v>A00247</v>
          </cell>
        </row>
        <row r="636">
          <cell r="A636" t="str">
            <v>A00247</v>
          </cell>
        </row>
        <row r="637">
          <cell r="A637" t="str">
            <v>A00247</v>
          </cell>
        </row>
        <row r="638">
          <cell r="A638" t="str">
            <v>A00247</v>
          </cell>
        </row>
        <row r="639">
          <cell r="A639" t="str">
            <v>A00247</v>
          </cell>
        </row>
        <row r="640">
          <cell r="A640" t="str">
            <v>A00247</v>
          </cell>
        </row>
        <row r="641">
          <cell r="A641" t="str">
            <v>A00247</v>
          </cell>
        </row>
        <row r="642">
          <cell r="A642" t="str">
            <v>A00320</v>
          </cell>
        </row>
        <row r="643">
          <cell r="A643" t="str">
            <v>A00320</v>
          </cell>
        </row>
        <row r="644">
          <cell r="A644" t="str">
            <v>A00320</v>
          </cell>
        </row>
        <row r="645">
          <cell r="A645" t="str">
            <v>A00320</v>
          </cell>
        </row>
        <row r="646">
          <cell r="A646" t="str">
            <v>A00320</v>
          </cell>
        </row>
        <row r="647">
          <cell r="A647" t="str">
            <v>A00320</v>
          </cell>
        </row>
        <row r="648">
          <cell r="A648" t="str">
            <v>A00320</v>
          </cell>
        </row>
        <row r="649">
          <cell r="A649" t="str">
            <v>A00320</v>
          </cell>
        </row>
        <row r="650">
          <cell r="A650" t="str">
            <v>A00320</v>
          </cell>
        </row>
        <row r="651">
          <cell r="A651" t="str">
            <v>A00320</v>
          </cell>
        </row>
        <row r="652">
          <cell r="A652" t="str">
            <v>A10561</v>
          </cell>
        </row>
        <row r="653">
          <cell r="A653" t="str">
            <v>A10561</v>
          </cell>
        </row>
        <row r="654">
          <cell r="A654" t="str">
            <v>A10561</v>
          </cell>
        </row>
        <row r="655">
          <cell r="A655" t="str">
            <v>A10561</v>
          </cell>
        </row>
        <row r="656">
          <cell r="A656" t="str">
            <v>A10561</v>
          </cell>
        </row>
        <row r="657">
          <cell r="A657" t="str">
            <v>A10329</v>
          </cell>
        </row>
        <row r="658">
          <cell r="A658" t="str">
            <v>A10329</v>
          </cell>
        </row>
        <row r="659">
          <cell r="A659" t="str">
            <v>A10329</v>
          </cell>
        </row>
        <row r="660">
          <cell r="A660" t="str">
            <v>A10329</v>
          </cell>
        </row>
        <row r="661">
          <cell r="A661" t="str">
            <v>A10329</v>
          </cell>
        </row>
        <row r="662">
          <cell r="A662" t="str">
            <v>A10329</v>
          </cell>
        </row>
        <row r="663">
          <cell r="A663" t="str">
            <v>A10329</v>
          </cell>
        </row>
        <row r="664">
          <cell r="A664" t="str">
            <v>A10329</v>
          </cell>
        </row>
        <row r="665">
          <cell r="A665" t="str">
            <v>A10329</v>
          </cell>
        </row>
        <row r="666">
          <cell r="A666" t="str">
            <v>A10533</v>
          </cell>
        </row>
        <row r="667">
          <cell r="A667" t="str">
            <v>A10533</v>
          </cell>
        </row>
        <row r="668">
          <cell r="A668" t="str">
            <v>A10533</v>
          </cell>
        </row>
        <row r="669">
          <cell r="A669" t="str">
            <v>A10533</v>
          </cell>
        </row>
        <row r="670">
          <cell r="A670" t="str">
            <v>A10533</v>
          </cell>
        </row>
        <row r="671">
          <cell r="A671" t="str">
            <v>A10533</v>
          </cell>
        </row>
        <row r="672">
          <cell r="A672" t="str">
            <v>A10533</v>
          </cell>
        </row>
        <row r="673">
          <cell r="A673" t="str">
            <v>A10533</v>
          </cell>
        </row>
        <row r="674">
          <cell r="A674" t="str">
            <v>A10533</v>
          </cell>
        </row>
        <row r="675">
          <cell r="A675" t="str">
            <v>A10533</v>
          </cell>
        </row>
        <row r="676">
          <cell r="A676" t="str">
            <v>A10533</v>
          </cell>
        </row>
        <row r="677">
          <cell r="A677" t="str">
            <v>A10533</v>
          </cell>
        </row>
        <row r="678">
          <cell r="A678" t="str">
            <v>A10533</v>
          </cell>
        </row>
        <row r="679">
          <cell r="A679" t="str">
            <v>A10533</v>
          </cell>
        </row>
        <row r="680">
          <cell r="A680" t="str">
            <v>A10533</v>
          </cell>
        </row>
        <row r="681">
          <cell r="A681" t="str">
            <v>A10533</v>
          </cell>
        </row>
        <row r="682">
          <cell r="A682" t="str">
            <v>A10533</v>
          </cell>
        </row>
        <row r="683">
          <cell r="A683" t="str">
            <v>A10533</v>
          </cell>
        </row>
        <row r="684">
          <cell r="A684" t="str">
            <v>A10533</v>
          </cell>
        </row>
        <row r="685">
          <cell r="A685" t="str">
            <v>A10533</v>
          </cell>
        </row>
        <row r="686">
          <cell r="A686" t="str">
            <v>A10533</v>
          </cell>
        </row>
        <row r="687">
          <cell r="A687" t="str">
            <v>A10533</v>
          </cell>
        </row>
        <row r="688">
          <cell r="A688" t="str">
            <v>A09994</v>
          </cell>
        </row>
        <row r="689">
          <cell r="A689" t="str">
            <v>A09994</v>
          </cell>
        </row>
        <row r="690">
          <cell r="A690" t="str">
            <v>A09994</v>
          </cell>
        </row>
        <row r="691">
          <cell r="A691" t="str">
            <v>A09994</v>
          </cell>
        </row>
        <row r="692">
          <cell r="A692" t="str">
            <v>A09994</v>
          </cell>
        </row>
        <row r="693">
          <cell r="A693" t="str">
            <v>A10564</v>
          </cell>
        </row>
        <row r="694">
          <cell r="A694" t="str">
            <v>A10564</v>
          </cell>
        </row>
        <row r="695">
          <cell r="A695" t="str">
            <v>A10564</v>
          </cell>
        </row>
        <row r="696">
          <cell r="A696" t="str">
            <v>A10564</v>
          </cell>
        </row>
        <row r="697">
          <cell r="A697" t="str">
            <v>A10564</v>
          </cell>
        </row>
        <row r="698">
          <cell r="A698" t="str">
            <v>A10564</v>
          </cell>
        </row>
        <row r="699">
          <cell r="A699" t="str">
            <v>A10564</v>
          </cell>
        </row>
        <row r="700">
          <cell r="A700" t="str">
            <v>A10564</v>
          </cell>
        </row>
        <row r="701">
          <cell r="A701" t="str">
            <v>A10302</v>
          </cell>
        </row>
        <row r="702">
          <cell r="A702" t="str">
            <v>A10302</v>
          </cell>
        </row>
        <row r="703">
          <cell r="A703" t="str">
            <v>A10302</v>
          </cell>
        </row>
        <row r="704">
          <cell r="A704" t="str">
            <v>A10302</v>
          </cell>
        </row>
        <row r="705">
          <cell r="A705" t="str">
            <v>A10302</v>
          </cell>
        </row>
        <row r="706">
          <cell r="A706" t="str">
            <v>A10302</v>
          </cell>
        </row>
        <row r="707">
          <cell r="A707" t="str">
            <v>A10302</v>
          </cell>
        </row>
        <row r="708">
          <cell r="A708" t="str">
            <v>A10302</v>
          </cell>
        </row>
        <row r="709">
          <cell r="A709" t="str">
            <v>A10302</v>
          </cell>
        </row>
        <row r="710">
          <cell r="A710" t="str">
            <v>A10302</v>
          </cell>
        </row>
        <row r="711">
          <cell r="A711" t="str">
            <v>A10551</v>
          </cell>
        </row>
        <row r="712">
          <cell r="A712" t="str">
            <v>A10551</v>
          </cell>
        </row>
        <row r="713">
          <cell r="A713" t="str">
            <v>A10551</v>
          </cell>
        </row>
        <row r="714">
          <cell r="A714" t="str">
            <v>A10551</v>
          </cell>
        </row>
        <row r="715">
          <cell r="A715" t="str">
            <v>A10551</v>
          </cell>
        </row>
        <row r="716">
          <cell r="A716" t="str">
            <v>A10545</v>
          </cell>
        </row>
        <row r="717">
          <cell r="A717" t="str">
            <v>A10545</v>
          </cell>
        </row>
        <row r="718">
          <cell r="A718" t="str">
            <v>A10545</v>
          </cell>
        </row>
        <row r="719">
          <cell r="A719" t="str">
            <v>A10545</v>
          </cell>
        </row>
        <row r="720">
          <cell r="A720" t="str">
            <v>A10545</v>
          </cell>
        </row>
        <row r="721">
          <cell r="A721" t="str">
            <v>A10547</v>
          </cell>
        </row>
        <row r="722">
          <cell r="A722" t="str">
            <v>A10547</v>
          </cell>
        </row>
        <row r="723">
          <cell r="A723" t="str">
            <v>A10547</v>
          </cell>
        </row>
        <row r="724">
          <cell r="A724" t="str">
            <v>A10547</v>
          </cell>
        </row>
        <row r="725">
          <cell r="A725" t="str">
            <v>A10547</v>
          </cell>
        </row>
        <row r="726">
          <cell r="A726" t="str">
            <v>A10534</v>
          </cell>
        </row>
        <row r="727">
          <cell r="A727" t="str">
            <v>A10534</v>
          </cell>
        </row>
        <row r="728">
          <cell r="A728" t="str">
            <v>A10534</v>
          </cell>
        </row>
        <row r="729">
          <cell r="A729" t="str">
            <v>A10534</v>
          </cell>
        </row>
        <row r="730">
          <cell r="A730" t="str">
            <v>A10534</v>
          </cell>
        </row>
        <row r="731">
          <cell r="A731" t="str">
            <v>A10534</v>
          </cell>
        </row>
        <row r="732">
          <cell r="A732" t="str">
            <v>A10534</v>
          </cell>
        </row>
        <row r="733">
          <cell r="A733" t="str">
            <v>A10553</v>
          </cell>
        </row>
        <row r="734">
          <cell r="A734" t="str">
            <v>A10553</v>
          </cell>
        </row>
        <row r="735">
          <cell r="A735" t="str">
            <v>A10553</v>
          </cell>
        </row>
        <row r="736">
          <cell r="A736" t="str">
            <v>A10553</v>
          </cell>
        </row>
        <row r="737">
          <cell r="A737" t="str">
            <v>A10553</v>
          </cell>
        </row>
        <row r="738">
          <cell r="A738" t="str">
            <v>A10553</v>
          </cell>
        </row>
        <row r="739">
          <cell r="A739" t="str">
            <v>A10553</v>
          </cell>
        </row>
        <row r="740">
          <cell r="A740" t="str">
            <v>A10553</v>
          </cell>
        </row>
        <row r="741">
          <cell r="A741" t="str">
            <v>A10553</v>
          </cell>
        </row>
        <row r="742">
          <cell r="A742" t="str">
            <v>A10553</v>
          </cell>
        </row>
        <row r="743">
          <cell r="A743" t="str">
            <v>A10553</v>
          </cell>
        </row>
        <row r="744">
          <cell r="A744" t="str">
            <v>A10553</v>
          </cell>
        </row>
        <row r="745">
          <cell r="A745" t="str">
            <v>A10553</v>
          </cell>
        </row>
        <row r="746">
          <cell r="A746" t="str">
            <v>A10553</v>
          </cell>
        </row>
        <row r="747">
          <cell r="A747" t="str">
            <v>A10553</v>
          </cell>
        </row>
        <row r="748">
          <cell r="A748" t="str">
            <v>A10558</v>
          </cell>
        </row>
        <row r="749">
          <cell r="A749" t="str">
            <v>A10558</v>
          </cell>
        </row>
        <row r="750">
          <cell r="A750" t="str">
            <v>A10558</v>
          </cell>
        </row>
        <row r="751">
          <cell r="A751" t="str">
            <v>A10558</v>
          </cell>
        </row>
        <row r="752">
          <cell r="A752" t="str">
            <v>A10558</v>
          </cell>
        </row>
        <row r="753">
          <cell r="A753" t="str">
            <v>A10558</v>
          </cell>
        </row>
        <row r="754">
          <cell r="A754" t="str">
            <v>A10558</v>
          </cell>
        </row>
        <row r="755">
          <cell r="A755" t="str">
            <v>A10565</v>
          </cell>
        </row>
        <row r="756">
          <cell r="A756" t="str">
            <v>A10565</v>
          </cell>
        </row>
        <row r="757">
          <cell r="A757" t="str">
            <v>A10565</v>
          </cell>
        </row>
        <row r="758">
          <cell r="A758" t="str">
            <v>A10565</v>
          </cell>
        </row>
        <row r="759">
          <cell r="A759" t="str">
            <v>A10565</v>
          </cell>
        </row>
        <row r="760">
          <cell r="A760" t="str">
            <v>A10565</v>
          </cell>
        </row>
        <row r="761">
          <cell r="A761" t="str">
            <v>A10565</v>
          </cell>
        </row>
        <row r="762">
          <cell r="A762" t="str">
            <v>A10565</v>
          </cell>
        </row>
        <row r="763">
          <cell r="A763" t="str">
            <v>A10565</v>
          </cell>
        </row>
        <row r="764">
          <cell r="A764" t="str">
            <v>A10565</v>
          </cell>
        </row>
        <row r="765">
          <cell r="A765" t="str">
            <v>A10456</v>
          </cell>
        </row>
        <row r="766">
          <cell r="A766" t="str">
            <v>A10456</v>
          </cell>
        </row>
        <row r="767">
          <cell r="A767" t="str">
            <v>A10456</v>
          </cell>
        </row>
        <row r="768">
          <cell r="A768" t="str">
            <v>A10456</v>
          </cell>
        </row>
        <row r="769">
          <cell r="A769" t="str">
            <v>A10456</v>
          </cell>
        </row>
        <row r="770">
          <cell r="A770" t="str">
            <v>A10456</v>
          </cell>
        </row>
        <row r="771">
          <cell r="A771" t="str">
            <v>A10456</v>
          </cell>
        </row>
        <row r="772">
          <cell r="A772" t="str">
            <v>A10456</v>
          </cell>
        </row>
        <row r="773">
          <cell r="A773" t="str">
            <v>A10456</v>
          </cell>
        </row>
        <row r="774">
          <cell r="A774" t="str">
            <v>A10456</v>
          </cell>
        </row>
        <row r="775">
          <cell r="A775" t="str">
            <v>A10456</v>
          </cell>
        </row>
        <row r="776">
          <cell r="A776" t="str">
            <v>A10456</v>
          </cell>
        </row>
        <row r="777">
          <cell r="A777" t="str">
            <v>A10456</v>
          </cell>
        </row>
        <row r="778">
          <cell r="A778" t="str">
            <v>A10560</v>
          </cell>
        </row>
        <row r="779">
          <cell r="A779" t="str">
            <v>A10560</v>
          </cell>
        </row>
        <row r="780">
          <cell r="A780" t="str">
            <v>A10560</v>
          </cell>
        </row>
        <row r="781">
          <cell r="A781" t="str">
            <v>A10560</v>
          </cell>
        </row>
        <row r="782">
          <cell r="A782" t="str">
            <v>A10560</v>
          </cell>
        </row>
        <row r="783">
          <cell r="A783" t="str">
            <v>A10560</v>
          </cell>
        </row>
        <row r="784">
          <cell r="A784" t="str">
            <v>A10560</v>
          </cell>
        </row>
        <row r="785">
          <cell r="A785" t="str">
            <v>A10536</v>
          </cell>
        </row>
        <row r="786">
          <cell r="A786" t="str">
            <v>A10536</v>
          </cell>
        </row>
        <row r="787">
          <cell r="A787" t="str">
            <v>A10536</v>
          </cell>
        </row>
        <row r="788">
          <cell r="A788" t="str">
            <v>A10536</v>
          </cell>
        </row>
        <row r="789">
          <cell r="A789" t="str">
            <v>A10536</v>
          </cell>
        </row>
        <row r="790">
          <cell r="A790" t="str">
            <v>A10536</v>
          </cell>
        </row>
        <row r="791">
          <cell r="A791" t="str">
            <v>A10536</v>
          </cell>
        </row>
        <row r="792">
          <cell r="A792" t="str">
            <v>A10536</v>
          </cell>
        </row>
        <row r="793">
          <cell r="A793" t="str">
            <v>A10536</v>
          </cell>
        </row>
        <row r="794">
          <cell r="A794" t="str">
            <v>A09725</v>
          </cell>
        </row>
        <row r="795">
          <cell r="A795" t="str">
            <v>A09725</v>
          </cell>
        </row>
        <row r="796">
          <cell r="A796" t="str">
            <v>A09725</v>
          </cell>
        </row>
        <row r="797">
          <cell r="A797" t="str">
            <v>A09725</v>
          </cell>
        </row>
        <row r="798">
          <cell r="A798" t="str">
            <v>A09725</v>
          </cell>
        </row>
        <row r="799">
          <cell r="A799" t="str">
            <v>A09857</v>
          </cell>
        </row>
        <row r="800">
          <cell r="A800" t="str">
            <v>A09857</v>
          </cell>
        </row>
        <row r="801">
          <cell r="A801" t="str">
            <v>A09857</v>
          </cell>
        </row>
        <row r="802">
          <cell r="A802" t="str">
            <v>A09857</v>
          </cell>
        </row>
        <row r="803">
          <cell r="A803" t="str">
            <v>A09857</v>
          </cell>
        </row>
        <row r="804">
          <cell r="A804" t="str">
            <v>A09857</v>
          </cell>
        </row>
        <row r="805">
          <cell r="A805" t="str">
            <v>A09857</v>
          </cell>
        </row>
        <row r="806">
          <cell r="A806" t="str">
            <v>A09857</v>
          </cell>
        </row>
        <row r="807">
          <cell r="A807" t="str">
            <v>A09857</v>
          </cell>
        </row>
        <row r="808">
          <cell r="A808" t="str">
            <v>A09857</v>
          </cell>
        </row>
        <row r="809">
          <cell r="A809" t="str">
            <v>A09857</v>
          </cell>
        </row>
        <row r="810">
          <cell r="A810" t="str">
            <v>A09857</v>
          </cell>
        </row>
        <row r="811">
          <cell r="A811" t="str">
            <v>A10279</v>
          </cell>
        </row>
        <row r="812">
          <cell r="A812" t="str">
            <v>A10279</v>
          </cell>
        </row>
        <row r="813">
          <cell r="A813" t="str">
            <v>A10279</v>
          </cell>
        </row>
        <row r="814">
          <cell r="A814" t="str">
            <v>A10279</v>
          </cell>
        </row>
        <row r="815">
          <cell r="A815" t="str">
            <v>A10279</v>
          </cell>
        </row>
        <row r="816">
          <cell r="A816" t="str">
            <v>A10279</v>
          </cell>
        </row>
        <row r="817">
          <cell r="A817" t="str">
            <v>A10279</v>
          </cell>
        </row>
        <row r="818">
          <cell r="A818" t="str">
            <v>A10279</v>
          </cell>
        </row>
        <row r="819">
          <cell r="A819" t="str">
            <v>A10279</v>
          </cell>
        </row>
        <row r="820">
          <cell r="A820" t="str">
            <v>A10279</v>
          </cell>
        </row>
        <row r="821">
          <cell r="A821" t="str">
            <v>A10279</v>
          </cell>
        </row>
        <row r="822">
          <cell r="A822" t="str">
            <v>A10279</v>
          </cell>
        </row>
        <row r="823">
          <cell r="A823" t="str">
            <v>A10279</v>
          </cell>
        </row>
        <row r="824">
          <cell r="A824" t="str">
            <v>A10279</v>
          </cell>
        </row>
        <row r="825">
          <cell r="A825" t="str">
            <v>A09977</v>
          </cell>
        </row>
        <row r="826">
          <cell r="A826" t="str">
            <v>A09977</v>
          </cell>
        </row>
        <row r="827">
          <cell r="A827" t="str">
            <v>A09977</v>
          </cell>
        </row>
        <row r="828">
          <cell r="A828" t="str">
            <v>A09977</v>
          </cell>
        </row>
        <row r="829">
          <cell r="A829" t="str">
            <v>A09977</v>
          </cell>
        </row>
        <row r="830">
          <cell r="A830" t="str">
            <v>A10300</v>
          </cell>
        </row>
        <row r="831">
          <cell r="A831" t="str">
            <v>A10300</v>
          </cell>
        </row>
        <row r="832">
          <cell r="A832" t="str">
            <v>A10300</v>
          </cell>
        </row>
        <row r="833">
          <cell r="A833" t="str">
            <v>A10300</v>
          </cell>
        </row>
        <row r="834">
          <cell r="A834" t="str">
            <v>A10300</v>
          </cell>
        </row>
        <row r="835">
          <cell r="A835" t="str">
            <v>A09787</v>
          </cell>
        </row>
        <row r="836">
          <cell r="A836" t="str">
            <v>A09787</v>
          </cell>
        </row>
        <row r="837">
          <cell r="A837" t="str">
            <v>A09787</v>
          </cell>
        </row>
        <row r="838">
          <cell r="A838" t="str">
            <v>A09787</v>
          </cell>
        </row>
        <row r="839">
          <cell r="A839" t="str">
            <v>A09787</v>
          </cell>
        </row>
        <row r="840">
          <cell r="A840" t="str">
            <v>A09787</v>
          </cell>
        </row>
        <row r="841">
          <cell r="A841" t="str">
            <v>A09787</v>
          </cell>
        </row>
        <row r="842">
          <cell r="A842" t="str">
            <v>A09787</v>
          </cell>
        </row>
        <row r="843">
          <cell r="A843" t="str">
            <v>A10549</v>
          </cell>
        </row>
        <row r="844">
          <cell r="A844" t="str">
            <v>A10549</v>
          </cell>
        </row>
        <row r="845">
          <cell r="A845" t="str">
            <v>A10549</v>
          </cell>
        </row>
        <row r="846">
          <cell r="A846" t="str">
            <v>A10549</v>
          </cell>
        </row>
        <row r="847">
          <cell r="A847" t="str">
            <v>A10549</v>
          </cell>
        </row>
        <row r="848">
          <cell r="A848" t="str">
            <v>A10549</v>
          </cell>
        </row>
        <row r="849">
          <cell r="A849" t="str">
            <v>A10549</v>
          </cell>
        </row>
        <row r="850">
          <cell r="A850" t="str">
            <v>A00118</v>
          </cell>
        </row>
        <row r="851">
          <cell r="A851" t="str">
            <v>A00118</v>
          </cell>
        </row>
        <row r="852">
          <cell r="A852" t="str">
            <v>A00118</v>
          </cell>
        </row>
        <row r="853">
          <cell r="A853" t="str">
            <v>A00118</v>
          </cell>
        </row>
        <row r="854">
          <cell r="A854" t="str">
            <v>A00118</v>
          </cell>
        </row>
        <row r="855">
          <cell r="A855" t="str">
            <v>A00118</v>
          </cell>
        </row>
        <row r="856">
          <cell r="A856" t="str">
            <v>A00118</v>
          </cell>
        </row>
        <row r="857">
          <cell r="A857" t="str">
            <v>A00118</v>
          </cell>
        </row>
        <row r="858">
          <cell r="A858" t="str">
            <v>A00118</v>
          </cell>
        </row>
        <row r="859">
          <cell r="A859" t="str">
            <v>A00118</v>
          </cell>
        </row>
        <row r="860">
          <cell r="A860" t="str">
            <v>A00118</v>
          </cell>
        </row>
        <row r="861">
          <cell r="A861" t="str">
            <v>A00118</v>
          </cell>
        </row>
        <row r="862">
          <cell r="A862" t="str">
            <v>A00118</v>
          </cell>
        </row>
        <row r="863">
          <cell r="A863" t="str">
            <v>A00118</v>
          </cell>
        </row>
        <row r="864">
          <cell r="A864" t="str">
            <v>A00118</v>
          </cell>
        </row>
      </sheetData>
      <sheetData sheetId="4"/>
      <sheetData sheetId="5"/>
      <sheetData sheetId="6"/>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明細"/>
      <sheetName val="集計"/>
      <sheetName val="グラフ"/>
      <sheetName val="三田保水剤"/>
    </sheetNames>
    <sheetDataSet>
      <sheetData sheetId="0">
        <row r="1">
          <cell r="A1" t="str">
            <v>社員コード</v>
          </cell>
          <cell r="B1" t="str">
            <v>氏　名</v>
          </cell>
          <cell r="C1" t="str">
            <v>Q１、VPM活動を理解出来てきた？</v>
          </cell>
          <cell r="D1" t="str">
            <v>Q２、自分も何らかの形で参画できた？</v>
          </cell>
          <cell r="E1" t="str">
            <v>Q３、コスト意識が以前より向上した？</v>
          </cell>
          <cell r="F1" t="str">
            <v>Q４、総合効率指標を活用している？</v>
          </cell>
          <cell r="G1" t="str">
            <v xml:space="preserve">Q５、活動開始時より現在はやらなければという気持ちが強くなった？
</v>
          </cell>
          <cell r="H1" t="str">
            <v>Q６、困ったシートを活用しているか？</v>
          </cell>
          <cell r="I1" t="str">
            <v>Q７、困ったシートによる改善され職場が良くなったと感じているか？</v>
          </cell>
          <cell r="J1" t="str">
            <v>御意見、ご要望１</v>
          </cell>
          <cell r="K1" t="str">
            <v>御意見、ご要望２</v>
          </cell>
          <cell r="L1" t="str">
            <v>御意見、ご要望３</v>
          </cell>
          <cell r="M1" t="str">
            <v>会社</v>
          </cell>
        </row>
        <row r="2">
          <cell r="A2" t="str">
            <v>A00404</v>
          </cell>
        </row>
        <row r="3">
          <cell r="A3" t="str">
            <v>A07411</v>
          </cell>
        </row>
        <row r="4">
          <cell r="A4" t="str">
            <v>A09107</v>
          </cell>
        </row>
        <row r="5">
          <cell r="A5" t="str">
            <v>A00202</v>
          </cell>
        </row>
        <row r="6">
          <cell r="A6" t="str">
            <v>A09406</v>
          </cell>
        </row>
        <row r="7">
          <cell r="A7" t="str">
            <v>A00507</v>
          </cell>
        </row>
        <row r="8">
          <cell r="A8" t="str">
            <v>A00203</v>
          </cell>
        </row>
        <row r="9">
          <cell r="A9" t="str">
            <v>A00201</v>
          </cell>
        </row>
        <row r="10">
          <cell r="A10" t="str">
            <v>A09901</v>
          </cell>
        </row>
        <row r="11">
          <cell r="A11" t="str">
            <v>A00302</v>
          </cell>
        </row>
        <row r="12">
          <cell r="A12" t="str">
            <v>A09411</v>
          </cell>
        </row>
        <row r="13">
          <cell r="A13" t="str">
            <v>A07237</v>
          </cell>
        </row>
        <row r="14">
          <cell r="A14" t="str">
            <v>A09004</v>
          </cell>
        </row>
        <row r="15">
          <cell r="A15" t="str">
            <v>A08930</v>
          </cell>
        </row>
        <row r="16">
          <cell r="A16" t="str">
            <v>A09503</v>
          </cell>
        </row>
        <row r="17">
          <cell r="A17" t="str">
            <v>A09507</v>
          </cell>
        </row>
        <row r="18">
          <cell r="A18" t="str">
            <v>A09665</v>
          </cell>
        </row>
        <row r="19">
          <cell r="A19" t="str">
            <v>A00205</v>
          </cell>
        </row>
        <row r="20">
          <cell r="A20" t="str">
            <v>A08801</v>
          </cell>
        </row>
        <row r="21">
          <cell r="A21" t="str">
            <v>A07717</v>
          </cell>
        </row>
        <row r="22">
          <cell r="A22" t="str">
            <v>A08408</v>
          </cell>
        </row>
        <row r="23">
          <cell r="A23" t="str">
            <v>A08920</v>
          </cell>
        </row>
        <row r="24">
          <cell r="A24" t="str">
            <v>A08814</v>
          </cell>
        </row>
        <row r="25">
          <cell r="A25" t="str">
            <v>A00001</v>
          </cell>
        </row>
        <row r="26">
          <cell r="A26" t="str">
            <v>A07708</v>
          </cell>
        </row>
        <row r="27">
          <cell r="A27" t="str">
            <v>A08911</v>
          </cell>
        </row>
        <row r="28">
          <cell r="A28" t="str">
            <v>A09002</v>
          </cell>
        </row>
        <row r="29">
          <cell r="A29" t="str">
            <v>A08828</v>
          </cell>
        </row>
        <row r="30">
          <cell r="A30" t="str">
            <v>A08915</v>
          </cell>
        </row>
        <row r="31">
          <cell r="A31" t="str">
            <v>A00303</v>
          </cell>
        </row>
        <row r="32">
          <cell r="A32" t="str">
            <v>A00506</v>
          </cell>
        </row>
        <row r="33">
          <cell r="A33" t="str">
            <v>A08810</v>
          </cell>
        </row>
        <row r="34">
          <cell r="A34" t="str">
            <v>A00103</v>
          </cell>
        </row>
        <row r="35">
          <cell r="A35" t="str">
            <v>A09103</v>
          </cell>
        </row>
        <row r="36">
          <cell r="A36" t="str">
            <v>A09604</v>
          </cell>
        </row>
        <row r="37">
          <cell r="A37" t="str">
            <v>A09001</v>
          </cell>
        </row>
        <row r="38">
          <cell r="A38" t="str">
            <v>A08803</v>
          </cell>
        </row>
        <row r="39">
          <cell r="A39" t="str">
            <v>A00502</v>
          </cell>
        </row>
        <row r="40">
          <cell r="A40" t="str">
            <v>A00505</v>
          </cell>
        </row>
        <row r="41">
          <cell r="A41" t="str">
            <v>A08919</v>
          </cell>
        </row>
        <row r="42">
          <cell r="A42" t="str">
            <v>A09701</v>
          </cell>
        </row>
        <row r="43">
          <cell r="A43" t="str">
            <v>A09601</v>
          </cell>
        </row>
        <row r="44">
          <cell r="A44" t="str">
            <v>A09702</v>
          </cell>
        </row>
        <row r="45">
          <cell r="A45" t="str">
            <v>A07323</v>
          </cell>
        </row>
        <row r="46">
          <cell r="A46" t="str">
            <v>A00301</v>
          </cell>
        </row>
        <row r="47">
          <cell r="A47" t="str">
            <v>A08406</v>
          </cell>
        </row>
        <row r="48">
          <cell r="A48" t="str">
            <v>A07218</v>
          </cell>
        </row>
        <row r="49">
          <cell r="A49" t="str">
            <v>A08910</v>
          </cell>
        </row>
        <row r="50">
          <cell r="A50" t="str">
            <v>A09506</v>
          </cell>
        </row>
        <row r="51">
          <cell r="A51" t="str">
            <v>A00508</v>
          </cell>
        </row>
        <row r="52">
          <cell r="A52" t="str">
            <v>A06909</v>
          </cell>
        </row>
        <row r="53">
          <cell r="A53" t="str">
            <v>A08916</v>
          </cell>
        </row>
        <row r="54">
          <cell r="A54" t="str">
            <v>A09304</v>
          </cell>
        </row>
        <row r="55">
          <cell r="A55" t="str">
            <v>A09401</v>
          </cell>
        </row>
        <row r="56">
          <cell r="A56" t="str">
            <v>A00503</v>
          </cell>
        </row>
        <row r="57">
          <cell r="A57" t="str">
            <v>A09801</v>
          </cell>
        </row>
        <row r="58">
          <cell r="A58" t="str">
            <v>J03368</v>
          </cell>
        </row>
        <row r="59">
          <cell r="A59" t="str">
            <v>A08912</v>
          </cell>
        </row>
        <row r="60">
          <cell r="A60" t="str">
            <v>A00101</v>
          </cell>
        </row>
        <row r="61">
          <cell r="A61" t="str">
            <v>A09402</v>
          </cell>
        </row>
        <row r="62">
          <cell r="A62" t="str">
            <v>A09510</v>
          </cell>
        </row>
        <row r="63">
          <cell r="A63" t="str">
            <v>A08820</v>
          </cell>
        </row>
        <row r="64">
          <cell r="A64" t="str">
            <v>A06703</v>
          </cell>
        </row>
        <row r="65">
          <cell r="A65" t="str">
            <v>A08821</v>
          </cell>
        </row>
        <row r="66">
          <cell r="A66" t="str">
            <v>A08901</v>
          </cell>
        </row>
        <row r="67">
          <cell r="A67" t="str">
            <v>A09505</v>
          </cell>
        </row>
        <row r="68">
          <cell r="A68" t="str">
            <v>A00204</v>
          </cell>
        </row>
        <row r="69">
          <cell r="A69" t="str">
            <v>A00504</v>
          </cell>
        </row>
        <row r="70">
          <cell r="A70" t="str">
            <v>A09412</v>
          </cell>
        </row>
        <row r="71">
          <cell r="A71" t="str">
            <v>A09008</v>
          </cell>
        </row>
        <row r="72">
          <cell r="A72" t="str">
            <v>A09410</v>
          </cell>
        </row>
        <row r="73">
          <cell r="A73" t="str">
            <v>A09407</v>
          </cell>
        </row>
        <row r="74">
          <cell r="A74">
            <v>237</v>
          </cell>
        </row>
        <row r="75">
          <cell r="A75">
            <v>242</v>
          </cell>
        </row>
        <row r="76">
          <cell r="A76">
            <v>402</v>
          </cell>
        </row>
        <row r="77">
          <cell r="A77">
            <v>239</v>
          </cell>
        </row>
        <row r="78">
          <cell r="A78">
            <v>236</v>
          </cell>
        </row>
        <row r="79">
          <cell r="A79">
            <v>244</v>
          </cell>
        </row>
        <row r="80">
          <cell r="A80">
            <v>234</v>
          </cell>
        </row>
        <row r="81">
          <cell r="A81">
            <v>320</v>
          </cell>
        </row>
        <row r="82">
          <cell r="A82">
            <v>247</v>
          </cell>
        </row>
        <row r="83">
          <cell r="A83">
            <v>118</v>
          </cell>
        </row>
        <row r="84">
          <cell r="A84">
            <v>9977</v>
          </cell>
        </row>
        <row r="85">
          <cell r="A85">
            <v>10122</v>
          </cell>
        </row>
        <row r="86">
          <cell r="A86">
            <v>9857</v>
          </cell>
        </row>
        <row r="87">
          <cell r="A87">
            <v>15</v>
          </cell>
        </row>
        <row r="88">
          <cell r="A88">
            <v>10279</v>
          </cell>
        </row>
        <row r="89">
          <cell r="A89">
            <v>9787</v>
          </cell>
        </row>
        <row r="90">
          <cell r="A90">
            <v>10300</v>
          </cell>
        </row>
        <row r="91">
          <cell r="A91">
            <v>10258</v>
          </cell>
        </row>
        <row r="92">
          <cell r="A92">
            <v>10516</v>
          </cell>
        </row>
        <row r="93">
          <cell r="A93">
            <v>9725</v>
          </cell>
        </row>
        <row r="94">
          <cell r="A94">
            <v>10523</v>
          </cell>
        </row>
        <row r="95">
          <cell r="A95">
            <v>10536</v>
          </cell>
        </row>
        <row r="96">
          <cell r="A96">
            <v>10533</v>
          </cell>
        </row>
        <row r="97">
          <cell r="A97">
            <v>9994</v>
          </cell>
        </row>
        <row r="98">
          <cell r="A98">
            <v>10329</v>
          </cell>
        </row>
        <row r="99">
          <cell r="A99">
            <v>10534</v>
          </cell>
        </row>
        <row r="100">
          <cell r="A100">
            <v>10535</v>
          </cell>
        </row>
        <row r="101">
          <cell r="A101">
            <v>10530</v>
          </cell>
        </row>
        <row r="102">
          <cell r="A102">
            <v>10295</v>
          </cell>
        </row>
        <row r="103">
          <cell r="A103">
            <v>10531</v>
          </cell>
        </row>
        <row r="104">
          <cell r="A104">
            <v>10256</v>
          </cell>
        </row>
      </sheetData>
      <sheetData sheetId="1"/>
      <sheetData sheetId="2"/>
      <sheetData sheetId="3"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excelchamps.com/vba/arrays/add-new-value-arra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105CC-908C-47AE-A187-943638A5213A}">
  <sheetPr codeName="Sheet1"/>
  <dimension ref="A1:AA1047"/>
  <sheetViews>
    <sheetView showGridLines="0" topLeftCell="A51" zoomScale="70" zoomScaleNormal="70" workbookViewId="0">
      <selection activeCell="J52" sqref="J52"/>
    </sheetView>
  </sheetViews>
  <sheetFormatPr defaultColWidth="14.36328125" defaultRowHeight="15" customHeight="1"/>
  <cols>
    <col min="1" max="1" width="1.81640625" style="6" customWidth="1"/>
    <col min="2" max="2" width="14.08984375" style="6" customWidth="1"/>
    <col min="3" max="3" width="13.54296875" style="6" customWidth="1"/>
    <col min="4" max="4" width="21.36328125" style="6" bestFit="1" customWidth="1"/>
    <col min="5" max="5" width="12.08984375" style="6" customWidth="1"/>
    <col min="6" max="6" width="11" style="6" customWidth="1"/>
    <col min="7" max="7" width="9.08984375" style="6" customWidth="1"/>
    <col min="8" max="13" width="12.08984375" style="6" customWidth="1"/>
    <col min="14" max="27" width="8.81640625" style="6" customWidth="1"/>
    <col min="28" max="16384" width="14.36328125" style="6"/>
  </cols>
  <sheetData>
    <row r="1" spans="2:13" ht="21">
      <c r="B1" s="232" t="s">
        <v>1</v>
      </c>
      <c r="C1" s="233"/>
      <c r="D1" s="233"/>
      <c r="E1" s="233"/>
      <c r="F1" s="233"/>
      <c r="G1" s="233"/>
      <c r="H1" s="233"/>
      <c r="I1" s="233"/>
      <c r="J1" s="233"/>
      <c r="K1" s="233"/>
      <c r="L1" s="233"/>
      <c r="M1" s="234"/>
    </row>
    <row r="2" spans="2:13" ht="16.5">
      <c r="B2" s="7" t="s">
        <v>2</v>
      </c>
      <c r="C2" s="8"/>
      <c r="D2" s="9"/>
      <c r="E2" s="9"/>
      <c r="F2" s="9"/>
      <c r="G2" s="9"/>
      <c r="H2" s="9"/>
      <c r="I2" s="9"/>
      <c r="J2" s="9"/>
      <c r="K2" s="9"/>
      <c r="L2" s="9"/>
      <c r="M2" s="10"/>
    </row>
    <row r="3" spans="2:13" ht="16.5">
      <c r="B3" s="11" t="s">
        <v>3</v>
      </c>
      <c r="C3" s="12"/>
      <c r="D3" s="13"/>
      <c r="E3" s="13"/>
      <c r="F3" s="13"/>
      <c r="G3" s="13"/>
      <c r="H3" s="13"/>
      <c r="I3" s="13"/>
      <c r="J3" s="13"/>
      <c r="K3" s="13"/>
      <c r="L3" s="13"/>
      <c r="M3" s="14"/>
    </row>
    <row r="4" spans="2:13" ht="16.5">
      <c r="B4" s="11" t="s">
        <v>4</v>
      </c>
      <c r="C4" s="12"/>
      <c r="D4" s="13"/>
      <c r="E4" s="13"/>
      <c r="F4" s="13"/>
      <c r="G4" s="13"/>
      <c r="H4" s="13"/>
      <c r="I4" s="13"/>
      <c r="J4" s="13"/>
      <c r="K4" s="13"/>
      <c r="L4" s="13"/>
      <c r="M4" s="14"/>
    </row>
    <row r="5" spans="2:13" ht="16.5">
      <c r="B5" s="15" t="s">
        <v>5</v>
      </c>
      <c r="C5" s="16"/>
      <c r="D5" s="17"/>
      <c r="E5" s="17"/>
      <c r="F5" s="17"/>
      <c r="G5" s="17"/>
      <c r="H5" s="17"/>
      <c r="I5" s="17" t="b">
        <v>0</v>
      </c>
      <c r="J5" s="17"/>
      <c r="K5" s="17"/>
      <c r="L5" s="17"/>
      <c r="M5" s="18"/>
    </row>
    <row r="6" spans="2:13" ht="21">
      <c r="B6" s="19" t="s">
        <v>6</v>
      </c>
      <c r="C6" s="20"/>
      <c r="D6" s="9"/>
      <c r="E6" s="9"/>
      <c r="F6" s="9"/>
      <c r="G6" s="9"/>
      <c r="H6" s="9"/>
      <c r="I6" s="9"/>
      <c r="J6" s="9"/>
      <c r="K6" s="9"/>
      <c r="L6" s="9"/>
      <c r="M6" s="10"/>
    </row>
    <row r="7" spans="2:13" ht="21">
      <c r="B7" s="19"/>
      <c r="C7" s="20"/>
      <c r="D7" s="13"/>
      <c r="E7" s="13"/>
      <c r="F7" s="13"/>
      <c r="G7" s="13"/>
      <c r="H7" s="13"/>
      <c r="I7" s="13"/>
      <c r="J7" s="13"/>
      <c r="K7" s="13"/>
      <c r="L7" s="13"/>
      <c r="M7" s="14"/>
    </row>
    <row r="8" spans="2:13" ht="16.5">
      <c r="B8" s="21"/>
      <c r="C8" s="22"/>
      <c r="D8" s="13"/>
      <c r="E8" s="13"/>
      <c r="F8" s="13"/>
      <c r="G8" s="13"/>
      <c r="H8" s="13"/>
      <c r="I8" s="13" t="b">
        <v>1</v>
      </c>
      <c r="J8" s="13"/>
      <c r="K8" s="13"/>
      <c r="L8" s="13"/>
      <c r="M8" s="14"/>
    </row>
    <row r="9" spans="2:13" ht="16.5">
      <c r="B9" s="21"/>
      <c r="C9" s="22"/>
      <c r="D9" s="13"/>
      <c r="E9" s="13"/>
      <c r="F9" s="13"/>
      <c r="G9" s="13"/>
      <c r="H9" s="13"/>
      <c r="I9" s="13"/>
      <c r="J9" s="13"/>
      <c r="K9" s="13"/>
      <c r="L9" s="13"/>
      <c r="M9" s="14"/>
    </row>
    <row r="10" spans="2:13" ht="16.5">
      <c r="B10" s="21"/>
      <c r="C10" s="22"/>
      <c r="D10" s="13"/>
      <c r="E10" s="13"/>
      <c r="F10" s="13"/>
      <c r="G10" s="13"/>
      <c r="H10" s="13"/>
      <c r="I10" s="13"/>
      <c r="J10" s="13"/>
      <c r="K10" s="13"/>
      <c r="L10" s="13"/>
      <c r="M10" s="14"/>
    </row>
    <row r="11" spans="2:13" ht="16.5">
      <c r="B11" s="21"/>
      <c r="C11" s="22"/>
      <c r="D11" s="13"/>
      <c r="E11" s="13"/>
      <c r="F11" s="13"/>
      <c r="G11" s="13"/>
      <c r="H11" s="13"/>
      <c r="I11" s="13"/>
      <c r="J11" s="13"/>
      <c r="K11" s="13"/>
      <c r="L11" s="13"/>
      <c r="M11" s="14"/>
    </row>
    <row r="12" spans="2:13" ht="16.5">
      <c r="B12" s="21"/>
      <c r="C12" s="22"/>
      <c r="D12" s="13"/>
      <c r="E12" s="13"/>
      <c r="F12" s="13"/>
      <c r="G12" s="13"/>
      <c r="H12" s="13"/>
      <c r="I12" s="13"/>
      <c r="J12" s="13"/>
      <c r="K12" s="13"/>
      <c r="L12" s="13"/>
      <c r="M12" s="14"/>
    </row>
    <row r="13" spans="2:13" ht="16.5">
      <c r="B13" s="21"/>
      <c r="C13" s="22"/>
      <c r="D13" s="13"/>
      <c r="E13" s="13"/>
      <c r="F13" s="13"/>
      <c r="G13" s="13"/>
      <c r="H13" s="13"/>
      <c r="I13" s="13"/>
      <c r="J13" s="13"/>
      <c r="K13" s="13"/>
      <c r="L13" s="13"/>
      <c r="M13" s="14"/>
    </row>
    <row r="14" spans="2:13" ht="16.5">
      <c r="B14" s="21"/>
      <c r="C14" s="22"/>
      <c r="D14" s="13"/>
      <c r="E14" s="13"/>
      <c r="F14" s="13"/>
      <c r="G14" s="13"/>
      <c r="H14" s="13"/>
      <c r="I14" s="13"/>
      <c r="J14" s="13"/>
      <c r="K14" s="13"/>
      <c r="L14" s="13"/>
      <c r="M14" s="14"/>
    </row>
    <row r="15" spans="2:13" ht="16.5">
      <c r="B15" s="21"/>
      <c r="C15" s="22"/>
      <c r="D15" s="13"/>
      <c r="E15" s="13"/>
      <c r="F15" s="13"/>
      <c r="G15" s="13"/>
      <c r="H15" s="13"/>
      <c r="I15" s="13"/>
      <c r="J15" s="13"/>
      <c r="K15" s="13"/>
      <c r="L15" s="13"/>
      <c r="M15" s="14"/>
    </row>
    <row r="16" spans="2:13" ht="16.5">
      <c r="B16" s="21"/>
      <c r="C16" s="22"/>
      <c r="D16" s="13"/>
      <c r="E16" s="13"/>
      <c r="F16" s="13"/>
      <c r="G16" s="13"/>
      <c r="H16" s="13"/>
      <c r="I16" s="13"/>
      <c r="J16" s="13"/>
      <c r="K16" s="13"/>
      <c r="L16" s="13"/>
      <c r="M16" s="14"/>
    </row>
    <row r="17" spans="1:27" ht="16.5">
      <c r="B17" s="21"/>
      <c r="C17" s="22"/>
      <c r="D17" s="13"/>
      <c r="E17" s="13"/>
      <c r="F17" s="13"/>
      <c r="G17" s="13"/>
      <c r="H17" s="13"/>
      <c r="I17" s="13"/>
      <c r="J17" s="13"/>
      <c r="K17" s="13"/>
      <c r="L17" s="13"/>
      <c r="M17" s="14"/>
    </row>
    <row r="18" spans="1:27" ht="16.5">
      <c r="B18" s="23"/>
      <c r="C18" s="22"/>
      <c r="D18" s="13"/>
      <c r="E18" s="13"/>
      <c r="F18" s="13"/>
      <c r="G18" s="13"/>
      <c r="H18" s="13"/>
      <c r="I18" s="13"/>
      <c r="J18" s="13"/>
      <c r="K18" s="13"/>
      <c r="L18" s="13"/>
      <c r="M18" s="14"/>
    </row>
    <row r="19" spans="1:27" ht="16.5">
      <c r="B19" s="23"/>
      <c r="C19" s="24"/>
      <c r="D19" s="24"/>
      <c r="G19" s="13"/>
      <c r="H19" s="13"/>
      <c r="I19" s="13"/>
      <c r="J19" s="13"/>
      <c r="K19" s="13"/>
      <c r="L19" s="13"/>
      <c r="M19" s="14"/>
    </row>
    <row r="20" spans="1:27" ht="16.5">
      <c r="B20" s="23"/>
      <c r="C20" s="24"/>
      <c r="M20" s="25"/>
    </row>
    <row r="21" spans="1:27" ht="16.5">
      <c r="B21" s="23"/>
      <c r="C21" s="24"/>
      <c r="M21" s="25"/>
    </row>
    <row r="22" spans="1:27" ht="16.5">
      <c r="B22" s="23"/>
      <c r="C22" s="24"/>
      <c r="M22" s="25"/>
    </row>
    <row r="23" spans="1:27" ht="26" thickBot="1">
      <c r="A23" s="12"/>
      <c r="B23" s="26"/>
      <c r="C23" s="27"/>
      <c r="D23" s="28"/>
      <c r="E23" s="28"/>
      <c r="F23" s="28"/>
      <c r="G23" s="29"/>
      <c r="H23" s="29"/>
      <c r="I23" s="27"/>
      <c r="J23" s="27"/>
      <c r="K23" s="27"/>
      <c r="L23" s="27"/>
      <c r="M23" s="30"/>
      <c r="N23" s="12"/>
      <c r="O23" s="12"/>
      <c r="P23" s="12"/>
      <c r="Q23" s="12"/>
      <c r="R23" s="12"/>
      <c r="S23" s="12"/>
      <c r="T23" s="12"/>
      <c r="U23" s="12"/>
      <c r="V23" s="12"/>
      <c r="W23" s="12"/>
      <c r="X23" s="12"/>
      <c r="Y23" s="12"/>
      <c r="Z23" s="12"/>
      <c r="AA23" s="12"/>
    </row>
    <row r="24" spans="1:27" ht="42">
      <c r="A24" s="12"/>
      <c r="B24" s="31" t="s">
        <v>7</v>
      </c>
      <c r="C24" s="32"/>
      <c r="D24" s="33"/>
      <c r="E24" s="33"/>
      <c r="F24" s="33"/>
      <c r="G24" s="33"/>
      <c r="H24" s="33"/>
      <c r="I24" s="12"/>
      <c r="J24" s="12"/>
      <c r="K24" s="12"/>
      <c r="L24" s="12"/>
      <c r="M24" s="34"/>
      <c r="N24" s="12"/>
      <c r="O24" s="12"/>
      <c r="P24" s="12"/>
      <c r="Q24" s="12"/>
      <c r="R24" s="12"/>
      <c r="S24" s="12"/>
      <c r="T24" s="12"/>
      <c r="U24" s="12"/>
      <c r="V24" s="12"/>
      <c r="W24" s="12"/>
      <c r="X24" s="12"/>
      <c r="Y24" s="12"/>
      <c r="Z24" s="12"/>
      <c r="AA24" s="12"/>
    </row>
    <row r="25" spans="1:27" ht="16.5">
      <c r="B25" s="21"/>
      <c r="C25" s="22"/>
      <c r="D25" s="13"/>
      <c r="E25" s="13"/>
      <c r="F25" s="13"/>
      <c r="G25" s="13"/>
      <c r="H25" s="13"/>
      <c r="I25" s="13"/>
      <c r="J25" s="13"/>
      <c r="K25" s="13"/>
      <c r="L25" s="13"/>
      <c r="M25" s="14"/>
    </row>
    <row r="26" spans="1:27" ht="16.5">
      <c r="B26" s="21"/>
      <c r="C26" s="22"/>
      <c r="D26" s="13"/>
      <c r="E26" s="13"/>
      <c r="F26" s="13"/>
      <c r="G26" s="13"/>
      <c r="H26" s="13"/>
      <c r="I26" s="13"/>
      <c r="J26" s="13"/>
      <c r="K26" s="13"/>
      <c r="L26" s="13"/>
      <c r="M26" s="14"/>
    </row>
    <row r="27" spans="1:27" ht="16.5">
      <c r="B27" s="21"/>
      <c r="C27" s="22"/>
      <c r="D27" s="13"/>
      <c r="E27" s="13"/>
      <c r="F27" s="13"/>
      <c r="G27" s="13"/>
      <c r="H27" s="13"/>
      <c r="I27" s="13"/>
      <c r="J27" s="13"/>
      <c r="K27" s="13"/>
      <c r="L27" s="13"/>
      <c r="M27" s="14"/>
    </row>
    <row r="28" spans="1:27" ht="16.5">
      <c r="B28" s="21"/>
      <c r="C28" s="22"/>
      <c r="D28" s="13"/>
      <c r="E28" s="13"/>
      <c r="F28" s="13"/>
      <c r="G28" s="13"/>
      <c r="H28" s="13"/>
      <c r="I28" s="13"/>
      <c r="J28" s="13"/>
      <c r="K28" s="13"/>
      <c r="L28" s="13"/>
      <c r="M28" s="14"/>
    </row>
    <row r="29" spans="1:27" ht="16.5">
      <c r="B29" s="21"/>
      <c r="C29" s="22"/>
      <c r="D29" s="13"/>
      <c r="E29" s="13"/>
      <c r="F29" s="13"/>
      <c r="G29" s="13"/>
      <c r="H29" s="13"/>
      <c r="I29" s="13"/>
      <c r="J29" s="13"/>
      <c r="K29" s="13"/>
      <c r="L29" s="13"/>
      <c r="M29" s="14"/>
    </row>
    <row r="30" spans="1:27" ht="16.5">
      <c r="B30" s="21"/>
      <c r="C30" s="22"/>
      <c r="D30" s="13"/>
      <c r="E30" s="13"/>
      <c r="F30" s="13"/>
      <c r="G30" s="13"/>
      <c r="H30" s="13"/>
      <c r="I30" s="13"/>
      <c r="J30" s="13"/>
      <c r="K30" s="13"/>
      <c r="L30" s="13"/>
      <c r="M30" s="14"/>
    </row>
    <row r="31" spans="1:27" ht="16.5">
      <c r="B31" s="11"/>
      <c r="C31" s="12"/>
      <c r="M31" s="25"/>
    </row>
    <row r="32" spans="1:27" ht="25.5">
      <c r="A32" s="12"/>
      <c r="B32" s="11"/>
      <c r="C32" s="12"/>
      <c r="D32" s="35"/>
      <c r="E32" s="35"/>
      <c r="F32" s="35"/>
      <c r="G32" s="33"/>
      <c r="H32" s="33"/>
      <c r="I32" s="12"/>
      <c r="J32" s="12"/>
      <c r="K32" s="12"/>
      <c r="L32" s="12"/>
      <c r="M32" s="34"/>
      <c r="N32" s="12"/>
      <c r="O32" s="12"/>
      <c r="P32" s="12"/>
      <c r="Q32" s="12"/>
      <c r="R32" s="12"/>
      <c r="S32" s="12"/>
      <c r="T32" s="12"/>
      <c r="U32" s="12"/>
      <c r="V32" s="12"/>
      <c r="W32" s="12"/>
      <c r="X32" s="12"/>
      <c r="Y32" s="12"/>
      <c r="Z32" s="12"/>
      <c r="AA32" s="12"/>
    </row>
    <row r="33" spans="1:27" ht="21">
      <c r="A33" s="12"/>
      <c r="B33" s="36"/>
      <c r="C33" s="37"/>
      <c r="D33" s="38"/>
      <c r="E33" s="38"/>
      <c r="F33" s="38"/>
      <c r="G33" s="38"/>
      <c r="H33" s="38"/>
      <c r="I33" s="16"/>
      <c r="J33" s="16"/>
      <c r="K33" s="16"/>
      <c r="L33" s="16"/>
      <c r="M33" s="39"/>
      <c r="N33" s="12"/>
      <c r="O33" s="12"/>
      <c r="P33" s="12"/>
      <c r="Q33" s="12"/>
      <c r="R33" s="12"/>
      <c r="S33" s="12"/>
      <c r="T33" s="12"/>
      <c r="U33" s="12"/>
      <c r="V33" s="12"/>
      <c r="W33" s="12"/>
      <c r="X33" s="12"/>
      <c r="Y33" s="12"/>
      <c r="Z33" s="12"/>
      <c r="AA33" s="12"/>
    </row>
    <row r="34" spans="1:27" ht="21">
      <c r="A34" s="12"/>
      <c r="B34" s="40" t="s">
        <v>8</v>
      </c>
      <c r="C34" s="41"/>
      <c r="D34" s="42"/>
      <c r="E34" s="42"/>
      <c r="F34" s="42"/>
      <c r="G34" s="42"/>
      <c r="H34" s="42"/>
      <c r="I34" s="8"/>
      <c r="J34" s="8"/>
      <c r="K34" s="8"/>
      <c r="L34" s="8"/>
      <c r="M34" s="43"/>
      <c r="N34" s="12"/>
      <c r="O34" s="12"/>
      <c r="P34" s="12"/>
      <c r="Q34" s="12"/>
      <c r="R34" s="12"/>
      <c r="S34" s="12"/>
      <c r="T34" s="12"/>
      <c r="U34" s="12"/>
      <c r="V34" s="12"/>
      <c r="W34" s="12"/>
      <c r="X34" s="12"/>
      <c r="Y34" s="12"/>
      <c r="Z34" s="12"/>
      <c r="AA34" s="12"/>
    </row>
    <row r="35" spans="1:27" ht="16.5">
      <c r="B35" s="21"/>
      <c r="C35" s="22"/>
      <c r="D35" s="13"/>
      <c r="E35" s="13"/>
      <c r="F35" s="13"/>
      <c r="G35" s="13"/>
      <c r="H35" s="13"/>
      <c r="I35" s="13"/>
      <c r="J35" s="13"/>
      <c r="K35" s="13"/>
      <c r="L35" s="13"/>
      <c r="M35" s="14"/>
    </row>
    <row r="36" spans="1:27" ht="16.5">
      <c r="B36" s="21"/>
      <c r="C36" s="22"/>
      <c r="D36" s="13"/>
      <c r="E36" s="13"/>
      <c r="F36" s="13"/>
      <c r="G36" s="13"/>
      <c r="H36" s="13"/>
      <c r="I36" s="13"/>
      <c r="J36" s="13"/>
      <c r="K36" s="13"/>
      <c r="L36" s="13"/>
      <c r="M36" s="14"/>
    </row>
    <row r="37" spans="1:27" ht="16.5">
      <c r="B37" s="21"/>
      <c r="C37" s="22"/>
      <c r="D37" s="13"/>
      <c r="E37" s="13"/>
      <c r="F37" s="13"/>
      <c r="G37" s="13"/>
      <c r="H37" s="13"/>
      <c r="I37" s="13"/>
      <c r="J37" s="13"/>
      <c r="K37" s="13"/>
      <c r="L37" s="13"/>
      <c r="M37" s="14"/>
    </row>
    <row r="38" spans="1:27" ht="16.5">
      <c r="B38" s="21"/>
      <c r="C38" s="22"/>
      <c r="D38" s="13"/>
      <c r="E38" s="13"/>
      <c r="F38" s="13"/>
      <c r="G38" s="13"/>
      <c r="H38" s="13"/>
      <c r="I38" s="13"/>
      <c r="J38" s="13"/>
      <c r="K38" s="13"/>
      <c r="L38" s="13"/>
      <c r="M38" s="14"/>
    </row>
    <row r="39" spans="1:27" ht="16.5">
      <c r="B39" s="21"/>
      <c r="C39" s="22"/>
      <c r="D39" s="13"/>
      <c r="E39" s="13"/>
      <c r="F39" s="13"/>
      <c r="G39" s="13"/>
      <c r="H39" s="13"/>
      <c r="I39" s="13"/>
      <c r="J39" s="13"/>
      <c r="K39" s="13"/>
      <c r="L39" s="13"/>
      <c r="M39" s="14"/>
    </row>
    <row r="40" spans="1:27" ht="16.5">
      <c r="B40" s="21"/>
      <c r="C40" s="22"/>
      <c r="D40" s="13"/>
      <c r="E40" s="13"/>
      <c r="F40" s="13"/>
      <c r="G40" s="13"/>
      <c r="H40" s="13"/>
      <c r="I40" s="13"/>
      <c r="J40" s="13"/>
      <c r="K40" s="13"/>
      <c r="L40" s="13"/>
      <c r="M40" s="14"/>
    </row>
    <row r="41" spans="1:27" ht="16.5">
      <c r="B41" s="11"/>
      <c r="C41" s="12"/>
      <c r="M41" s="25"/>
    </row>
    <row r="42" spans="1:27" ht="25.5">
      <c r="A42" s="12"/>
      <c r="B42" s="11"/>
      <c r="C42" s="12"/>
      <c r="D42" s="35"/>
      <c r="E42" s="35"/>
      <c r="F42" s="35"/>
      <c r="G42" s="33"/>
      <c r="H42" s="33"/>
      <c r="I42" s="12"/>
      <c r="J42" s="12"/>
      <c r="K42" s="12"/>
      <c r="L42" s="12"/>
      <c r="M42" s="34"/>
      <c r="N42" s="12"/>
      <c r="O42" s="12"/>
      <c r="P42" s="12"/>
      <c r="Q42" s="12"/>
      <c r="R42" s="12"/>
      <c r="S42" s="12"/>
      <c r="T42" s="12"/>
      <c r="U42" s="12"/>
      <c r="V42" s="12"/>
      <c r="W42" s="12"/>
      <c r="X42" s="12"/>
      <c r="Y42" s="12"/>
      <c r="Z42" s="12"/>
      <c r="AA42" s="12"/>
    </row>
    <row r="43" spans="1:27" ht="21">
      <c r="A43" s="12"/>
      <c r="B43" s="36"/>
      <c r="C43" s="37"/>
      <c r="D43" s="38"/>
      <c r="E43" s="38"/>
      <c r="F43" s="38"/>
      <c r="G43" s="38"/>
      <c r="H43" s="38"/>
      <c r="I43" s="16"/>
      <c r="J43" s="16"/>
      <c r="K43" s="16"/>
      <c r="L43" s="16"/>
      <c r="M43" s="39"/>
      <c r="N43" s="12"/>
      <c r="O43" s="12"/>
      <c r="P43" s="12"/>
      <c r="Q43" s="12"/>
      <c r="R43" s="12"/>
      <c r="S43" s="12"/>
      <c r="T43" s="12"/>
      <c r="U43" s="12"/>
      <c r="V43" s="12"/>
      <c r="W43" s="12"/>
      <c r="X43" s="12"/>
      <c r="Y43" s="12"/>
      <c r="Z43" s="12"/>
      <c r="AA43" s="12"/>
    </row>
    <row r="44" spans="1:27" ht="21">
      <c r="A44" s="12"/>
      <c r="B44" s="44" t="s">
        <v>9</v>
      </c>
      <c r="C44" s="45"/>
      <c r="D44" s="46"/>
      <c r="E44" s="42"/>
      <c r="F44" s="42"/>
      <c r="G44" s="42"/>
      <c r="H44" s="42"/>
      <c r="I44" s="8"/>
      <c r="J44" s="8"/>
      <c r="K44" s="8"/>
      <c r="L44" s="8"/>
      <c r="M44" s="43"/>
      <c r="N44" s="12"/>
      <c r="O44" s="12"/>
      <c r="P44" s="12"/>
      <c r="Q44" s="12"/>
      <c r="R44" s="12"/>
      <c r="S44" s="12"/>
      <c r="T44" s="12"/>
      <c r="U44" s="12"/>
      <c r="V44" s="12"/>
      <c r="W44" s="12"/>
      <c r="X44" s="12"/>
      <c r="Y44" s="12"/>
      <c r="Z44" s="12"/>
      <c r="AA44" s="12"/>
    </row>
    <row r="45" spans="1:27" ht="16.5">
      <c r="A45" s="12"/>
      <c r="B45" s="47" t="s">
        <v>10</v>
      </c>
      <c r="C45" s="48"/>
      <c r="D45" s="49"/>
      <c r="E45" s="33"/>
      <c r="F45" s="33"/>
      <c r="G45" s="33"/>
      <c r="H45" s="33"/>
      <c r="I45" s="12"/>
      <c r="J45" s="12"/>
      <c r="K45" s="12"/>
      <c r="L45" s="12"/>
      <c r="M45" s="34"/>
      <c r="N45" s="12"/>
      <c r="O45" s="12"/>
      <c r="P45" s="12"/>
      <c r="Q45" s="12"/>
      <c r="R45" s="12"/>
      <c r="S45" s="12"/>
      <c r="T45" s="12"/>
      <c r="U45" s="12"/>
      <c r="V45" s="12"/>
      <c r="W45" s="12"/>
      <c r="X45" s="12"/>
      <c r="Y45" s="12"/>
      <c r="Z45" s="12"/>
      <c r="AA45" s="12"/>
    </row>
    <row r="46" spans="1:27" ht="16.5">
      <c r="A46" s="12"/>
      <c r="B46" s="47"/>
      <c r="C46" s="48"/>
      <c r="D46" s="49"/>
      <c r="E46" s="33"/>
      <c r="F46" s="33"/>
      <c r="G46" s="33"/>
      <c r="H46" s="33"/>
      <c r="I46" s="12"/>
      <c r="J46" s="12"/>
      <c r="K46" s="12"/>
      <c r="L46" s="12"/>
      <c r="M46" s="34"/>
      <c r="N46" s="12"/>
      <c r="O46" s="12"/>
      <c r="P46" s="12"/>
      <c r="Q46" s="12"/>
      <c r="R46" s="12"/>
      <c r="S46" s="12"/>
      <c r="T46" s="12"/>
      <c r="U46" s="12"/>
      <c r="V46" s="12"/>
      <c r="W46" s="12"/>
      <c r="X46" s="12"/>
      <c r="Y46" s="12"/>
      <c r="Z46" s="12"/>
      <c r="AA46" s="12"/>
    </row>
    <row r="47" spans="1:27" ht="16.5">
      <c r="A47" s="12"/>
      <c r="B47" s="47"/>
      <c r="C47" s="48"/>
      <c r="D47" s="49"/>
      <c r="E47" s="33"/>
      <c r="F47" s="33"/>
      <c r="G47" s="33"/>
      <c r="H47" s="33"/>
      <c r="I47" s="12"/>
      <c r="J47" s="12"/>
      <c r="K47" s="12"/>
      <c r="L47" s="12"/>
      <c r="M47" s="34"/>
      <c r="N47" s="12"/>
      <c r="O47" s="12"/>
      <c r="P47" s="12"/>
      <c r="Q47" s="12"/>
      <c r="R47" s="12"/>
      <c r="S47" s="12"/>
      <c r="T47" s="12"/>
      <c r="U47" s="12"/>
      <c r="V47" s="12"/>
      <c r="W47" s="12"/>
      <c r="X47" s="12"/>
      <c r="Y47" s="12"/>
      <c r="Z47" s="12"/>
      <c r="AA47" s="12"/>
    </row>
    <row r="48" spans="1:27" ht="16.5">
      <c r="A48" s="12"/>
      <c r="B48" s="47"/>
      <c r="C48" s="48"/>
      <c r="D48" s="49"/>
      <c r="E48" s="33"/>
      <c r="F48" s="33"/>
      <c r="G48" s="33"/>
      <c r="H48" s="33"/>
      <c r="I48" s="12"/>
      <c r="J48" s="12"/>
      <c r="K48" s="12"/>
      <c r="L48" s="12"/>
      <c r="M48" s="34"/>
      <c r="N48" s="12"/>
      <c r="O48" s="12"/>
      <c r="P48" s="12"/>
      <c r="Q48" s="12"/>
      <c r="R48" s="12"/>
      <c r="S48" s="12"/>
      <c r="T48" s="12"/>
      <c r="U48" s="12"/>
      <c r="V48" s="12"/>
      <c r="W48" s="12"/>
      <c r="X48" s="12"/>
      <c r="Y48" s="12"/>
      <c r="Z48" s="12"/>
      <c r="AA48" s="12"/>
    </row>
    <row r="49" spans="1:27" ht="21">
      <c r="A49" s="12"/>
      <c r="B49" s="50"/>
      <c r="C49" s="51"/>
      <c r="D49" s="49"/>
      <c r="E49" s="33"/>
      <c r="F49" s="33"/>
      <c r="G49" s="33"/>
      <c r="H49" s="33"/>
      <c r="I49" s="12"/>
      <c r="J49" s="12"/>
      <c r="K49" s="12"/>
      <c r="L49" s="12"/>
      <c r="M49" s="34"/>
      <c r="N49" s="12"/>
      <c r="O49" s="12"/>
      <c r="P49" s="12"/>
      <c r="Q49" s="12"/>
      <c r="R49" s="12"/>
      <c r="S49" s="12"/>
      <c r="T49" s="12"/>
      <c r="U49" s="12"/>
      <c r="V49" s="12"/>
      <c r="W49" s="12"/>
      <c r="X49" s="12"/>
      <c r="Y49" s="12"/>
      <c r="Z49" s="12"/>
      <c r="AA49" s="12"/>
    </row>
    <row r="50" spans="1:27" ht="21">
      <c r="A50" s="12"/>
      <c r="B50" s="50"/>
      <c r="C50" s="51"/>
      <c r="D50" s="49"/>
      <c r="E50" s="33"/>
      <c r="F50" s="33"/>
      <c r="G50" s="33"/>
      <c r="H50" s="33"/>
      <c r="I50" s="12"/>
      <c r="J50" s="12"/>
      <c r="K50" s="12"/>
      <c r="L50" s="12"/>
      <c r="M50" s="34"/>
      <c r="N50" s="12"/>
      <c r="O50" s="12"/>
      <c r="P50" s="12"/>
      <c r="Q50" s="12"/>
      <c r="R50" s="12"/>
      <c r="S50" s="12"/>
      <c r="T50" s="12"/>
      <c r="U50" s="12"/>
      <c r="V50" s="12"/>
      <c r="W50" s="12"/>
      <c r="X50" s="12"/>
      <c r="Y50" s="12"/>
      <c r="Z50" s="12"/>
      <c r="AA50" s="12"/>
    </row>
    <row r="51" spans="1:27" ht="21">
      <c r="A51" s="12"/>
      <c r="B51" s="50"/>
      <c r="C51" s="51"/>
      <c r="D51" s="49"/>
      <c r="E51" s="33"/>
      <c r="F51" s="33"/>
      <c r="G51" s="33"/>
      <c r="H51" s="33"/>
      <c r="I51" s="12"/>
      <c r="J51" s="12"/>
      <c r="K51" s="12"/>
      <c r="L51" s="12"/>
      <c r="M51" s="34"/>
      <c r="N51" s="12"/>
      <c r="O51" s="12"/>
      <c r="P51" s="12"/>
      <c r="Q51" s="12"/>
      <c r="R51" s="12"/>
      <c r="S51" s="12"/>
      <c r="T51" s="12"/>
      <c r="U51" s="12"/>
      <c r="V51" s="12"/>
      <c r="W51" s="12"/>
      <c r="X51" s="12"/>
      <c r="Y51" s="12"/>
      <c r="Z51" s="12"/>
      <c r="AA51" s="12"/>
    </row>
    <row r="52" spans="1:27" ht="16.5">
      <c r="A52" s="12"/>
      <c r="B52" s="47" t="s">
        <v>10</v>
      </c>
      <c r="C52" s="48"/>
      <c r="D52" s="49"/>
      <c r="E52" s="33"/>
      <c r="F52" s="33"/>
      <c r="G52" s="33"/>
      <c r="H52" s="33"/>
      <c r="I52" s="12"/>
      <c r="J52" s="12"/>
      <c r="K52" s="12"/>
      <c r="L52" s="12"/>
      <c r="M52" s="34"/>
      <c r="N52" s="12"/>
      <c r="O52" s="12"/>
      <c r="P52" s="12"/>
      <c r="Q52" s="12"/>
      <c r="R52" s="12"/>
      <c r="S52" s="12"/>
      <c r="T52" s="12"/>
      <c r="U52" s="12"/>
      <c r="V52" s="12"/>
      <c r="W52" s="12"/>
      <c r="X52" s="12"/>
      <c r="Y52" s="12"/>
      <c r="Z52" s="12"/>
      <c r="AA52" s="12"/>
    </row>
    <row r="53" spans="1:27" ht="21.5" thickBot="1">
      <c r="A53" s="12"/>
      <c r="B53" s="50"/>
      <c r="C53" s="51"/>
      <c r="D53" s="49"/>
      <c r="E53" s="33"/>
      <c r="F53" s="33"/>
      <c r="G53" s="33"/>
      <c r="H53" s="33"/>
      <c r="I53" s="12"/>
      <c r="J53" s="12"/>
      <c r="K53" s="12"/>
      <c r="L53" s="12"/>
      <c r="M53" s="34"/>
      <c r="N53" s="12"/>
      <c r="O53" s="12"/>
      <c r="P53" s="12"/>
      <c r="Q53" s="12"/>
      <c r="R53" s="12"/>
      <c r="S53" s="12"/>
      <c r="T53" s="12"/>
      <c r="U53" s="12"/>
      <c r="V53" s="12"/>
      <c r="W53" s="12"/>
      <c r="X53" s="12"/>
      <c r="Y53" s="12"/>
      <c r="Z53" s="12"/>
      <c r="AA53" s="12"/>
    </row>
    <row r="54" spans="1:27" ht="21.5" thickBot="1">
      <c r="A54" s="12"/>
      <c r="B54" s="50"/>
      <c r="C54" s="52"/>
      <c r="D54" s="53" t="s">
        <v>11</v>
      </c>
      <c r="E54" s="235" t="s">
        <v>12</v>
      </c>
      <c r="F54" s="235"/>
      <c r="G54" s="235" t="s">
        <v>13</v>
      </c>
      <c r="H54" s="235"/>
      <c r="I54" s="235"/>
      <c r="J54" s="235"/>
      <c r="K54" s="235"/>
      <c r="L54" s="54" t="s">
        <v>14</v>
      </c>
      <c r="M54" s="34"/>
      <c r="N54" s="12"/>
      <c r="O54" s="12"/>
      <c r="P54" s="12"/>
      <c r="Q54" s="12"/>
      <c r="R54" s="12"/>
      <c r="S54" s="12"/>
      <c r="T54" s="12"/>
      <c r="U54" s="12"/>
      <c r="V54" s="12"/>
      <c r="W54" s="12"/>
      <c r="X54" s="12"/>
      <c r="Y54" s="63"/>
      <c r="Z54" s="12"/>
      <c r="AA54" s="12"/>
    </row>
    <row r="55" spans="1:27" ht="21">
      <c r="A55" s="12"/>
      <c r="B55" s="50"/>
      <c r="C55" s="236" t="s">
        <v>15</v>
      </c>
      <c r="D55" s="55" t="s">
        <v>16</v>
      </c>
      <c r="E55" s="239" t="s">
        <v>17</v>
      </c>
      <c r="F55" s="239"/>
      <c r="G55" s="6" t="s">
        <v>16</v>
      </c>
      <c r="K55" s="56"/>
      <c r="L55" s="57" t="s">
        <v>0</v>
      </c>
      <c r="M55" s="34" t="s">
        <v>18</v>
      </c>
      <c r="N55" s="12"/>
      <c r="O55" s="12"/>
      <c r="P55" s="12"/>
      <c r="Q55" s="12"/>
      <c r="R55" s="12"/>
      <c r="S55" s="12"/>
      <c r="T55" s="12"/>
      <c r="U55" s="12"/>
      <c r="V55" s="12"/>
      <c r="W55" s="12"/>
      <c r="X55" s="12"/>
      <c r="Y55" s="12"/>
      <c r="Z55" s="12"/>
      <c r="AA55" s="12"/>
    </row>
    <row r="56" spans="1:27" ht="21">
      <c r="A56" s="12"/>
      <c r="B56" s="50"/>
      <c r="C56" s="237"/>
      <c r="D56" s="240" t="s">
        <v>19</v>
      </c>
      <c r="E56" s="241" t="s">
        <v>20</v>
      </c>
      <c r="F56" s="242"/>
      <c r="G56" s="58" t="s">
        <v>21</v>
      </c>
      <c r="H56" s="59"/>
      <c r="I56" s="59"/>
      <c r="J56" s="59"/>
      <c r="K56" s="60"/>
      <c r="L56" s="61"/>
      <c r="M56" s="34" t="s">
        <v>22</v>
      </c>
      <c r="N56" s="12"/>
      <c r="O56" s="12"/>
      <c r="P56" s="12"/>
      <c r="Q56" s="12"/>
      <c r="R56" s="12"/>
      <c r="S56" s="12"/>
      <c r="T56" s="12"/>
      <c r="U56" s="12"/>
      <c r="V56" s="12"/>
      <c r="W56" s="12"/>
      <c r="X56" s="12"/>
      <c r="Y56" s="12"/>
      <c r="Z56" s="12"/>
      <c r="AA56" s="12"/>
    </row>
    <row r="57" spans="1:27" ht="21">
      <c r="A57" s="12"/>
      <c r="B57" s="50"/>
      <c r="C57" s="237"/>
      <c r="D57" s="240"/>
      <c r="E57" s="243"/>
      <c r="F57" s="244"/>
      <c r="G57" s="62" t="s">
        <v>23</v>
      </c>
      <c r="H57" s="63"/>
      <c r="I57" s="63"/>
      <c r="J57" s="63"/>
      <c r="K57" s="64"/>
      <c r="L57" s="61"/>
      <c r="M57" s="34" t="s">
        <v>22</v>
      </c>
      <c r="N57" s="12"/>
      <c r="O57" s="12"/>
      <c r="P57" s="12"/>
      <c r="Q57" s="12"/>
      <c r="R57" s="12"/>
      <c r="S57" s="12"/>
      <c r="T57" s="12"/>
      <c r="U57" s="12"/>
      <c r="V57" s="12"/>
      <c r="W57" s="12"/>
      <c r="X57" s="12"/>
      <c r="Y57" s="12"/>
      <c r="Z57" s="12"/>
      <c r="AA57" s="12"/>
    </row>
    <row r="58" spans="1:27" ht="21">
      <c r="A58" s="12"/>
      <c r="B58" s="50"/>
      <c r="C58" s="237"/>
      <c r="D58" s="240"/>
      <c r="E58" s="245"/>
      <c r="F58" s="246"/>
      <c r="G58" s="62" t="s">
        <v>24</v>
      </c>
      <c r="H58" s="63"/>
      <c r="I58" s="63"/>
      <c r="J58" s="63"/>
      <c r="K58" s="64"/>
      <c r="L58" s="61" t="s">
        <v>0</v>
      </c>
      <c r="M58" s="34" t="s">
        <v>22</v>
      </c>
      <c r="N58" s="12"/>
      <c r="O58" s="12"/>
      <c r="P58" s="12"/>
      <c r="Q58" s="12"/>
      <c r="R58" s="12"/>
      <c r="S58" s="12"/>
      <c r="T58" s="12"/>
      <c r="U58" s="12"/>
      <c r="V58" s="12"/>
      <c r="W58" s="12"/>
      <c r="X58" s="12"/>
      <c r="Y58" s="12"/>
      <c r="Z58" s="12"/>
      <c r="AA58" s="12"/>
    </row>
    <row r="59" spans="1:27" ht="21">
      <c r="A59" s="12"/>
      <c r="B59" s="50"/>
      <c r="C59" s="237"/>
      <c r="D59" s="240"/>
      <c r="E59" s="247" t="s">
        <v>25</v>
      </c>
      <c r="F59" s="247"/>
      <c r="G59" s="62" t="s">
        <v>26</v>
      </c>
      <c r="H59" s="63"/>
      <c r="I59" s="63"/>
      <c r="J59" s="63"/>
      <c r="K59" s="64"/>
      <c r="L59" s="61"/>
      <c r="M59" s="34" t="s">
        <v>27</v>
      </c>
      <c r="N59" s="12"/>
      <c r="O59" s="12"/>
      <c r="P59" s="12"/>
      <c r="Q59" s="12"/>
      <c r="R59" s="12"/>
      <c r="S59" s="12"/>
      <c r="T59" s="12"/>
      <c r="U59" s="12"/>
      <c r="V59" s="12"/>
      <c r="W59" s="12"/>
      <c r="X59" s="12"/>
      <c r="Y59" s="12"/>
      <c r="Z59" s="12"/>
      <c r="AA59" s="12"/>
    </row>
    <row r="60" spans="1:27" ht="21">
      <c r="A60" s="12"/>
      <c r="B60" s="50"/>
      <c r="C60" s="237"/>
      <c r="D60" s="240"/>
      <c r="E60" s="247"/>
      <c r="F60" s="247"/>
      <c r="G60" s="62" t="s">
        <v>28</v>
      </c>
      <c r="H60" s="63"/>
      <c r="I60" s="63"/>
      <c r="J60" s="63"/>
      <c r="K60" s="64"/>
      <c r="L60" s="230" t="s">
        <v>0</v>
      </c>
      <c r="M60" s="34" t="s">
        <v>29</v>
      </c>
      <c r="N60" s="12"/>
      <c r="O60" s="12"/>
      <c r="P60" s="12"/>
      <c r="Q60" s="12"/>
      <c r="R60" s="12"/>
      <c r="S60" s="12"/>
      <c r="T60" s="12"/>
      <c r="U60" s="12"/>
      <c r="V60" s="12"/>
      <c r="W60" s="12"/>
      <c r="X60" s="12"/>
      <c r="Y60" s="12"/>
      <c r="Z60" s="12"/>
      <c r="AA60" s="12"/>
    </row>
    <row r="61" spans="1:27" ht="21">
      <c r="A61" s="12"/>
      <c r="B61" s="50"/>
      <c r="C61" s="237"/>
      <c r="D61" s="248" t="s">
        <v>30</v>
      </c>
      <c r="E61" s="247" t="s">
        <v>31</v>
      </c>
      <c r="F61" s="247"/>
      <c r="G61" s="62" t="s">
        <v>32</v>
      </c>
      <c r="H61" s="63"/>
      <c r="I61" s="63"/>
      <c r="J61" s="63"/>
      <c r="K61" s="64"/>
      <c r="L61" s="61" t="s">
        <v>0</v>
      </c>
      <c r="M61" s="34" t="s">
        <v>33</v>
      </c>
      <c r="N61" s="12"/>
      <c r="O61" s="12"/>
      <c r="P61" s="12"/>
      <c r="Q61" s="12"/>
      <c r="R61" s="12"/>
      <c r="S61" s="12"/>
      <c r="T61" s="12"/>
      <c r="U61" s="12"/>
      <c r="V61" s="12"/>
      <c r="W61" s="12"/>
      <c r="X61" s="12"/>
      <c r="Y61" s="12"/>
      <c r="Z61" s="12"/>
      <c r="AA61" s="12"/>
    </row>
    <row r="62" spans="1:27" ht="21">
      <c r="A62" s="12"/>
      <c r="B62" s="50"/>
      <c r="C62" s="237"/>
      <c r="D62" s="248"/>
      <c r="E62" s="247"/>
      <c r="F62" s="247"/>
      <c r="G62" s="62" t="s">
        <v>34</v>
      </c>
      <c r="H62" s="63"/>
      <c r="I62" s="63"/>
      <c r="J62" s="63"/>
      <c r="K62" s="64"/>
      <c r="L62" s="61" t="s">
        <v>0</v>
      </c>
      <c r="M62" s="34" t="s">
        <v>33</v>
      </c>
      <c r="N62" s="12"/>
      <c r="O62" s="12"/>
      <c r="P62" s="12"/>
      <c r="Q62" s="12"/>
      <c r="R62" s="12"/>
      <c r="S62" s="12"/>
      <c r="T62" s="12"/>
      <c r="U62" s="12"/>
      <c r="V62" s="12"/>
      <c r="W62" s="12"/>
      <c r="X62" s="12"/>
      <c r="Y62" s="12"/>
      <c r="Z62" s="12"/>
      <c r="AA62" s="12"/>
    </row>
    <row r="63" spans="1:27" ht="21">
      <c r="A63" s="12"/>
      <c r="B63" s="50"/>
      <c r="C63" s="237"/>
      <c r="D63" s="248"/>
      <c r="E63" s="247" t="s">
        <v>35</v>
      </c>
      <c r="F63" s="247"/>
      <c r="G63" s="62" t="s">
        <v>32</v>
      </c>
      <c r="H63" s="63"/>
      <c r="I63" s="63"/>
      <c r="J63" s="63"/>
      <c r="K63" s="64"/>
      <c r="L63" s="61" t="s">
        <v>0</v>
      </c>
      <c r="M63" s="34" t="s">
        <v>33</v>
      </c>
      <c r="N63" s="12"/>
      <c r="O63" s="12"/>
      <c r="P63" s="12"/>
      <c r="Q63" s="12"/>
      <c r="R63" s="12"/>
      <c r="S63" s="12"/>
      <c r="T63" s="12"/>
      <c r="U63" s="12"/>
      <c r="V63" s="12"/>
      <c r="W63" s="12"/>
      <c r="X63" s="12"/>
      <c r="Y63" s="12"/>
      <c r="Z63" s="12"/>
      <c r="AA63" s="12"/>
    </row>
    <row r="64" spans="1:27" ht="21.5" thickBot="1">
      <c r="A64" s="12"/>
      <c r="B64" s="50"/>
      <c r="C64" s="238"/>
      <c r="D64" s="242"/>
      <c r="E64" s="249"/>
      <c r="F64" s="249"/>
      <c r="G64" s="65" t="s">
        <v>34</v>
      </c>
      <c r="K64" s="66"/>
      <c r="L64" s="67"/>
      <c r="M64" s="34" t="s">
        <v>33</v>
      </c>
      <c r="N64" s="12"/>
      <c r="O64" s="12"/>
      <c r="P64" s="12"/>
      <c r="Q64" s="12"/>
      <c r="R64" s="12"/>
      <c r="S64" s="12"/>
      <c r="T64" s="12"/>
      <c r="U64" s="12"/>
      <c r="V64" s="12"/>
      <c r="W64" s="12"/>
      <c r="X64" s="12"/>
      <c r="Y64" s="12"/>
      <c r="Z64" s="12"/>
      <c r="AA64" s="12"/>
    </row>
    <row r="65" spans="1:27" ht="5.5" customHeight="1" thickBot="1">
      <c r="A65" s="12"/>
      <c r="B65" s="50"/>
      <c r="C65" s="68"/>
      <c r="D65" s="69"/>
      <c r="E65" s="70"/>
      <c r="F65" s="70"/>
      <c r="G65" s="71"/>
      <c r="H65" s="72"/>
      <c r="I65" s="72"/>
      <c r="J65" s="72"/>
      <c r="K65" s="73"/>
      <c r="L65" s="74"/>
      <c r="M65" s="34"/>
      <c r="N65" s="12"/>
      <c r="O65" s="12"/>
      <c r="P65" s="12"/>
      <c r="Q65" s="12"/>
      <c r="R65" s="12"/>
      <c r="S65" s="12"/>
      <c r="T65" s="12"/>
      <c r="U65" s="12"/>
      <c r="V65" s="12"/>
      <c r="W65" s="12"/>
      <c r="X65" s="12"/>
      <c r="Y65" s="12"/>
      <c r="Z65" s="12"/>
      <c r="AA65" s="12"/>
    </row>
    <row r="66" spans="1:27" ht="21">
      <c r="A66" s="12"/>
      <c r="B66" s="50"/>
      <c r="C66" s="236" t="s">
        <v>36</v>
      </c>
      <c r="D66" s="75" t="s">
        <v>16</v>
      </c>
      <c r="E66" s="239" t="s">
        <v>17</v>
      </c>
      <c r="F66" s="239"/>
      <c r="G66" s="76" t="s">
        <v>16</v>
      </c>
      <c r="H66" s="77"/>
      <c r="I66" s="77"/>
      <c r="J66" s="77"/>
      <c r="K66" s="56"/>
      <c r="L66" s="61"/>
      <c r="M66" s="34" t="s">
        <v>37</v>
      </c>
      <c r="N66" s="12"/>
      <c r="O66" s="12"/>
      <c r="P66" s="12"/>
      <c r="Q66" s="12"/>
      <c r="R66" s="12"/>
      <c r="S66" s="12"/>
      <c r="T66" s="12"/>
      <c r="U66" s="12"/>
      <c r="V66" s="12"/>
      <c r="W66" s="12"/>
      <c r="X66" s="12"/>
      <c r="Y66" s="12"/>
      <c r="Z66" s="12"/>
      <c r="AA66" s="12"/>
    </row>
    <row r="67" spans="1:27" ht="26.25" customHeight="1">
      <c r="A67" s="12"/>
      <c r="B67" s="50"/>
      <c r="C67" s="237"/>
      <c r="D67" s="240" t="s">
        <v>38</v>
      </c>
      <c r="E67" s="250" t="s">
        <v>39</v>
      </c>
      <c r="F67" s="250"/>
      <c r="G67" s="62" t="s">
        <v>17</v>
      </c>
      <c r="H67" s="63"/>
      <c r="I67" s="63"/>
      <c r="J67" s="63"/>
      <c r="K67" s="64"/>
      <c r="L67" s="61"/>
      <c r="M67" s="34" t="s">
        <v>33</v>
      </c>
      <c r="N67" s="12"/>
      <c r="O67" s="12"/>
      <c r="P67" s="12"/>
      <c r="Q67" s="12"/>
      <c r="R67" s="12"/>
      <c r="S67" s="12"/>
      <c r="T67" s="12"/>
      <c r="U67" s="12"/>
      <c r="V67" s="12"/>
      <c r="W67" s="12"/>
      <c r="X67" s="12"/>
      <c r="Y67" s="12"/>
      <c r="Z67" s="12"/>
      <c r="AA67" s="12"/>
    </row>
    <row r="68" spans="1:27" ht="21" customHeight="1">
      <c r="A68" s="12"/>
      <c r="B68" s="50"/>
      <c r="C68" s="237"/>
      <c r="D68" s="240"/>
      <c r="E68" s="250" t="s">
        <v>40</v>
      </c>
      <c r="F68" s="250"/>
      <c r="G68" s="62" t="s">
        <v>41</v>
      </c>
      <c r="H68" s="63"/>
      <c r="I68" s="63"/>
      <c r="J68" s="63"/>
      <c r="K68" s="64"/>
      <c r="L68" s="61" t="s">
        <v>0</v>
      </c>
      <c r="M68" s="34" t="s">
        <v>42</v>
      </c>
      <c r="N68" s="12"/>
      <c r="O68" s="12"/>
      <c r="P68" s="12"/>
      <c r="Q68" s="12"/>
      <c r="R68" s="12"/>
      <c r="S68" s="12"/>
      <c r="T68" s="12"/>
      <c r="U68" s="12"/>
      <c r="V68" s="12"/>
      <c r="W68" s="12"/>
      <c r="X68" s="12"/>
      <c r="Y68" s="12"/>
      <c r="Z68" s="12"/>
      <c r="AA68" s="12"/>
    </row>
    <row r="69" spans="1:27" ht="21">
      <c r="A69" s="12"/>
      <c r="B69" s="50"/>
      <c r="C69" s="237"/>
      <c r="D69" s="240"/>
      <c r="E69" s="250"/>
      <c r="F69" s="250"/>
      <c r="G69" s="62" t="s">
        <v>43</v>
      </c>
      <c r="H69" s="63"/>
      <c r="I69" s="63"/>
      <c r="J69" s="63"/>
      <c r="K69" s="64"/>
      <c r="L69" s="61"/>
      <c r="M69" s="34" t="s">
        <v>44</v>
      </c>
      <c r="N69" s="12"/>
      <c r="O69" s="12"/>
      <c r="P69" s="12"/>
      <c r="Q69" s="12"/>
      <c r="R69" s="12"/>
      <c r="S69" s="12"/>
      <c r="T69" s="12"/>
      <c r="U69" s="12"/>
      <c r="V69" s="12"/>
      <c r="W69" s="12"/>
      <c r="X69" s="12"/>
      <c r="Y69" s="12"/>
      <c r="Z69" s="12"/>
      <c r="AA69" s="12"/>
    </row>
    <row r="70" spans="1:27" ht="21">
      <c r="A70" s="12"/>
      <c r="B70" s="50"/>
      <c r="C70" s="237"/>
      <c r="D70" s="240"/>
      <c r="E70" s="250"/>
      <c r="F70" s="250"/>
      <c r="G70" s="62" t="s">
        <v>45</v>
      </c>
      <c r="H70" s="63"/>
      <c r="I70" s="63"/>
      <c r="J70" s="63"/>
      <c r="K70" s="64"/>
      <c r="M70" s="34" t="s">
        <v>46</v>
      </c>
      <c r="N70" s="12"/>
      <c r="O70" s="12"/>
      <c r="P70" s="12"/>
      <c r="Q70" s="12"/>
      <c r="R70" s="12"/>
      <c r="S70" s="12"/>
      <c r="T70" s="12"/>
      <c r="U70" s="12"/>
      <c r="V70" s="12"/>
      <c r="W70" s="12"/>
      <c r="X70" s="12"/>
      <c r="Y70" s="12"/>
      <c r="Z70" s="12"/>
      <c r="AA70" s="12"/>
    </row>
    <row r="71" spans="1:27" ht="21">
      <c r="A71" s="12"/>
      <c r="B71" s="50"/>
      <c r="C71" s="237"/>
      <c r="D71" s="240"/>
      <c r="E71" s="250"/>
      <c r="F71" s="250"/>
      <c r="G71" s="62" t="s">
        <v>47</v>
      </c>
      <c r="H71" s="63"/>
      <c r="I71" s="63"/>
      <c r="J71" s="63"/>
      <c r="K71" s="64"/>
      <c r="L71" s="61"/>
      <c r="M71" s="34" t="s">
        <v>48</v>
      </c>
      <c r="N71" s="12"/>
      <c r="O71" s="12"/>
      <c r="P71" s="12"/>
      <c r="Q71" s="12"/>
      <c r="R71" s="12"/>
      <c r="S71" s="12"/>
      <c r="T71" s="12"/>
      <c r="U71" s="12"/>
      <c r="V71" s="12"/>
      <c r="W71" s="12"/>
      <c r="X71" s="12"/>
      <c r="Y71" s="12"/>
      <c r="Z71" s="12"/>
      <c r="AA71" s="12"/>
    </row>
    <row r="72" spans="1:27" ht="21" customHeight="1">
      <c r="A72" s="12"/>
      <c r="B72" s="50"/>
      <c r="C72" s="237"/>
      <c r="D72" s="240"/>
      <c r="E72" s="250" t="s">
        <v>49</v>
      </c>
      <c r="F72" s="250"/>
      <c r="G72" s="62" t="s">
        <v>50</v>
      </c>
      <c r="H72" s="63"/>
      <c r="I72" s="63"/>
      <c r="J72" s="63"/>
      <c r="K72" s="64"/>
      <c r="L72" s="61" t="s">
        <v>0</v>
      </c>
      <c r="M72" s="34" t="s">
        <v>51</v>
      </c>
      <c r="N72" s="12"/>
      <c r="O72" s="12"/>
      <c r="P72" s="12"/>
      <c r="Q72" s="12"/>
      <c r="R72" s="12"/>
      <c r="S72" s="12"/>
      <c r="T72" s="12"/>
      <c r="U72" s="12"/>
      <c r="V72" s="12"/>
      <c r="W72" s="12"/>
      <c r="X72" s="12"/>
      <c r="Y72" s="12"/>
      <c r="Z72" s="12"/>
      <c r="AA72" s="12"/>
    </row>
    <row r="73" spans="1:27" ht="21">
      <c r="A73" s="12"/>
      <c r="B73" s="50"/>
      <c r="C73" s="237"/>
      <c r="D73" s="240"/>
      <c r="E73" s="250"/>
      <c r="F73" s="250"/>
      <c r="G73" s="62" t="s">
        <v>52</v>
      </c>
      <c r="H73" s="63"/>
      <c r="I73" s="63"/>
      <c r="J73" s="63"/>
      <c r="K73" s="64"/>
      <c r="L73" s="61"/>
      <c r="M73" s="34" t="s">
        <v>53</v>
      </c>
      <c r="N73" s="12"/>
      <c r="O73" s="12"/>
      <c r="P73" s="12"/>
      <c r="Q73" s="12"/>
      <c r="R73" s="12"/>
      <c r="S73" s="12"/>
      <c r="T73" s="12"/>
      <c r="U73" s="12"/>
      <c r="V73" s="12"/>
      <c r="W73" s="12"/>
      <c r="X73" s="12"/>
      <c r="Y73" s="12"/>
      <c r="Z73" s="12"/>
      <c r="AA73" s="12"/>
    </row>
    <row r="74" spans="1:27" ht="52" customHeight="1">
      <c r="A74" s="12"/>
      <c r="B74" s="50"/>
      <c r="C74" s="237"/>
      <c r="D74" s="251" t="s">
        <v>54</v>
      </c>
      <c r="E74" s="250" t="s">
        <v>39</v>
      </c>
      <c r="F74" s="250"/>
      <c r="G74" s="62" t="s">
        <v>17</v>
      </c>
      <c r="H74" s="63"/>
      <c r="I74" s="63"/>
      <c r="J74" s="63"/>
      <c r="K74" s="64"/>
      <c r="L74" s="61"/>
      <c r="M74" s="34" t="s">
        <v>33</v>
      </c>
      <c r="N74" s="12"/>
      <c r="O74" s="12"/>
      <c r="P74" s="12"/>
      <c r="Q74" s="12"/>
      <c r="R74" s="12"/>
      <c r="S74" s="12"/>
      <c r="T74" s="12"/>
      <c r="U74" s="12"/>
      <c r="V74" s="12"/>
      <c r="W74" s="12"/>
      <c r="X74" s="12"/>
      <c r="Y74" s="12"/>
      <c r="Z74" s="12"/>
      <c r="AA74" s="12"/>
    </row>
    <row r="75" spans="1:27" ht="21">
      <c r="A75" s="12"/>
      <c r="B75" s="50"/>
      <c r="C75" s="237"/>
      <c r="D75" s="252"/>
      <c r="E75" s="250" t="s">
        <v>40</v>
      </c>
      <c r="F75" s="250"/>
      <c r="G75" s="62" t="s">
        <v>41</v>
      </c>
      <c r="H75" s="63"/>
      <c r="I75" s="63"/>
      <c r="J75" s="63"/>
      <c r="K75" s="64"/>
      <c r="L75" s="61"/>
      <c r="M75" s="34" t="s">
        <v>55</v>
      </c>
      <c r="N75" s="12"/>
      <c r="O75" s="12"/>
      <c r="P75" s="12"/>
      <c r="Q75" s="12"/>
      <c r="R75" s="12"/>
      <c r="S75" s="12"/>
      <c r="T75" s="12"/>
      <c r="U75" s="12"/>
      <c r="V75" s="12"/>
      <c r="W75" s="12"/>
      <c r="X75" s="12"/>
      <c r="Y75" s="12"/>
      <c r="Z75" s="12"/>
      <c r="AA75" s="12"/>
    </row>
    <row r="76" spans="1:27" ht="21">
      <c r="A76" s="12"/>
      <c r="B76" s="50"/>
      <c r="C76" s="237"/>
      <c r="D76" s="252"/>
      <c r="E76" s="250"/>
      <c r="F76" s="250"/>
      <c r="G76" s="62" t="s">
        <v>43</v>
      </c>
      <c r="H76" s="63"/>
      <c r="I76" s="63"/>
      <c r="J76" s="63"/>
      <c r="K76" s="64"/>
      <c r="L76" s="61"/>
      <c r="M76" s="34" t="s">
        <v>44</v>
      </c>
      <c r="N76" s="12"/>
      <c r="O76" s="12"/>
      <c r="P76" s="12"/>
      <c r="Q76" s="12"/>
      <c r="R76" s="12"/>
      <c r="S76" s="12"/>
      <c r="T76" s="12"/>
      <c r="U76" s="12"/>
      <c r="V76" s="12"/>
      <c r="W76" s="12"/>
      <c r="X76" s="12"/>
      <c r="Y76" s="12"/>
      <c r="Z76" s="12"/>
      <c r="AA76" s="12"/>
    </row>
    <row r="77" spans="1:27" ht="21">
      <c r="A77" s="12"/>
      <c r="B77" s="50"/>
      <c r="C77" s="237"/>
      <c r="D77" s="252"/>
      <c r="E77" s="250"/>
      <c r="F77" s="250"/>
      <c r="G77" s="62" t="s">
        <v>45</v>
      </c>
      <c r="H77" s="63"/>
      <c r="I77" s="63"/>
      <c r="J77" s="63"/>
      <c r="K77" s="64"/>
      <c r="L77" s="61"/>
      <c r="M77" s="34" t="s">
        <v>56</v>
      </c>
      <c r="N77" s="12"/>
      <c r="O77" s="12"/>
      <c r="P77" s="12"/>
      <c r="Q77" s="12"/>
      <c r="R77" s="12"/>
      <c r="S77" s="12"/>
      <c r="T77" s="12"/>
      <c r="U77" s="12"/>
      <c r="V77" s="12"/>
      <c r="W77" s="12"/>
      <c r="X77" s="12"/>
      <c r="Y77" s="12"/>
      <c r="Z77" s="12"/>
      <c r="AA77" s="12"/>
    </row>
    <row r="78" spans="1:27" ht="21">
      <c r="A78" s="12"/>
      <c r="B78" s="50"/>
      <c r="C78" s="237"/>
      <c r="D78" s="253"/>
      <c r="E78" s="250"/>
      <c r="F78" s="250"/>
      <c r="G78" s="62" t="s">
        <v>47</v>
      </c>
      <c r="H78" s="63"/>
      <c r="I78" s="63"/>
      <c r="J78" s="63"/>
      <c r="K78" s="64"/>
      <c r="L78" s="61"/>
      <c r="M78" s="34" t="s">
        <v>57</v>
      </c>
      <c r="N78" s="12"/>
      <c r="O78" s="12"/>
      <c r="P78" s="12"/>
      <c r="Q78" s="12"/>
      <c r="R78" s="12"/>
      <c r="S78" s="12"/>
      <c r="T78" s="12"/>
      <c r="U78" s="12"/>
      <c r="V78" s="12"/>
      <c r="W78" s="12"/>
      <c r="X78" s="12"/>
      <c r="Y78" s="12"/>
      <c r="Z78" s="12"/>
      <c r="AA78" s="12"/>
    </row>
    <row r="79" spans="1:27" ht="21">
      <c r="A79" s="12"/>
      <c r="B79" s="50"/>
      <c r="C79" s="237"/>
      <c r="D79" s="251" t="s">
        <v>58</v>
      </c>
      <c r="E79" s="250" t="s">
        <v>39</v>
      </c>
      <c r="F79" s="250"/>
      <c r="G79" s="62" t="s">
        <v>17</v>
      </c>
      <c r="H79" s="63"/>
      <c r="I79" s="63"/>
      <c r="J79" s="63"/>
      <c r="K79" s="64"/>
      <c r="L79" s="61"/>
      <c r="M79" s="34" t="s">
        <v>33</v>
      </c>
      <c r="N79" s="12"/>
      <c r="O79" s="12"/>
      <c r="P79" s="12"/>
      <c r="Q79" s="12"/>
      <c r="R79" s="12"/>
      <c r="S79" s="12"/>
      <c r="T79" s="12"/>
      <c r="U79" s="12"/>
      <c r="V79" s="12"/>
      <c r="W79" s="12"/>
      <c r="X79" s="12"/>
      <c r="Y79" s="12"/>
      <c r="Z79" s="12"/>
      <c r="AA79" s="12"/>
    </row>
    <row r="80" spans="1:27" ht="21">
      <c r="A80" s="12"/>
      <c r="B80" s="50"/>
      <c r="C80" s="237"/>
      <c r="D80" s="252"/>
      <c r="E80" s="250" t="s">
        <v>40</v>
      </c>
      <c r="F80" s="250"/>
      <c r="G80" s="62" t="s">
        <v>41</v>
      </c>
      <c r="H80" s="63"/>
      <c r="I80" s="63"/>
      <c r="J80" s="63"/>
      <c r="K80" s="64"/>
      <c r="L80" s="61"/>
      <c r="M80" s="34" t="s">
        <v>42</v>
      </c>
      <c r="N80" s="12"/>
      <c r="O80" s="12"/>
      <c r="P80" s="12"/>
      <c r="Q80" s="12"/>
      <c r="R80" s="12"/>
      <c r="S80" s="12"/>
      <c r="T80" s="12"/>
      <c r="U80" s="12"/>
      <c r="V80" s="12"/>
      <c r="W80" s="12"/>
      <c r="X80" s="12"/>
      <c r="Y80" s="12"/>
      <c r="Z80" s="12"/>
      <c r="AA80" s="12"/>
    </row>
    <row r="81" spans="1:27" ht="21">
      <c r="A81" s="12"/>
      <c r="B81" s="50"/>
      <c r="C81" s="237"/>
      <c r="D81" s="252"/>
      <c r="E81" s="250"/>
      <c r="F81" s="250"/>
      <c r="G81" s="62" t="s">
        <v>43</v>
      </c>
      <c r="H81" s="63"/>
      <c r="I81" s="63"/>
      <c r="J81" s="63"/>
      <c r="K81" s="64"/>
      <c r="L81" s="61"/>
      <c r="M81" s="34" t="s">
        <v>44</v>
      </c>
      <c r="N81" s="12"/>
      <c r="O81" s="12"/>
      <c r="P81" s="12"/>
      <c r="Q81" s="12"/>
      <c r="R81" s="12"/>
      <c r="S81" s="12"/>
      <c r="T81" s="12"/>
      <c r="U81" s="12"/>
      <c r="V81" s="12"/>
      <c r="W81" s="12"/>
      <c r="X81" s="12"/>
      <c r="Y81" s="12"/>
      <c r="Z81" s="12"/>
      <c r="AA81" s="12"/>
    </row>
    <row r="82" spans="1:27" ht="21">
      <c r="A82" s="12"/>
      <c r="B82" s="50"/>
      <c r="C82" s="237"/>
      <c r="D82" s="252"/>
      <c r="E82" s="250"/>
      <c r="F82" s="250"/>
      <c r="G82" s="62" t="s">
        <v>45</v>
      </c>
      <c r="H82" s="63"/>
      <c r="I82" s="63"/>
      <c r="J82" s="63"/>
      <c r="K82" s="64"/>
      <c r="L82" s="61"/>
      <c r="M82" s="34" t="s">
        <v>46</v>
      </c>
      <c r="N82" s="12"/>
      <c r="O82" s="12"/>
      <c r="P82" s="12"/>
      <c r="Q82" s="12"/>
      <c r="R82" s="12"/>
      <c r="S82" s="12"/>
      <c r="T82" s="12"/>
      <c r="U82" s="12"/>
      <c r="V82" s="12"/>
      <c r="W82" s="12"/>
      <c r="X82" s="12"/>
      <c r="Y82" s="12"/>
      <c r="Z82" s="12"/>
      <c r="AA82" s="12"/>
    </row>
    <row r="83" spans="1:27" ht="21.5" thickBot="1">
      <c r="A83" s="12"/>
      <c r="B83" s="50"/>
      <c r="C83" s="237"/>
      <c r="D83" s="253"/>
      <c r="E83" s="250"/>
      <c r="F83" s="250"/>
      <c r="G83" s="62" t="s">
        <v>47</v>
      </c>
      <c r="H83" s="63"/>
      <c r="I83" s="63"/>
      <c r="J83" s="63"/>
      <c r="K83" s="64"/>
      <c r="L83" s="61"/>
      <c r="M83" s="34" t="s">
        <v>48</v>
      </c>
      <c r="N83" s="12"/>
      <c r="O83" s="12"/>
      <c r="P83" s="12"/>
      <c r="Q83" s="12"/>
      <c r="R83" s="12"/>
      <c r="S83" s="12"/>
      <c r="T83" s="12"/>
      <c r="U83" s="12"/>
      <c r="V83" s="12"/>
      <c r="W83" s="12"/>
      <c r="X83" s="12"/>
      <c r="Y83" s="12"/>
      <c r="Z83" s="12"/>
      <c r="AA83" s="12"/>
    </row>
    <row r="84" spans="1:27" ht="6" customHeight="1" thickBot="1">
      <c r="A84" s="12"/>
      <c r="B84" s="50"/>
      <c r="C84" s="68"/>
      <c r="D84" s="69"/>
      <c r="E84" s="70"/>
      <c r="F84" s="70"/>
      <c r="G84" s="71"/>
      <c r="H84" s="72"/>
      <c r="I84" s="72"/>
      <c r="J84" s="72"/>
      <c r="K84" s="73"/>
      <c r="L84" s="74"/>
      <c r="M84" s="34"/>
      <c r="N84" s="12"/>
      <c r="O84" s="12"/>
      <c r="P84" s="12"/>
      <c r="Q84" s="12"/>
      <c r="R84" s="12"/>
      <c r="S84" s="12"/>
      <c r="T84" s="12"/>
      <c r="U84" s="12"/>
      <c r="V84" s="12"/>
      <c r="W84" s="12"/>
      <c r="X84" s="12"/>
      <c r="Y84" s="12"/>
      <c r="Z84" s="12"/>
      <c r="AA84" s="12"/>
    </row>
    <row r="85" spans="1:27" ht="21">
      <c r="A85" s="12"/>
      <c r="B85" s="50"/>
      <c r="C85" s="254" t="s">
        <v>59</v>
      </c>
      <c r="D85" s="75" t="s">
        <v>16</v>
      </c>
      <c r="E85" s="239" t="s">
        <v>17</v>
      </c>
      <c r="F85" s="239"/>
      <c r="G85" s="76" t="s">
        <v>16</v>
      </c>
      <c r="H85" s="77"/>
      <c r="I85" s="77"/>
      <c r="J85" s="77"/>
      <c r="K85" s="56"/>
      <c r="L85" s="78"/>
      <c r="M85" s="34" t="s">
        <v>60</v>
      </c>
      <c r="N85" s="12"/>
      <c r="O85" s="12"/>
      <c r="P85" s="12"/>
      <c r="Q85" s="12"/>
      <c r="R85" s="12"/>
      <c r="S85" s="12"/>
      <c r="T85" s="12"/>
      <c r="U85" s="12"/>
      <c r="V85" s="12"/>
      <c r="W85" s="12"/>
      <c r="X85" s="12"/>
      <c r="Y85" s="12"/>
      <c r="Z85" s="12"/>
      <c r="AA85" s="12"/>
    </row>
    <row r="86" spans="1:27" ht="26.25" customHeight="1">
      <c r="A86" s="12"/>
      <c r="B86" s="50"/>
      <c r="C86" s="255"/>
      <c r="D86" s="240" t="s">
        <v>38</v>
      </c>
      <c r="E86" s="250" t="s">
        <v>39</v>
      </c>
      <c r="F86" s="250"/>
      <c r="G86" s="62" t="s">
        <v>17</v>
      </c>
      <c r="H86" s="63"/>
      <c r="I86" s="63"/>
      <c r="J86" s="63"/>
      <c r="K86" s="64"/>
      <c r="L86" s="61"/>
      <c r="M86" s="34" t="s">
        <v>33</v>
      </c>
      <c r="N86" s="12"/>
      <c r="O86" s="12"/>
      <c r="P86" s="12"/>
      <c r="Q86" s="12"/>
      <c r="R86" s="12"/>
      <c r="S86" s="12"/>
      <c r="T86" s="12"/>
      <c r="U86" s="12"/>
      <c r="V86" s="12"/>
      <c r="W86" s="12"/>
      <c r="X86" s="12"/>
      <c r="Y86" s="12"/>
      <c r="Z86" s="12"/>
      <c r="AA86" s="12"/>
    </row>
    <row r="87" spans="1:27" ht="21" customHeight="1">
      <c r="A87" s="12"/>
      <c r="B87" s="50"/>
      <c r="C87" s="255"/>
      <c r="D87" s="240"/>
      <c r="E87" s="250" t="s">
        <v>40</v>
      </c>
      <c r="F87" s="250"/>
      <c r="G87" s="62" t="s">
        <v>61</v>
      </c>
      <c r="H87" s="63"/>
      <c r="I87" s="63"/>
      <c r="J87" s="63"/>
      <c r="K87" s="64"/>
      <c r="L87" s="61"/>
      <c r="M87" s="34" t="s">
        <v>62</v>
      </c>
      <c r="N87" s="12"/>
      <c r="O87" s="12"/>
      <c r="P87" s="12"/>
      <c r="Q87" s="12"/>
      <c r="R87" s="12"/>
      <c r="S87" s="12"/>
      <c r="T87" s="12"/>
      <c r="U87" s="12"/>
      <c r="V87" s="12"/>
      <c r="W87" s="12"/>
      <c r="X87" s="12"/>
      <c r="Y87" s="12"/>
      <c r="Z87" s="12"/>
      <c r="AA87" s="12"/>
    </row>
    <row r="88" spans="1:27" ht="21">
      <c r="A88" s="12"/>
      <c r="B88" s="50"/>
      <c r="C88" s="255"/>
      <c r="D88" s="240"/>
      <c r="E88" s="250"/>
      <c r="F88" s="250"/>
      <c r="G88" s="62" t="s">
        <v>43</v>
      </c>
      <c r="H88" s="63"/>
      <c r="I88" s="63"/>
      <c r="J88" s="63"/>
      <c r="K88" s="64"/>
      <c r="L88" s="61"/>
      <c r="M88" s="34" t="s">
        <v>63</v>
      </c>
      <c r="N88" s="12"/>
      <c r="O88" s="12"/>
      <c r="P88" s="12"/>
      <c r="Q88" s="12"/>
      <c r="R88" s="12"/>
      <c r="S88" s="12"/>
      <c r="T88" s="12"/>
      <c r="U88" s="12"/>
      <c r="V88" s="12"/>
      <c r="W88" s="12"/>
      <c r="X88" s="12"/>
      <c r="Y88" s="12"/>
      <c r="Z88" s="12"/>
      <c r="AA88" s="12"/>
    </row>
    <row r="89" spans="1:27" ht="21">
      <c r="A89" s="12"/>
      <c r="B89" s="50"/>
      <c r="C89" s="255"/>
      <c r="D89" s="240"/>
      <c r="E89" s="250"/>
      <c r="F89" s="250"/>
      <c r="G89" s="62" t="s">
        <v>64</v>
      </c>
      <c r="H89" s="63"/>
      <c r="I89" s="63"/>
      <c r="J89" s="63"/>
      <c r="K89" s="64"/>
      <c r="L89" s="61"/>
      <c r="M89" s="34" t="s">
        <v>65</v>
      </c>
      <c r="N89" s="12"/>
      <c r="O89" s="12"/>
      <c r="P89" s="12"/>
      <c r="Q89" s="12"/>
      <c r="R89" s="12"/>
      <c r="S89" s="12"/>
      <c r="T89" s="12"/>
      <c r="U89" s="12"/>
      <c r="V89" s="12"/>
      <c r="W89" s="12"/>
      <c r="X89" s="12"/>
      <c r="Y89" s="12"/>
      <c r="Z89" s="12"/>
      <c r="AA89" s="12"/>
    </row>
    <row r="90" spans="1:27" ht="21" customHeight="1">
      <c r="A90" s="12"/>
      <c r="B90" s="50"/>
      <c r="C90" s="255"/>
      <c r="D90" s="240"/>
      <c r="E90" s="250" t="s">
        <v>49</v>
      </c>
      <c r="F90" s="250"/>
      <c r="G90" s="62" t="s">
        <v>50</v>
      </c>
      <c r="H90" s="63"/>
      <c r="I90" s="63"/>
      <c r="J90" s="63"/>
      <c r="K90" s="64"/>
      <c r="L90" s="61"/>
      <c r="M90" s="34" t="s">
        <v>66</v>
      </c>
      <c r="N90" s="12"/>
      <c r="O90" s="12"/>
      <c r="P90" s="12"/>
      <c r="Q90" s="12"/>
      <c r="R90" s="12"/>
      <c r="S90" s="12"/>
      <c r="T90" s="12"/>
      <c r="U90" s="12"/>
      <c r="V90" s="12"/>
      <c r="W90" s="12"/>
      <c r="X90" s="12"/>
      <c r="Y90" s="12"/>
      <c r="Z90" s="12"/>
      <c r="AA90" s="12"/>
    </row>
    <row r="91" spans="1:27" ht="21">
      <c r="A91" s="12"/>
      <c r="B91" s="50"/>
      <c r="C91" s="255"/>
      <c r="D91" s="240"/>
      <c r="E91" s="250"/>
      <c r="F91" s="250"/>
      <c r="G91" s="62" t="s">
        <v>52</v>
      </c>
      <c r="H91" s="63"/>
      <c r="I91" s="63"/>
      <c r="J91" s="63"/>
      <c r="K91" s="64"/>
      <c r="L91" s="61"/>
      <c r="M91" s="34" t="s">
        <v>67</v>
      </c>
      <c r="N91" s="12"/>
      <c r="O91" s="12"/>
      <c r="P91" s="12"/>
      <c r="Q91" s="12"/>
      <c r="R91" s="12"/>
      <c r="S91" s="12"/>
      <c r="T91" s="12"/>
      <c r="U91" s="12"/>
      <c r="V91" s="12"/>
      <c r="W91" s="12"/>
      <c r="X91" s="12"/>
      <c r="Y91" s="12"/>
      <c r="Z91" s="12"/>
      <c r="AA91" s="12"/>
    </row>
    <row r="92" spans="1:27" ht="21">
      <c r="A92" s="12"/>
      <c r="B92" s="50"/>
      <c r="C92" s="255"/>
      <c r="D92" s="251" t="s">
        <v>54</v>
      </c>
      <c r="E92" s="250" t="s">
        <v>39</v>
      </c>
      <c r="F92" s="250"/>
      <c r="G92" s="62" t="s">
        <v>17</v>
      </c>
      <c r="H92" s="63"/>
      <c r="I92" s="63"/>
      <c r="J92" s="63"/>
      <c r="K92" s="64"/>
      <c r="L92" s="61"/>
      <c r="M92" s="34" t="s">
        <v>33</v>
      </c>
      <c r="N92" s="12"/>
      <c r="O92" s="12"/>
      <c r="P92" s="12"/>
      <c r="Q92" s="12"/>
      <c r="R92" s="12"/>
      <c r="S92" s="12"/>
      <c r="T92" s="12"/>
      <c r="U92" s="12"/>
      <c r="V92" s="12"/>
      <c r="W92" s="12"/>
      <c r="X92" s="12"/>
      <c r="Y92" s="12"/>
      <c r="Z92" s="12"/>
      <c r="AA92" s="12"/>
    </row>
    <row r="93" spans="1:27" ht="21">
      <c r="A93" s="12"/>
      <c r="B93" s="50"/>
      <c r="C93" s="255"/>
      <c r="D93" s="252"/>
      <c r="E93" s="250" t="s">
        <v>40</v>
      </c>
      <c r="F93" s="250"/>
      <c r="G93" s="62" t="s">
        <v>61</v>
      </c>
      <c r="H93" s="63"/>
      <c r="I93" s="63"/>
      <c r="J93" s="63"/>
      <c r="K93" s="64"/>
      <c r="L93" s="61"/>
      <c r="M93" s="34" t="s">
        <v>68</v>
      </c>
      <c r="N93" s="12"/>
      <c r="O93" s="12"/>
      <c r="P93" s="12"/>
      <c r="Q93" s="12"/>
      <c r="R93" s="12"/>
      <c r="S93" s="12"/>
      <c r="T93" s="12"/>
      <c r="U93" s="12"/>
      <c r="V93" s="12"/>
      <c r="W93" s="12"/>
      <c r="X93" s="12"/>
      <c r="Y93" s="12"/>
      <c r="Z93" s="12"/>
      <c r="AA93" s="12"/>
    </row>
    <row r="94" spans="1:27" ht="21">
      <c r="A94" s="12"/>
      <c r="B94" s="50"/>
      <c r="C94" s="255"/>
      <c r="D94" s="252"/>
      <c r="E94" s="250"/>
      <c r="F94" s="250"/>
      <c r="G94" s="62" t="s">
        <v>43</v>
      </c>
      <c r="H94" s="63"/>
      <c r="I94" s="63"/>
      <c r="J94" s="63"/>
      <c r="K94" s="64"/>
      <c r="L94" s="61"/>
      <c r="M94" s="34" t="s">
        <v>69</v>
      </c>
      <c r="N94" s="12"/>
      <c r="O94" s="12"/>
      <c r="P94" s="12"/>
      <c r="Q94" s="12"/>
      <c r="R94" s="12"/>
      <c r="S94" s="12"/>
      <c r="T94" s="12"/>
      <c r="U94" s="12"/>
      <c r="V94" s="12"/>
      <c r="W94" s="12"/>
      <c r="X94" s="12"/>
      <c r="Y94" s="12"/>
      <c r="Z94" s="12"/>
      <c r="AA94" s="12"/>
    </row>
    <row r="95" spans="1:27" ht="21">
      <c r="A95" s="12"/>
      <c r="B95" s="50"/>
      <c r="C95" s="255"/>
      <c r="D95" s="253"/>
      <c r="E95" s="250"/>
      <c r="F95" s="250"/>
      <c r="G95" s="62" t="s">
        <v>64</v>
      </c>
      <c r="H95" s="63"/>
      <c r="I95" s="63"/>
      <c r="J95" s="63"/>
      <c r="K95" s="64"/>
      <c r="L95" s="61"/>
      <c r="M95" s="34" t="s">
        <v>70</v>
      </c>
      <c r="N95" s="12"/>
      <c r="O95" s="12"/>
      <c r="P95" s="12"/>
      <c r="Q95" s="12"/>
      <c r="R95" s="12"/>
      <c r="S95" s="12"/>
      <c r="T95" s="12"/>
      <c r="U95" s="12"/>
      <c r="V95" s="12"/>
      <c r="W95" s="12"/>
      <c r="X95" s="12"/>
      <c r="Y95" s="12"/>
      <c r="Z95" s="12"/>
      <c r="AA95" s="12"/>
    </row>
    <row r="96" spans="1:27" ht="21">
      <c r="A96" s="12"/>
      <c r="B96" s="50"/>
      <c r="C96" s="255"/>
      <c r="D96" s="251" t="s">
        <v>58</v>
      </c>
      <c r="E96" s="250" t="s">
        <v>39</v>
      </c>
      <c r="F96" s="250"/>
      <c r="G96" s="62" t="s">
        <v>17</v>
      </c>
      <c r="H96" s="63"/>
      <c r="I96" s="63"/>
      <c r="J96" s="63"/>
      <c r="K96" s="64"/>
      <c r="L96" s="61"/>
      <c r="M96" s="34" t="s">
        <v>33</v>
      </c>
      <c r="N96" s="12"/>
      <c r="O96" s="12"/>
      <c r="P96" s="12"/>
      <c r="Q96" s="12"/>
      <c r="R96" s="12"/>
      <c r="S96" s="12"/>
      <c r="T96" s="12"/>
      <c r="U96" s="12"/>
      <c r="V96" s="12"/>
      <c r="W96" s="12"/>
      <c r="X96" s="12"/>
      <c r="Y96" s="12"/>
      <c r="Z96" s="12"/>
      <c r="AA96" s="12"/>
    </row>
    <row r="97" spans="1:27" ht="21">
      <c r="A97" s="12"/>
      <c r="B97" s="50"/>
      <c r="C97" s="255"/>
      <c r="D97" s="252"/>
      <c r="E97" s="250" t="s">
        <v>40</v>
      </c>
      <c r="F97" s="250"/>
      <c r="G97" s="62" t="s">
        <v>61</v>
      </c>
      <c r="H97" s="63"/>
      <c r="I97" s="63"/>
      <c r="J97" s="63"/>
      <c r="K97" s="64"/>
      <c r="L97" s="61"/>
      <c r="M97" s="34" t="s">
        <v>71</v>
      </c>
      <c r="N97" s="12"/>
      <c r="O97" s="12"/>
      <c r="P97" s="12"/>
      <c r="Q97" s="12"/>
      <c r="R97" s="12"/>
      <c r="S97" s="12"/>
      <c r="T97" s="12"/>
      <c r="U97" s="12"/>
      <c r="V97" s="12"/>
      <c r="W97" s="12"/>
      <c r="X97" s="12"/>
      <c r="Y97" s="12"/>
      <c r="Z97" s="12"/>
      <c r="AA97" s="12"/>
    </row>
    <row r="98" spans="1:27" ht="21">
      <c r="A98" s="12"/>
      <c r="B98" s="50"/>
      <c r="C98" s="255"/>
      <c r="D98" s="252"/>
      <c r="E98" s="250"/>
      <c r="F98" s="250"/>
      <c r="G98" s="62" t="s">
        <v>43</v>
      </c>
      <c r="H98" s="63"/>
      <c r="I98" s="63"/>
      <c r="J98" s="63"/>
      <c r="K98" s="64"/>
      <c r="L98" s="61"/>
      <c r="M98" s="34" t="s">
        <v>72</v>
      </c>
      <c r="N98" s="12"/>
      <c r="O98" s="12"/>
      <c r="P98" s="12"/>
      <c r="Q98" s="12"/>
      <c r="R98" s="12"/>
      <c r="S98" s="12"/>
      <c r="T98" s="12"/>
      <c r="U98" s="12"/>
      <c r="V98" s="12"/>
      <c r="W98" s="12"/>
      <c r="X98" s="12"/>
      <c r="Y98" s="12"/>
      <c r="Z98" s="12"/>
      <c r="AA98" s="12"/>
    </row>
    <row r="99" spans="1:27" ht="21.5" thickBot="1">
      <c r="A99" s="12"/>
      <c r="B99" s="50"/>
      <c r="C99" s="255"/>
      <c r="D99" s="253"/>
      <c r="E99" s="250"/>
      <c r="F99" s="250"/>
      <c r="G99" s="62" t="s">
        <v>64</v>
      </c>
      <c r="H99" s="63"/>
      <c r="I99" s="63"/>
      <c r="J99" s="63"/>
      <c r="K99" s="64"/>
      <c r="L99" s="61"/>
      <c r="M99" s="34" t="s">
        <v>73</v>
      </c>
      <c r="N99" s="12"/>
      <c r="O99" s="12"/>
      <c r="P99" s="12"/>
      <c r="Q99" s="12"/>
      <c r="R99" s="12"/>
      <c r="S99" s="12"/>
      <c r="T99" s="12"/>
      <c r="U99" s="12"/>
      <c r="V99" s="12"/>
      <c r="W99" s="12"/>
      <c r="X99" s="12"/>
      <c r="Y99" s="12"/>
      <c r="Z99" s="12"/>
      <c r="AA99" s="12"/>
    </row>
    <row r="100" spans="1:27" ht="6" customHeight="1" thickBot="1">
      <c r="A100" s="12"/>
      <c r="B100" s="50"/>
      <c r="C100" s="68"/>
      <c r="D100" s="69"/>
      <c r="E100" s="70"/>
      <c r="F100" s="70"/>
      <c r="G100" s="71"/>
      <c r="H100" s="72"/>
      <c r="I100" s="72"/>
      <c r="J100" s="72"/>
      <c r="K100" s="73"/>
      <c r="L100" s="74"/>
      <c r="M100" s="34"/>
      <c r="N100" s="12"/>
      <c r="O100" s="12"/>
      <c r="P100" s="12"/>
      <c r="Q100" s="12"/>
      <c r="R100" s="12"/>
      <c r="S100" s="12"/>
      <c r="T100" s="12"/>
      <c r="U100" s="12"/>
      <c r="V100" s="12"/>
      <c r="W100" s="12"/>
      <c r="X100" s="12"/>
      <c r="Y100" s="12"/>
      <c r="Z100" s="12"/>
      <c r="AA100" s="12"/>
    </row>
    <row r="101" spans="1:27" ht="21">
      <c r="A101" s="12"/>
      <c r="B101" s="50"/>
      <c r="C101" s="256" t="s">
        <v>74</v>
      </c>
      <c r="D101" s="55" t="s">
        <v>16</v>
      </c>
      <c r="E101" s="257" t="s">
        <v>17</v>
      </c>
      <c r="F101" s="257"/>
      <c r="G101" s="62" t="s">
        <v>16</v>
      </c>
      <c r="H101" s="63"/>
      <c r="I101" s="63"/>
      <c r="J101" s="63"/>
      <c r="K101" s="64"/>
      <c r="L101" s="79"/>
      <c r="M101" s="34" t="s">
        <v>75</v>
      </c>
      <c r="N101" s="12"/>
      <c r="O101" s="12"/>
      <c r="P101" s="12"/>
      <c r="Q101" s="12"/>
      <c r="R101" s="12"/>
      <c r="S101" s="12"/>
      <c r="T101" s="12"/>
      <c r="U101" s="12"/>
      <c r="V101" s="12"/>
      <c r="W101" s="12"/>
      <c r="X101" s="12"/>
      <c r="Y101" s="12"/>
      <c r="Z101" s="12"/>
      <c r="AA101" s="12"/>
    </row>
    <row r="102" spans="1:27" ht="26.25" customHeight="1">
      <c r="A102" s="12"/>
      <c r="B102" s="50"/>
      <c r="C102" s="255"/>
      <c r="D102" s="240" t="s">
        <v>38</v>
      </c>
      <c r="E102" s="250" t="s">
        <v>39</v>
      </c>
      <c r="F102" s="250"/>
      <c r="G102" s="62" t="s">
        <v>17</v>
      </c>
      <c r="H102" s="63"/>
      <c r="I102" s="63"/>
      <c r="J102" s="63"/>
      <c r="K102" s="64"/>
      <c r="L102" s="61"/>
      <c r="M102" s="34" t="s">
        <v>22</v>
      </c>
      <c r="N102" s="12"/>
      <c r="O102" s="12"/>
      <c r="P102" s="12"/>
      <c r="Q102" s="12"/>
      <c r="R102" s="12"/>
      <c r="S102" s="12"/>
      <c r="T102" s="12"/>
      <c r="U102" s="12"/>
      <c r="V102" s="12"/>
      <c r="W102" s="12"/>
      <c r="X102" s="12"/>
      <c r="Y102" s="12"/>
      <c r="Z102" s="12"/>
      <c r="AA102" s="12"/>
    </row>
    <row r="103" spans="1:27" ht="21" customHeight="1">
      <c r="A103" s="12"/>
      <c r="B103" s="50"/>
      <c r="C103" s="255"/>
      <c r="D103" s="240"/>
      <c r="E103" s="250" t="s">
        <v>40</v>
      </c>
      <c r="F103" s="250"/>
      <c r="G103" s="62" t="s">
        <v>61</v>
      </c>
      <c r="H103" s="63"/>
      <c r="I103" s="63"/>
      <c r="J103" s="63"/>
      <c r="K103" s="64"/>
      <c r="L103" s="61"/>
      <c r="M103" s="34" t="s">
        <v>76</v>
      </c>
      <c r="N103" s="12"/>
      <c r="O103" s="12"/>
      <c r="P103" s="12"/>
      <c r="Q103" s="12"/>
      <c r="R103" s="12"/>
      <c r="S103" s="12"/>
      <c r="T103" s="12"/>
      <c r="U103" s="12"/>
      <c r="V103" s="12"/>
      <c r="W103" s="12"/>
      <c r="X103" s="12"/>
      <c r="Y103" s="12"/>
      <c r="Z103" s="12"/>
      <c r="AA103" s="12"/>
    </row>
    <row r="104" spans="1:27" ht="21">
      <c r="A104" s="12"/>
      <c r="B104" s="50"/>
      <c r="C104" s="255"/>
      <c r="D104" s="240"/>
      <c r="E104" s="250"/>
      <c r="F104" s="250"/>
      <c r="G104" s="62" t="s">
        <v>43</v>
      </c>
      <c r="H104" s="63"/>
      <c r="I104" s="63"/>
      <c r="J104" s="63"/>
      <c r="K104" s="64"/>
      <c r="L104" s="61"/>
      <c r="M104" s="34" t="s">
        <v>76</v>
      </c>
      <c r="N104" s="12"/>
      <c r="O104" s="12"/>
      <c r="P104" s="12"/>
      <c r="Q104" s="12"/>
      <c r="R104" s="12"/>
      <c r="S104" s="12"/>
      <c r="T104" s="12"/>
      <c r="U104" s="12"/>
      <c r="V104" s="12"/>
      <c r="W104" s="12"/>
      <c r="X104" s="12"/>
      <c r="Y104" s="12"/>
      <c r="Z104" s="12"/>
      <c r="AA104" s="12"/>
    </row>
    <row r="105" spans="1:27" ht="21">
      <c r="A105" s="12"/>
      <c r="B105" s="50"/>
      <c r="C105" s="255"/>
      <c r="D105" s="240"/>
      <c r="E105" s="250"/>
      <c r="F105" s="250"/>
      <c r="G105" s="62" t="s">
        <v>64</v>
      </c>
      <c r="H105" s="63"/>
      <c r="I105" s="63"/>
      <c r="J105" s="63"/>
      <c r="K105" s="64"/>
      <c r="L105" s="61"/>
      <c r="M105" s="34" t="s">
        <v>77</v>
      </c>
      <c r="N105" s="12"/>
      <c r="O105" s="12"/>
      <c r="P105" s="12"/>
      <c r="Q105" s="12"/>
      <c r="R105" s="12"/>
      <c r="S105" s="12"/>
      <c r="T105" s="12"/>
      <c r="U105" s="12"/>
      <c r="V105" s="12"/>
      <c r="W105" s="12"/>
      <c r="X105" s="12"/>
      <c r="Y105" s="12"/>
      <c r="Z105" s="12"/>
      <c r="AA105" s="12"/>
    </row>
    <row r="106" spans="1:27" ht="21" customHeight="1">
      <c r="A106" s="12"/>
      <c r="B106" s="50"/>
      <c r="C106" s="255"/>
      <c r="D106" s="240"/>
      <c r="E106" s="250" t="s">
        <v>78</v>
      </c>
      <c r="F106" s="250"/>
      <c r="G106" s="62" t="s">
        <v>79</v>
      </c>
      <c r="H106" s="63"/>
      <c r="I106" s="63"/>
      <c r="J106" s="63"/>
      <c r="K106" s="64"/>
      <c r="L106" s="61"/>
      <c r="M106" s="34" t="s">
        <v>80</v>
      </c>
      <c r="N106" s="12"/>
      <c r="O106" s="12"/>
      <c r="P106" s="12"/>
      <c r="Q106" s="12"/>
      <c r="R106" s="12"/>
      <c r="S106" s="12"/>
      <c r="T106" s="12"/>
      <c r="U106" s="12"/>
      <c r="V106" s="12"/>
      <c r="W106" s="12"/>
      <c r="X106" s="12"/>
      <c r="Y106" s="12"/>
      <c r="Z106" s="12"/>
      <c r="AA106" s="12"/>
    </row>
    <row r="107" spans="1:27" ht="21">
      <c r="A107" s="12"/>
      <c r="B107" s="50"/>
      <c r="C107" s="255"/>
      <c r="D107" s="240"/>
      <c r="E107" s="250"/>
      <c r="F107" s="250"/>
      <c r="G107" s="62" t="s">
        <v>81</v>
      </c>
      <c r="H107" s="63"/>
      <c r="I107" s="63"/>
      <c r="J107" s="63"/>
      <c r="K107" s="64"/>
      <c r="L107" s="61"/>
      <c r="M107" s="34" t="s">
        <v>82</v>
      </c>
      <c r="N107" s="12"/>
      <c r="O107" s="12"/>
      <c r="P107" s="12"/>
      <c r="Q107" s="12"/>
      <c r="R107" s="12"/>
      <c r="S107" s="12"/>
      <c r="T107" s="12"/>
      <c r="U107" s="12"/>
      <c r="V107" s="12"/>
      <c r="W107" s="12"/>
      <c r="X107" s="12"/>
      <c r="Y107" s="12"/>
      <c r="Z107" s="12"/>
      <c r="AA107" s="12"/>
    </row>
    <row r="108" spans="1:27" ht="21">
      <c r="A108" s="12"/>
      <c r="B108" s="50"/>
      <c r="C108" s="255"/>
      <c r="D108" s="251" t="s">
        <v>30</v>
      </c>
      <c r="E108" s="250" t="s">
        <v>39</v>
      </c>
      <c r="F108" s="250"/>
      <c r="G108" s="62" t="s">
        <v>17</v>
      </c>
      <c r="H108" s="63"/>
      <c r="I108" s="63"/>
      <c r="J108" s="63"/>
      <c r="K108" s="64"/>
      <c r="L108" s="61"/>
      <c r="M108" s="34" t="s">
        <v>22</v>
      </c>
      <c r="N108" s="12"/>
      <c r="O108" s="12"/>
      <c r="P108" s="12"/>
      <c r="Q108" s="12"/>
      <c r="R108" s="12"/>
      <c r="S108" s="12"/>
      <c r="T108" s="12"/>
      <c r="U108" s="12"/>
      <c r="V108" s="12"/>
      <c r="W108" s="12"/>
      <c r="X108" s="12"/>
      <c r="Y108" s="12"/>
      <c r="Z108" s="12"/>
      <c r="AA108" s="12"/>
    </row>
    <row r="109" spans="1:27" ht="21">
      <c r="A109" s="12"/>
      <c r="B109" s="50"/>
      <c r="C109" s="255"/>
      <c r="D109" s="252"/>
      <c r="E109" s="250" t="s">
        <v>40</v>
      </c>
      <c r="F109" s="250"/>
      <c r="G109" s="62" t="s">
        <v>61</v>
      </c>
      <c r="H109" s="63"/>
      <c r="I109" s="63"/>
      <c r="J109" s="63"/>
      <c r="K109" s="64"/>
      <c r="L109" s="61"/>
      <c r="M109" s="34" t="s">
        <v>76</v>
      </c>
      <c r="N109" s="12"/>
      <c r="O109" s="12"/>
      <c r="P109" s="12"/>
      <c r="Q109" s="12"/>
      <c r="R109" s="12"/>
      <c r="S109" s="12"/>
      <c r="T109" s="12"/>
      <c r="U109" s="12"/>
      <c r="V109" s="12"/>
      <c r="W109" s="12"/>
      <c r="X109" s="12"/>
      <c r="Y109" s="12"/>
      <c r="Z109" s="12"/>
      <c r="AA109" s="12"/>
    </row>
    <row r="110" spans="1:27" ht="21">
      <c r="A110" s="12"/>
      <c r="B110" s="50"/>
      <c r="C110" s="255"/>
      <c r="D110" s="252"/>
      <c r="E110" s="250"/>
      <c r="F110" s="250"/>
      <c r="G110" s="62" t="s">
        <v>43</v>
      </c>
      <c r="H110" s="63"/>
      <c r="I110" s="63"/>
      <c r="J110" s="63"/>
      <c r="K110" s="64"/>
      <c r="L110" s="61"/>
      <c r="M110" s="34" t="s">
        <v>76</v>
      </c>
      <c r="N110" s="12"/>
      <c r="O110" s="12"/>
      <c r="P110" s="12"/>
      <c r="Q110" s="12"/>
      <c r="R110" s="12"/>
      <c r="S110" s="12"/>
      <c r="T110" s="12"/>
      <c r="U110" s="12"/>
      <c r="V110" s="12"/>
      <c r="W110" s="12"/>
      <c r="X110" s="12"/>
      <c r="Y110" s="12"/>
      <c r="Z110" s="12"/>
      <c r="AA110" s="12"/>
    </row>
    <row r="111" spans="1:27" ht="21.5" thickBot="1">
      <c r="A111" s="12"/>
      <c r="B111" s="50"/>
      <c r="C111" s="255"/>
      <c r="D111" s="253"/>
      <c r="E111" s="250"/>
      <c r="F111" s="250"/>
      <c r="G111" s="62" t="s">
        <v>64</v>
      </c>
      <c r="H111" s="63"/>
      <c r="I111" s="63"/>
      <c r="J111" s="63"/>
      <c r="K111" s="64"/>
      <c r="L111" s="61"/>
      <c r="M111" s="34" t="s">
        <v>77</v>
      </c>
      <c r="N111" s="12"/>
      <c r="O111" s="12"/>
      <c r="P111" s="12"/>
      <c r="Q111" s="12"/>
      <c r="R111" s="12"/>
      <c r="S111" s="12"/>
      <c r="T111" s="12"/>
      <c r="U111" s="12"/>
      <c r="V111" s="12"/>
      <c r="W111" s="12"/>
      <c r="X111" s="12"/>
      <c r="Y111" s="12"/>
      <c r="Z111" s="12"/>
      <c r="AA111" s="12"/>
    </row>
    <row r="112" spans="1:27" ht="5.25" customHeight="1" thickBot="1">
      <c r="A112" s="12"/>
      <c r="B112" s="50"/>
      <c r="C112" s="68"/>
      <c r="D112" s="69"/>
      <c r="E112" s="70"/>
      <c r="F112" s="70"/>
      <c r="G112" s="71"/>
      <c r="H112" s="72"/>
      <c r="I112" s="72"/>
      <c r="J112" s="72"/>
      <c r="K112" s="73"/>
      <c r="L112" s="74"/>
      <c r="M112" s="34"/>
      <c r="N112" s="12"/>
      <c r="O112" s="12"/>
      <c r="P112" s="12"/>
      <c r="Q112" s="12"/>
      <c r="R112" s="12"/>
      <c r="S112" s="12"/>
      <c r="T112" s="12"/>
      <c r="U112" s="12"/>
      <c r="V112" s="12"/>
      <c r="W112" s="12"/>
      <c r="X112" s="12"/>
      <c r="Y112" s="12"/>
      <c r="Z112" s="12"/>
      <c r="AA112" s="12"/>
    </row>
    <row r="113" spans="1:27" ht="21">
      <c r="A113" s="12"/>
      <c r="B113" s="50"/>
      <c r="C113" s="236" t="s">
        <v>83</v>
      </c>
      <c r="D113" s="75" t="s">
        <v>16</v>
      </c>
      <c r="E113" s="239" t="s">
        <v>17</v>
      </c>
      <c r="F113" s="239"/>
      <c r="G113" s="76" t="s">
        <v>16</v>
      </c>
      <c r="H113" s="77"/>
      <c r="I113" s="77"/>
      <c r="J113" s="77"/>
      <c r="K113" s="56"/>
      <c r="L113" s="78"/>
      <c r="M113" s="34" t="s">
        <v>84</v>
      </c>
      <c r="N113" s="12"/>
      <c r="O113" s="12"/>
      <c r="P113" s="12"/>
      <c r="Q113" s="12"/>
      <c r="R113" s="12"/>
      <c r="S113" s="12"/>
      <c r="T113" s="12"/>
      <c r="U113" s="12"/>
      <c r="V113" s="12"/>
      <c r="W113" s="12"/>
      <c r="X113" s="12"/>
      <c r="Y113" s="12"/>
      <c r="Z113" s="12"/>
      <c r="AA113" s="12"/>
    </row>
    <row r="114" spans="1:27" ht="39" customHeight="1">
      <c r="A114" s="12"/>
      <c r="B114" s="50"/>
      <c r="C114" s="237"/>
      <c r="D114" s="240" t="s">
        <v>38</v>
      </c>
      <c r="E114" s="250" t="s">
        <v>85</v>
      </c>
      <c r="F114" s="250"/>
      <c r="G114" s="62" t="s">
        <v>17</v>
      </c>
      <c r="H114" s="63"/>
      <c r="I114" s="63"/>
      <c r="J114" s="63"/>
      <c r="K114" s="64"/>
      <c r="L114" s="61"/>
      <c r="M114" s="34" t="s">
        <v>86</v>
      </c>
      <c r="N114" s="12"/>
      <c r="O114" s="12"/>
      <c r="P114" s="12"/>
      <c r="Q114" s="12"/>
      <c r="R114" s="12"/>
      <c r="S114" s="12"/>
      <c r="T114" s="12"/>
      <c r="U114" s="12"/>
      <c r="V114" s="12"/>
      <c r="W114" s="12"/>
      <c r="X114" s="12"/>
      <c r="Y114" s="12"/>
      <c r="Z114" s="12"/>
      <c r="AA114" s="12"/>
    </row>
    <row r="115" spans="1:27" ht="21" customHeight="1">
      <c r="A115" s="12"/>
      <c r="B115" s="50"/>
      <c r="C115" s="237"/>
      <c r="D115" s="240"/>
      <c r="E115" s="250" t="s">
        <v>87</v>
      </c>
      <c r="F115" s="250"/>
      <c r="G115" s="62" t="s">
        <v>88</v>
      </c>
      <c r="H115" s="63"/>
      <c r="I115" s="63"/>
      <c r="J115" s="63"/>
      <c r="K115" s="64"/>
      <c r="L115" s="61"/>
      <c r="M115" s="34" t="s">
        <v>89</v>
      </c>
      <c r="N115" s="12"/>
      <c r="O115" s="12"/>
      <c r="P115" s="12"/>
      <c r="Q115" s="12"/>
      <c r="R115" s="12"/>
      <c r="S115" s="12"/>
      <c r="T115" s="12"/>
      <c r="U115" s="12"/>
      <c r="V115" s="12"/>
      <c r="W115" s="12"/>
      <c r="X115" s="12"/>
      <c r="Y115" s="12"/>
      <c r="Z115" s="12"/>
      <c r="AA115" s="12"/>
    </row>
    <row r="116" spans="1:27" ht="21">
      <c r="A116" s="12"/>
      <c r="B116" s="50"/>
      <c r="C116" s="237"/>
      <c r="D116" s="240"/>
      <c r="E116" s="250"/>
      <c r="F116" s="250"/>
      <c r="G116" s="62" t="s">
        <v>90</v>
      </c>
      <c r="H116" s="63"/>
      <c r="I116" s="63"/>
      <c r="J116" s="63"/>
      <c r="K116" s="64"/>
      <c r="L116" s="61"/>
      <c r="M116" s="34" t="s">
        <v>91</v>
      </c>
      <c r="N116" s="12"/>
      <c r="O116" s="12"/>
      <c r="P116" s="12"/>
      <c r="Q116" s="12"/>
      <c r="R116" s="12"/>
      <c r="S116" s="12"/>
      <c r="T116" s="12"/>
      <c r="U116" s="12"/>
      <c r="V116" s="12"/>
      <c r="W116" s="12"/>
      <c r="X116" s="12"/>
      <c r="Y116" s="12"/>
      <c r="Z116" s="12"/>
      <c r="AA116" s="12"/>
    </row>
    <row r="117" spans="1:27" ht="21">
      <c r="A117" s="12"/>
      <c r="B117" s="50"/>
      <c r="C117" s="237"/>
      <c r="D117" s="240"/>
      <c r="E117" s="250"/>
      <c r="F117" s="250"/>
      <c r="G117" s="62" t="s">
        <v>92</v>
      </c>
      <c r="H117" s="63"/>
      <c r="I117" s="63"/>
      <c r="J117" s="63"/>
      <c r="K117" s="64"/>
      <c r="L117" s="61"/>
      <c r="M117" s="34" t="s">
        <v>93</v>
      </c>
      <c r="N117" s="12"/>
      <c r="O117" s="12"/>
      <c r="P117" s="12"/>
      <c r="Q117" s="12"/>
      <c r="R117" s="12"/>
      <c r="S117" s="12"/>
      <c r="T117" s="12"/>
      <c r="U117" s="12"/>
      <c r="V117" s="12"/>
      <c r="W117" s="12"/>
      <c r="X117" s="12"/>
      <c r="Y117" s="12"/>
      <c r="Z117" s="12"/>
      <c r="AA117" s="12"/>
    </row>
    <row r="118" spans="1:27" ht="21">
      <c r="A118" s="12"/>
      <c r="B118" s="50"/>
      <c r="C118" s="237"/>
      <c r="D118" s="240"/>
      <c r="E118" s="250"/>
      <c r="F118" s="250"/>
      <c r="G118" s="62" t="s">
        <v>94</v>
      </c>
      <c r="H118" s="63"/>
      <c r="I118" s="63"/>
      <c r="J118" s="63"/>
      <c r="K118" s="64"/>
      <c r="L118" s="61"/>
      <c r="M118" s="34" t="s">
        <v>95</v>
      </c>
      <c r="N118" s="12"/>
      <c r="O118" s="12"/>
      <c r="P118" s="12"/>
      <c r="Q118" s="12"/>
      <c r="R118" s="12"/>
      <c r="S118" s="12"/>
      <c r="T118" s="12"/>
      <c r="U118" s="12"/>
      <c r="V118" s="12"/>
      <c r="W118" s="12"/>
      <c r="X118" s="12"/>
      <c r="Y118" s="12"/>
      <c r="Z118" s="12"/>
      <c r="AA118" s="12"/>
    </row>
    <row r="119" spans="1:27" ht="21" customHeight="1">
      <c r="A119" s="12"/>
      <c r="B119" s="50"/>
      <c r="C119" s="237"/>
      <c r="D119" s="240"/>
      <c r="E119" s="250" t="s">
        <v>96</v>
      </c>
      <c r="F119" s="250"/>
      <c r="G119" s="62" t="s">
        <v>79</v>
      </c>
      <c r="H119" s="63"/>
      <c r="I119" s="63"/>
      <c r="J119" s="63"/>
      <c r="K119" s="64"/>
      <c r="L119" s="61"/>
      <c r="M119" s="34" t="s">
        <v>97</v>
      </c>
      <c r="N119" s="12"/>
      <c r="O119" s="12"/>
      <c r="P119" s="12"/>
      <c r="Q119" s="12"/>
      <c r="R119" s="12"/>
      <c r="S119" s="12"/>
      <c r="T119" s="12"/>
      <c r="U119" s="12"/>
      <c r="V119" s="12"/>
      <c r="W119" s="12"/>
      <c r="X119" s="12"/>
      <c r="Y119" s="12"/>
      <c r="Z119" s="12"/>
      <c r="AA119" s="12"/>
    </row>
    <row r="120" spans="1:27" ht="21">
      <c r="A120" s="12"/>
      <c r="B120" s="50"/>
      <c r="C120" s="237"/>
      <c r="D120" s="240"/>
      <c r="E120" s="250"/>
      <c r="F120" s="250"/>
      <c r="G120" s="62" t="s">
        <v>81</v>
      </c>
      <c r="H120" s="63"/>
      <c r="I120" s="63"/>
      <c r="J120" s="63"/>
      <c r="K120" s="64"/>
      <c r="L120" s="61"/>
      <c r="M120" s="34" t="s">
        <v>97</v>
      </c>
      <c r="N120" s="12"/>
      <c r="O120" s="12"/>
      <c r="P120" s="12"/>
      <c r="Q120" s="12"/>
      <c r="R120" s="12"/>
      <c r="S120" s="12"/>
      <c r="T120" s="12"/>
      <c r="U120" s="12"/>
      <c r="V120" s="12"/>
      <c r="W120" s="12"/>
      <c r="X120" s="12"/>
      <c r="Y120" s="12"/>
      <c r="Z120" s="12"/>
      <c r="AA120" s="12"/>
    </row>
    <row r="121" spans="1:27" ht="37" customHeight="1">
      <c r="A121" s="12"/>
      <c r="B121" s="50"/>
      <c r="C121" s="237"/>
      <c r="D121" s="251" t="s">
        <v>30</v>
      </c>
      <c r="E121" s="250" t="s">
        <v>85</v>
      </c>
      <c r="F121" s="250"/>
      <c r="G121" s="62" t="s">
        <v>17</v>
      </c>
      <c r="H121" s="63"/>
      <c r="I121" s="63"/>
      <c r="J121" s="63"/>
      <c r="K121" s="64"/>
      <c r="L121" s="61"/>
      <c r="M121" s="34" t="s">
        <v>86</v>
      </c>
      <c r="N121" s="12"/>
      <c r="O121" s="12"/>
      <c r="P121" s="12"/>
      <c r="Q121" s="12"/>
      <c r="R121" s="12"/>
      <c r="S121" s="12"/>
      <c r="T121" s="12"/>
      <c r="U121" s="12"/>
      <c r="V121" s="12"/>
      <c r="W121" s="12"/>
      <c r="X121" s="12"/>
      <c r="Y121" s="12"/>
      <c r="Z121" s="12"/>
      <c r="AA121" s="12"/>
    </row>
    <row r="122" spans="1:27" ht="21">
      <c r="A122" s="12"/>
      <c r="B122" s="50"/>
      <c r="C122" s="237"/>
      <c r="D122" s="252"/>
      <c r="E122" s="250" t="s">
        <v>87</v>
      </c>
      <c r="F122" s="250"/>
      <c r="G122" s="62" t="s">
        <v>88</v>
      </c>
      <c r="H122" s="63"/>
      <c r="I122" s="63"/>
      <c r="J122" s="63"/>
      <c r="K122" s="64"/>
      <c r="L122" s="61"/>
      <c r="M122" s="34" t="s">
        <v>89</v>
      </c>
      <c r="N122" s="12"/>
      <c r="O122" s="12"/>
      <c r="P122" s="12"/>
      <c r="Q122" s="12"/>
      <c r="R122" s="12"/>
      <c r="S122" s="12"/>
      <c r="T122" s="12"/>
      <c r="U122" s="12"/>
      <c r="V122" s="12"/>
      <c r="W122" s="12"/>
      <c r="X122" s="12"/>
      <c r="Y122" s="12"/>
      <c r="Z122" s="12"/>
      <c r="AA122" s="12"/>
    </row>
    <row r="123" spans="1:27" ht="21">
      <c r="A123" s="12"/>
      <c r="B123" s="50"/>
      <c r="C123" s="237"/>
      <c r="D123" s="252"/>
      <c r="E123" s="250"/>
      <c r="F123" s="250"/>
      <c r="G123" s="62" t="s">
        <v>90</v>
      </c>
      <c r="H123" s="63"/>
      <c r="I123" s="63"/>
      <c r="J123" s="63"/>
      <c r="K123" s="64"/>
      <c r="L123" s="61"/>
      <c r="M123" s="34" t="s">
        <v>91</v>
      </c>
      <c r="N123" s="12"/>
      <c r="O123" s="12"/>
      <c r="P123" s="12"/>
      <c r="Q123" s="12"/>
      <c r="R123" s="12"/>
      <c r="S123" s="12"/>
      <c r="T123" s="12"/>
      <c r="U123" s="12"/>
      <c r="V123" s="12"/>
      <c r="W123" s="12"/>
      <c r="X123" s="12"/>
      <c r="Y123" s="12"/>
      <c r="Z123" s="12"/>
      <c r="AA123" s="12"/>
    </row>
    <row r="124" spans="1:27" ht="21">
      <c r="A124" s="12"/>
      <c r="B124" s="50"/>
      <c r="C124" s="237"/>
      <c r="D124" s="252"/>
      <c r="E124" s="250"/>
      <c r="F124" s="250"/>
      <c r="G124" s="62" t="s">
        <v>92</v>
      </c>
      <c r="H124" s="63"/>
      <c r="I124" s="63"/>
      <c r="J124" s="63"/>
      <c r="K124" s="64"/>
      <c r="L124" s="61"/>
      <c r="M124" s="34" t="s">
        <v>93</v>
      </c>
      <c r="N124" s="12"/>
      <c r="O124" s="12"/>
      <c r="P124" s="12"/>
      <c r="Q124" s="12"/>
      <c r="R124" s="12"/>
      <c r="S124" s="12"/>
      <c r="T124" s="12"/>
      <c r="U124" s="12"/>
      <c r="V124" s="12"/>
      <c r="W124" s="12"/>
      <c r="X124" s="12"/>
      <c r="Y124" s="12"/>
      <c r="Z124" s="12"/>
      <c r="AA124" s="12"/>
    </row>
    <row r="125" spans="1:27" ht="21.5" thickBot="1">
      <c r="A125" s="12"/>
      <c r="B125" s="50"/>
      <c r="C125" s="237"/>
      <c r="D125" s="253"/>
      <c r="E125" s="250"/>
      <c r="F125" s="250"/>
      <c r="G125" s="62" t="s">
        <v>94</v>
      </c>
      <c r="H125" s="63"/>
      <c r="I125" s="63"/>
      <c r="J125" s="63"/>
      <c r="K125" s="64"/>
      <c r="L125" s="61"/>
      <c r="M125" s="34" t="s">
        <v>95</v>
      </c>
      <c r="N125" s="12"/>
      <c r="O125" s="12"/>
      <c r="P125" s="12"/>
      <c r="Q125" s="12"/>
      <c r="R125" s="12"/>
      <c r="S125" s="12"/>
      <c r="T125" s="12"/>
      <c r="U125" s="12"/>
      <c r="V125" s="12"/>
      <c r="W125" s="12"/>
      <c r="X125" s="12"/>
      <c r="Y125" s="12"/>
      <c r="Z125" s="12"/>
      <c r="AA125" s="12"/>
    </row>
    <row r="126" spans="1:27" ht="7.5" customHeight="1" thickBot="1">
      <c r="A126" s="12"/>
      <c r="B126" s="50"/>
      <c r="C126" s="68"/>
      <c r="D126" s="69"/>
      <c r="E126" s="80"/>
      <c r="F126" s="81"/>
      <c r="G126" s="71"/>
      <c r="H126" s="72"/>
      <c r="I126" s="72"/>
      <c r="J126" s="72"/>
      <c r="K126" s="73"/>
      <c r="L126" s="74"/>
      <c r="M126" s="34"/>
      <c r="N126" s="12"/>
      <c r="O126" s="12"/>
      <c r="P126" s="12"/>
      <c r="Q126" s="12"/>
      <c r="R126" s="12"/>
      <c r="S126" s="12"/>
      <c r="T126" s="12"/>
      <c r="U126" s="12"/>
      <c r="V126" s="12"/>
      <c r="W126" s="12"/>
      <c r="X126" s="12"/>
      <c r="Y126" s="12"/>
      <c r="Z126" s="12"/>
      <c r="AA126" s="12"/>
    </row>
    <row r="127" spans="1:27" ht="21">
      <c r="A127" s="12"/>
      <c r="B127" s="50"/>
      <c r="C127" s="236" t="s">
        <v>98</v>
      </c>
      <c r="D127" s="75" t="s">
        <v>16</v>
      </c>
      <c r="E127" s="259" t="s">
        <v>17</v>
      </c>
      <c r="F127" s="260"/>
      <c r="G127" s="76" t="s">
        <v>16</v>
      </c>
      <c r="H127" s="77"/>
      <c r="I127" s="77"/>
      <c r="J127" s="77"/>
      <c r="K127" s="56"/>
      <c r="L127" s="78"/>
      <c r="M127" s="34" t="s">
        <v>99</v>
      </c>
      <c r="N127" s="12"/>
      <c r="O127" s="12"/>
      <c r="P127" s="12"/>
      <c r="Q127" s="12"/>
      <c r="R127" s="12"/>
      <c r="S127" s="12"/>
      <c r="T127" s="12"/>
      <c r="U127" s="12"/>
      <c r="V127" s="12"/>
      <c r="W127" s="12"/>
      <c r="X127" s="12"/>
      <c r="Y127" s="12"/>
      <c r="Z127" s="12"/>
      <c r="AA127" s="12"/>
    </row>
    <row r="128" spans="1:27" ht="26.25" customHeight="1">
      <c r="A128" s="12"/>
      <c r="B128" s="50"/>
      <c r="C128" s="237"/>
      <c r="D128" s="240" t="s">
        <v>38</v>
      </c>
      <c r="E128" s="250" t="s">
        <v>100</v>
      </c>
      <c r="F128" s="250"/>
      <c r="G128" s="62" t="s">
        <v>17</v>
      </c>
      <c r="H128" s="63"/>
      <c r="I128" s="63"/>
      <c r="J128" s="63"/>
      <c r="K128" s="64"/>
      <c r="L128" s="61"/>
      <c r="M128" s="34" t="s">
        <v>22</v>
      </c>
      <c r="N128" s="12"/>
      <c r="O128" s="12"/>
      <c r="P128" s="12"/>
      <c r="Q128" s="12"/>
      <c r="R128" s="12"/>
      <c r="S128" s="12"/>
      <c r="T128" s="12"/>
      <c r="U128" s="12"/>
      <c r="V128" s="12"/>
      <c r="W128" s="12"/>
      <c r="X128" s="12"/>
      <c r="Y128" s="12"/>
      <c r="Z128" s="12"/>
      <c r="AA128" s="12"/>
    </row>
    <row r="129" spans="1:27" ht="21" customHeight="1">
      <c r="A129" s="12"/>
      <c r="B129" s="50"/>
      <c r="C129" s="237"/>
      <c r="D129" s="240"/>
      <c r="E129" s="250" t="s">
        <v>101</v>
      </c>
      <c r="F129" s="250"/>
      <c r="G129" s="62" t="s">
        <v>102</v>
      </c>
      <c r="H129" s="63"/>
      <c r="I129" s="63"/>
      <c r="J129" s="63"/>
      <c r="K129" s="64"/>
      <c r="L129" s="61"/>
      <c r="M129" s="34" t="s">
        <v>103</v>
      </c>
      <c r="N129" s="12"/>
      <c r="O129" s="12"/>
      <c r="P129" s="12"/>
      <c r="Q129" s="12"/>
      <c r="R129" s="12"/>
      <c r="S129" s="12"/>
      <c r="T129" s="12"/>
      <c r="U129" s="12"/>
      <c r="V129" s="12"/>
      <c r="W129" s="12"/>
      <c r="X129" s="12"/>
      <c r="Y129" s="12"/>
      <c r="Z129" s="12"/>
      <c r="AA129" s="12"/>
    </row>
    <row r="130" spans="1:27" ht="21">
      <c r="A130" s="12"/>
      <c r="B130" s="50"/>
      <c r="C130" s="237"/>
      <c r="D130" s="240"/>
      <c r="E130" s="250"/>
      <c r="F130" s="250"/>
      <c r="G130" s="62" t="s">
        <v>104</v>
      </c>
      <c r="H130" s="63"/>
      <c r="I130" s="63"/>
      <c r="J130" s="63"/>
      <c r="K130" s="64"/>
      <c r="L130" s="61"/>
      <c r="M130" s="34" t="s">
        <v>105</v>
      </c>
      <c r="N130" s="12"/>
      <c r="O130" s="12"/>
      <c r="P130" s="12"/>
      <c r="Q130" s="12"/>
      <c r="R130" s="12"/>
      <c r="S130" s="12"/>
      <c r="T130" s="12"/>
      <c r="U130" s="12"/>
      <c r="V130" s="12"/>
      <c r="W130" s="12"/>
      <c r="X130" s="12"/>
      <c r="Y130" s="12"/>
      <c r="Z130" s="12"/>
      <c r="AA130" s="12"/>
    </row>
    <row r="131" spans="1:27" ht="21" customHeight="1">
      <c r="A131" s="12"/>
      <c r="B131" s="50"/>
      <c r="C131" s="237"/>
      <c r="D131" s="240"/>
      <c r="E131" s="250" t="s">
        <v>106</v>
      </c>
      <c r="F131" s="250"/>
      <c r="G131" s="62" t="s">
        <v>79</v>
      </c>
      <c r="H131" s="63"/>
      <c r="I131" s="63"/>
      <c r="J131" s="63"/>
      <c r="K131" s="64"/>
      <c r="L131" s="61"/>
      <c r="M131" s="34" t="s">
        <v>107</v>
      </c>
      <c r="N131" s="12"/>
      <c r="O131" s="12"/>
      <c r="P131" s="12"/>
      <c r="Q131" s="12"/>
      <c r="R131" s="12"/>
      <c r="S131" s="12"/>
      <c r="T131" s="12"/>
      <c r="U131" s="12"/>
      <c r="V131" s="12"/>
      <c r="W131" s="12"/>
      <c r="X131" s="12"/>
      <c r="Y131" s="12"/>
      <c r="Z131" s="12"/>
      <c r="AA131" s="12"/>
    </row>
    <row r="132" spans="1:27" ht="21">
      <c r="A132" s="12"/>
      <c r="B132" s="50"/>
      <c r="C132" s="237"/>
      <c r="D132" s="240"/>
      <c r="E132" s="250"/>
      <c r="F132" s="250"/>
      <c r="G132" s="62" t="s">
        <v>81</v>
      </c>
      <c r="H132" s="63"/>
      <c r="I132" s="63"/>
      <c r="J132" s="63"/>
      <c r="K132" s="64"/>
      <c r="L132" s="61"/>
      <c r="M132" s="34" t="s">
        <v>107</v>
      </c>
      <c r="N132" s="12"/>
      <c r="O132" s="12"/>
      <c r="P132" s="12"/>
      <c r="Q132" s="12"/>
      <c r="R132" s="12"/>
      <c r="S132" s="12"/>
      <c r="T132" s="12"/>
      <c r="U132" s="12"/>
      <c r="V132" s="12"/>
      <c r="W132" s="12"/>
      <c r="X132" s="12"/>
      <c r="Y132" s="12"/>
      <c r="Z132" s="12"/>
      <c r="AA132" s="12"/>
    </row>
    <row r="133" spans="1:27" ht="21">
      <c r="A133" s="12"/>
      <c r="B133" s="50"/>
      <c r="C133" s="237"/>
      <c r="D133" s="240" t="s">
        <v>30</v>
      </c>
      <c r="E133" s="250" t="s">
        <v>100</v>
      </c>
      <c r="F133" s="250"/>
      <c r="G133" s="62" t="s">
        <v>17</v>
      </c>
      <c r="H133" s="63"/>
      <c r="I133" s="63"/>
      <c r="J133" s="63"/>
      <c r="K133" s="64"/>
      <c r="L133" s="61"/>
      <c r="M133" s="34" t="s">
        <v>22</v>
      </c>
      <c r="N133" s="12"/>
      <c r="O133" s="12"/>
      <c r="P133" s="12"/>
      <c r="Q133" s="12"/>
      <c r="R133" s="12"/>
      <c r="S133" s="12"/>
      <c r="T133" s="12"/>
      <c r="U133" s="12"/>
      <c r="V133" s="12"/>
      <c r="W133" s="12"/>
      <c r="X133" s="12"/>
      <c r="Y133" s="12"/>
      <c r="Z133" s="12"/>
      <c r="AA133" s="12"/>
    </row>
    <row r="134" spans="1:27" ht="21">
      <c r="A134" s="12"/>
      <c r="B134" s="50"/>
      <c r="C134" s="237"/>
      <c r="D134" s="240"/>
      <c r="E134" s="250" t="s">
        <v>101</v>
      </c>
      <c r="F134" s="250"/>
      <c r="G134" s="62" t="s">
        <v>102</v>
      </c>
      <c r="H134" s="63"/>
      <c r="I134" s="63"/>
      <c r="J134" s="63"/>
      <c r="K134" s="64"/>
      <c r="L134" s="61"/>
      <c r="M134" s="34" t="s">
        <v>103</v>
      </c>
      <c r="N134" s="12"/>
      <c r="O134" s="12"/>
      <c r="P134" s="12"/>
      <c r="Q134" s="12"/>
      <c r="R134" s="12"/>
      <c r="S134" s="12"/>
      <c r="T134" s="12"/>
      <c r="U134" s="12"/>
      <c r="V134" s="12"/>
      <c r="W134" s="12"/>
      <c r="X134" s="12"/>
      <c r="Y134" s="12"/>
      <c r="Z134" s="12"/>
      <c r="AA134" s="12"/>
    </row>
    <row r="135" spans="1:27" ht="21">
      <c r="A135" s="12"/>
      <c r="B135" s="50"/>
      <c r="C135" s="237"/>
      <c r="D135" s="240"/>
      <c r="E135" s="250"/>
      <c r="F135" s="250"/>
      <c r="G135" s="62" t="s">
        <v>104</v>
      </c>
      <c r="H135" s="63"/>
      <c r="I135" s="63"/>
      <c r="J135" s="63"/>
      <c r="K135" s="64"/>
      <c r="L135" s="61"/>
      <c r="M135" s="34" t="s">
        <v>105</v>
      </c>
      <c r="N135" s="12"/>
      <c r="O135" s="12"/>
      <c r="P135" s="12"/>
      <c r="Q135" s="12"/>
      <c r="R135" s="12"/>
      <c r="S135" s="12"/>
      <c r="T135" s="12"/>
      <c r="U135" s="12"/>
      <c r="V135" s="12"/>
      <c r="W135" s="12"/>
      <c r="X135" s="12"/>
      <c r="Y135" s="12"/>
      <c r="Z135" s="12"/>
      <c r="AA135" s="12"/>
    </row>
    <row r="136" spans="1:27" ht="21">
      <c r="A136" s="12"/>
      <c r="B136" s="50"/>
      <c r="C136" s="237"/>
      <c r="D136" s="240"/>
      <c r="E136" s="250" t="s">
        <v>106</v>
      </c>
      <c r="F136" s="250"/>
      <c r="G136" s="62" t="s">
        <v>79</v>
      </c>
      <c r="H136" s="63"/>
      <c r="I136" s="63"/>
      <c r="J136" s="63"/>
      <c r="K136" s="64"/>
      <c r="L136" s="61"/>
      <c r="M136" s="34" t="s">
        <v>107</v>
      </c>
      <c r="N136" s="12"/>
      <c r="O136" s="12"/>
      <c r="P136" s="12"/>
      <c r="Q136" s="12"/>
      <c r="R136" s="12"/>
      <c r="S136" s="12"/>
      <c r="T136" s="12"/>
      <c r="U136" s="12"/>
      <c r="V136" s="12"/>
      <c r="W136" s="12"/>
      <c r="X136" s="12"/>
      <c r="Y136" s="12"/>
      <c r="Z136" s="12"/>
      <c r="AA136" s="12"/>
    </row>
    <row r="137" spans="1:27" ht="21.5" thickBot="1">
      <c r="A137" s="12"/>
      <c r="B137" s="50"/>
      <c r="C137" s="258"/>
      <c r="D137" s="261"/>
      <c r="E137" s="262"/>
      <c r="F137" s="262"/>
      <c r="G137" s="82" t="s">
        <v>81</v>
      </c>
      <c r="H137" s="83"/>
      <c r="I137" s="83"/>
      <c r="J137" s="83"/>
      <c r="K137" s="84"/>
      <c r="L137" s="85"/>
      <c r="M137" s="34" t="s">
        <v>107</v>
      </c>
      <c r="N137" s="12"/>
      <c r="O137" s="12"/>
      <c r="P137" s="12"/>
      <c r="Q137" s="12"/>
      <c r="R137" s="12"/>
      <c r="S137" s="12"/>
      <c r="T137" s="12"/>
      <c r="U137" s="12"/>
      <c r="V137" s="12"/>
      <c r="W137" s="12"/>
      <c r="X137" s="12"/>
      <c r="Y137" s="12"/>
      <c r="Z137" s="12"/>
      <c r="AA137" s="12"/>
    </row>
    <row r="138" spans="1:27" ht="21">
      <c r="A138" s="12"/>
      <c r="B138" s="50"/>
      <c r="C138" s="51"/>
      <c r="D138" s="49"/>
      <c r="E138" s="33"/>
      <c r="F138" s="33"/>
      <c r="G138" s="33"/>
      <c r="H138" s="33"/>
      <c r="I138" s="12"/>
      <c r="J138" s="12"/>
      <c r="K138" s="12"/>
      <c r="L138" s="12"/>
      <c r="M138" s="34"/>
      <c r="N138" s="12"/>
      <c r="O138" s="12"/>
      <c r="P138" s="12"/>
      <c r="Q138" s="12"/>
      <c r="R138" s="12"/>
      <c r="S138" s="12"/>
      <c r="T138" s="12"/>
      <c r="U138" s="12"/>
      <c r="V138" s="12"/>
      <c r="W138" s="12"/>
      <c r="X138" s="12"/>
      <c r="Y138" s="12"/>
      <c r="Z138" s="12"/>
      <c r="AA138" s="12"/>
    </row>
    <row r="139" spans="1:27" ht="12.75" customHeight="1">
      <c r="B139" s="23"/>
      <c r="M139" s="25"/>
    </row>
    <row r="140" spans="1:27" ht="12.75" customHeight="1" thickBot="1">
      <c r="B140" s="86"/>
      <c r="C140" s="83"/>
      <c r="D140" s="83"/>
      <c r="E140" s="83"/>
      <c r="F140" s="83"/>
      <c r="G140" s="83"/>
      <c r="H140" s="83"/>
      <c r="I140" s="83"/>
      <c r="J140" s="83"/>
      <c r="K140" s="83"/>
      <c r="L140" s="83"/>
      <c r="M140" s="87"/>
    </row>
    <row r="141" spans="1:27" ht="12.75" customHeight="1"/>
    <row r="142" spans="1:27" ht="12.75" customHeight="1"/>
    <row r="143" spans="1:27" ht="12.75" customHeight="1"/>
    <row r="144" spans="1:27"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row r="1016" ht="12.75" customHeight="1"/>
    <row r="1017" ht="12.75" customHeight="1"/>
    <row r="1018" ht="12.75" customHeight="1"/>
    <row r="1019" ht="12.75" customHeight="1"/>
    <row r="1020" ht="12.75" customHeight="1"/>
    <row r="1021" ht="12.75" customHeight="1"/>
    <row r="1022" ht="12.75" customHeight="1"/>
    <row r="1023" ht="12.75" customHeight="1"/>
    <row r="1024" ht="12.75" customHeight="1"/>
    <row r="1025" ht="12.75" customHeight="1"/>
    <row r="1026" ht="12.75" customHeight="1"/>
    <row r="1027" ht="12.75" customHeight="1"/>
    <row r="1028" ht="12.75" customHeight="1"/>
    <row r="1029" ht="12.75" customHeight="1"/>
    <row r="1030" ht="12.75" customHeight="1"/>
    <row r="1031" ht="12.75" customHeight="1"/>
    <row r="1032" ht="12.75" customHeight="1"/>
    <row r="1033" ht="12.75" customHeight="1"/>
    <row r="1034" ht="12.75" customHeight="1"/>
    <row r="1035" ht="12.75" customHeight="1"/>
    <row r="1036" ht="12.75" customHeight="1"/>
    <row r="1037" ht="12.75" customHeight="1"/>
    <row r="1038" ht="12.75" customHeight="1"/>
    <row r="1039" ht="12.75" customHeight="1"/>
    <row r="1040" ht="12.75" customHeight="1"/>
    <row r="1041" ht="12.75" customHeight="1"/>
    <row r="1042" ht="12.75" customHeight="1"/>
    <row r="1043" ht="12.75" customHeight="1"/>
    <row r="1044" ht="12.75" customHeight="1"/>
    <row r="1045" ht="12.75" customHeight="1"/>
    <row r="1046" ht="12.75" customHeight="1"/>
    <row r="1047" ht="12.75" customHeight="1"/>
  </sheetData>
  <sheetProtection selectLockedCells="1" selectUnlockedCells="1"/>
  <protectedRanges>
    <protectedRange algorithmName="SHA-512" hashValue="nyrbjHaPs7Qvvobt/vRV2G3r58CKGkB42QQ9771mnZjp/Ts0V0YFGcQ6SI3RvG6ysWFzfIa/htHPOHvCfTCcQg==" saltValue="hrr9+0qrjfjFntaJY4Nahg==" spinCount="100000" sqref="B1:K1048576 M1:M1048576 L1:L69 L71:L1048576" name="Range1"/>
  </protectedRanges>
  <mergeCells count="63">
    <mergeCell ref="E121:F121"/>
    <mergeCell ref="E122:F125"/>
    <mergeCell ref="C127:C137"/>
    <mergeCell ref="E127:F127"/>
    <mergeCell ref="D128:D132"/>
    <mergeCell ref="E128:F128"/>
    <mergeCell ref="E129:F130"/>
    <mergeCell ref="E131:F132"/>
    <mergeCell ref="D133:D137"/>
    <mergeCell ref="E133:F133"/>
    <mergeCell ref="E134:F135"/>
    <mergeCell ref="E136:F137"/>
    <mergeCell ref="E106:F107"/>
    <mergeCell ref="D108:D111"/>
    <mergeCell ref="E108:F108"/>
    <mergeCell ref="E109:F111"/>
    <mergeCell ref="C113:C125"/>
    <mergeCell ref="E113:F113"/>
    <mergeCell ref="D114:D120"/>
    <mergeCell ref="E114:F114"/>
    <mergeCell ref="E115:F118"/>
    <mergeCell ref="E119:F120"/>
    <mergeCell ref="C101:C111"/>
    <mergeCell ref="E101:F101"/>
    <mergeCell ref="D102:D107"/>
    <mergeCell ref="E102:F102"/>
    <mergeCell ref="E103:F105"/>
    <mergeCell ref="D121:D125"/>
    <mergeCell ref="C85:C99"/>
    <mergeCell ref="E85:F85"/>
    <mergeCell ref="D86:D91"/>
    <mergeCell ref="E86:F86"/>
    <mergeCell ref="E87:F89"/>
    <mergeCell ref="E90:F91"/>
    <mergeCell ref="D92:D95"/>
    <mergeCell ref="E92:F92"/>
    <mergeCell ref="E93:F95"/>
    <mergeCell ref="D96:D99"/>
    <mergeCell ref="E96:F96"/>
    <mergeCell ref="E97:F99"/>
    <mergeCell ref="C66:C83"/>
    <mergeCell ref="E66:F66"/>
    <mergeCell ref="D67:D73"/>
    <mergeCell ref="E67:F67"/>
    <mergeCell ref="E68:F71"/>
    <mergeCell ref="E72:F73"/>
    <mergeCell ref="D74:D78"/>
    <mergeCell ref="E74:F74"/>
    <mergeCell ref="E75:F78"/>
    <mergeCell ref="D79:D83"/>
    <mergeCell ref="E79:F79"/>
    <mergeCell ref="E80:F83"/>
    <mergeCell ref="B1:M1"/>
    <mergeCell ref="E54:F54"/>
    <mergeCell ref="G54:K54"/>
    <mergeCell ref="C55:C64"/>
    <mergeCell ref="E55:F55"/>
    <mergeCell ref="D56:D60"/>
    <mergeCell ref="E56:F58"/>
    <mergeCell ref="E59:F60"/>
    <mergeCell ref="D61:D64"/>
    <mergeCell ref="E61:F62"/>
    <mergeCell ref="E63:F64"/>
  </mergeCells>
  <phoneticPr fontId="1"/>
  <conditionalFormatting sqref="G55:L55">
    <cfRule type="expression" dxfId="134" priority="102">
      <formula>$L$55&lt;&gt;""</formula>
    </cfRule>
    <cfRule type="expression" dxfId="133" priority="103">
      <formula>$L$55&lt;&gt;""</formula>
    </cfRule>
  </conditionalFormatting>
  <conditionalFormatting sqref="G56:K56">
    <cfRule type="expression" dxfId="132" priority="101">
      <formula>$L$56&lt;&gt;""</formula>
    </cfRule>
  </conditionalFormatting>
  <conditionalFormatting sqref="G59:K59">
    <cfRule type="expression" dxfId="131" priority="100">
      <formula>$L$59&lt;&gt;""</formula>
    </cfRule>
  </conditionalFormatting>
  <conditionalFormatting sqref="G60:L60">
    <cfRule type="expression" dxfId="130" priority="99">
      <formula>$L$60&lt;&gt;""</formula>
    </cfRule>
  </conditionalFormatting>
  <conditionalFormatting sqref="G61:K61">
    <cfRule type="expression" dxfId="129" priority="88">
      <formula>$L$61&lt;&gt;""</formula>
    </cfRule>
    <cfRule type="expression" priority="98">
      <formula>$L$61&lt;&gt;""</formula>
    </cfRule>
  </conditionalFormatting>
  <conditionalFormatting sqref="G63:K63">
    <cfRule type="expression" dxfId="128" priority="96">
      <formula>$L$63&lt;&gt;""</formula>
    </cfRule>
  </conditionalFormatting>
  <conditionalFormatting sqref="G64:L65">
    <cfRule type="expression" dxfId="127" priority="95">
      <formula>$L$64&lt;&gt;""</formula>
    </cfRule>
  </conditionalFormatting>
  <conditionalFormatting sqref="G62:K62 L66">
    <cfRule type="expression" dxfId="126" priority="94">
      <formula>$L$66&lt;&gt;""</formula>
    </cfRule>
  </conditionalFormatting>
  <conditionalFormatting sqref="G67:K67">
    <cfRule type="expression" dxfId="125" priority="93">
      <formula>$L$67&lt;&gt;""</formula>
    </cfRule>
  </conditionalFormatting>
  <conditionalFormatting sqref="G68:K68">
    <cfRule type="expression" dxfId="124" priority="92">
      <formula>$L$68&lt;&gt;""</formula>
    </cfRule>
  </conditionalFormatting>
  <conditionalFormatting sqref="G69:L69">
    <cfRule type="expression" dxfId="123" priority="91">
      <formula>$L$69&lt;&gt;""</formula>
    </cfRule>
  </conditionalFormatting>
  <conditionalFormatting sqref="G71:L71">
    <cfRule type="expression" dxfId="122" priority="89">
      <formula>$L$71&lt;&gt;""</formula>
    </cfRule>
  </conditionalFormatting>
  <conditionalFormatting sqref="G70:K70 G77:K77 G82:K82">
    <cfRule type="expression" dxfId="121" priority="87">
      <formula>$L$72&lt;&gt;""</formula>
    </cfRule>
  </conditionalFormatting>
  <conditionalFormatting sqref="G73:L73 L74:L83">
    <cfRule type="expression" dxfId="120" priority="86">
      <formula>$L$73&lt;&gt;""</formula>
    </cfRule>
  </conditionalFormatting>
  <conditionalFormatting sqref="G85:L85">
    <cfRule type="expression" dxfId="119" priority="85">
      <formula>$L$85&lt;&gt;""</formula>
    </cfRule>
  </conditionalFormatting>
  <conditionalFormatting sqref="G86:L86">
    <cfRule type="expression" dxfId="118" priority="84">
      <formula>$L$86&lt;&gt;""</formula>
    </cfRule>
  </conditionalFormatting>
  <conditionalFormatting sqref="G87:L87">
    <cfRule type="expression" dxfId="117" priority="83">
      <formula>$L$87&lt;&gt;""</formula>
    </cfRule>
  </conditionalFormatting>
  <conditionalFormatting sqref="G88:L88">
    <cfRule type="expression" dxfId="116" priority="82">
      <formula>$L$88&lt;&gt;""</formula>
    </cfRule>
  </conditionalFormatting>
  <conditionalFormatting sqref="G89:L89">
    <cfRule type="expression" dxfId="115" priority="81">
      <formula>$L$89&lt;&gt;""</formula>
    </cfRule>
  </conditionalFormatting>
  <conditionalFormatting sqref="G90:L90">
    <cfRule type="expression" dxfId="114" priority="80">
      <formula>$L$90&lt;&gt;""</formula>
    </cfRule>
  </conditionalFormatting>
  <conditionalFormatting sqref="G91:L91 J92:L99">
    <cfRule type="expression" dxfId="113" priority="79">
      <formula>$L$91&lt;&gt;""</formula>
    </cfRule>
  </conditionalFormatting>
  <conditionalFormatting sqref="G101:L101">
    <cfRule type="expression" dxfId="112" priority="78">
      <formula>$L$101&lt;&gt;""</formula>
    </cfRule>
  </conditionalFormatting>
  <conditionalFormatting sqref="G102:L102">
    <cfRule type="expression" dxfId="111" priority="77">
      <formula>$L$102&lt;&gt;""</formula>
    </cfRule>
  </conditionalFormatting>
  <conditionalFormatting sqref="G103:L103">
    <cfRule type="expression" dxfId="110" priority="76">
      <formula>$L$103&lt;&gt;""</formula>
    </cfRule>
  </conditionalFormatting>
  <conditionalFormatting sqref="G104:L104">
    <cfRule type="expression" dxfId="109" priority="75">
      <formula>$L$104&lt;&gt;""</formula>
    </cfRule>
  </conditionalFormatting>
  <conditionalFormatting sqref="G105:L105">
    <cfRule type="expression" dxfId="108" priority="74">
      <formula>$L$105&lt;&gt;""</formula>
    </cfRule>
  </conditionalFormatting>
  <conditionalFormatting sqref="G106:L106">
    <cfRule type="expression" dxfId="107" priority="73">
      <formula>$L$106&lt;&gt;""</formula>
    </cfRule>
  </conditionalFormatting>
  <conditionalFormatting sqref="H107:L107">
    <cfRule type="expression" dxfId="106" priority="72">
      <formula>$L$107&lt;&gt;""</formula>
    </cfRule>
  </conditionalFormatting>
  <conditionalFormatting sqref="G113:L113">
    <cfRule type="expression" dxfId="105" priority="71">
      <formula>$L$113&lt;&gt;""</formula>
    </cfRule>
  </conditionalFormatting>
  <conditionalFormatting sqref="G114:L114">
    <cfRule type="expression" dxfId="104" priority="70">
      <formula>$L$114&lt;&gt;""</formula>
    </cfRule>
  </conditionalFormatting>
  <conditionalFormatting sqref="G115:L115">
    <cfRule type="expression" dxfId="103" priority="69">
      <formula>$L$115&lt;&gt;""</formula>
    </cfRule>
  </conditionalFormatting>
  <conditionalFormatting sqref="G116:L116">
    <cfRule type="expression" dxfId="102" priority="68">
      <formula>$L$116&lt;&gt;""</formula>
    </cfRule>
  </conditionalFormatting>
  <conditionalFormatting sqref="G117:L117">
    <cfRule type="expression" dxfId="101" priority="67">
      <formula>$L$117&lt;&gt;""</formula>
    </cfRule>
  </conditionalFormatting>
  <conditionalFormatting sqref="G118:L118">
    <cfRule type="expression" dxfId="100" priority="66">
      <formula>$L$118&lt;&gt;""</formula>
    </cfRule>
  </conditionalFormatting>
  <conditionalFormatting sqref="H119:L119">
    <cfRule type="expression" dxfId="99" priority="65">
      <formula>$L$119&lt;&gt;""</formula>
    </cfRule>
  </conditionalFormatting>
  <conditionalFormatting sqref="H120:L120">
    <cfRule type="expression" dxfId="98" priority="64">
      <formula>$L$120&lt;&gt;""</formula>
    </cfRule>
  </conditionalFormatting>
  <conditionalFormatting sqref="G127:L127">
    <cfRule type="expression" dxfId="97" priority="63">
      <formula>$L$127&lt;&gt;""</formula>
    </cfRule>
  </conditionalFormatting>
  <conditionalFormatting sqref="G128:L128">
    <cfRule type="expression" dxfId="96" priority="62">
      <formula>$L$128&lt;&gt;""</formula>
    </cfRule>
  </conditionalFormatting>
  <conditionalFormatting sqref="G129:L129">
    <cfRule type="expression" dxfId="95" priority="61">
      <formula>$L$129&lt;&gt;""</formula>
    </cfRule>
  </conditionalFormatting>
  <conditionalFormatting sqref="G130:L130">
    <cfRule type="expression" dxfId="94" priority="60">
      <formula>$L$130&lt;&gt;""</formula>
    </cfRule>
  </conditionalFormatting>
  <conditionalFormatting sqref="H131:L131">
    <cfRule type="expression" dxfId="93" priority="59">
      <formula>$L$131&lt;&gt;""</formula>
    </cfRule>
  </conditionalFormatting>
  <conditionalFormatting sqref="H132:L132">
    <cfRule type="expression" dxfId="92" priority="58">
      <formula>$L$132&lt;&gt;""</formula>
    </cfRule>
  </conditionalFormatting>
  <conditionalFormatting sqref="G57:K57">
    <cfRule type="expression" dxfId="91" priority="57">
      <formula>$L$57&lt;&gt;""</formula>
    </cfRule>
  </conditionalFormatting>
  <conditionalFormatting sqref="G58:K58">
    <cfRule type="expression" dxfId="90" priority="56">
      <formula>$L$58&lt;&gt;""</formula>
    </cfRule>
  </conditionalFormatting>
  <conditionalFormatting sqref="C9:H9">
    <cfRule type="expression" priority="55">
      <formula>OR($L$56="◯",$L$56="◯")</formula>
    </cfRule>
  </conditionalFormatting>
  <conditionalFormatting sqref="G100:L100 G84:L84">
    <cfRule type="expression" dxfId="89" priority="54">
      <formula>#REF!&lt;&gt;""</formula>
    </cfRule>
  </conditionalFormatting>
  <conditionalFormatting sqref="G112:L112">
    <cfRule type="expression" dxfId="88" priority="53">
      <formula>#REF!&lt;&gt;""</formula>
    </cfRule>
  </conditionalFormatting>
  <conditionalFormatting sqref="G74:K74">
    <cfRule type="expression" dxfId="87" priority="52">
      <formula>$L$67&lt;&gt;""</formula>
    </cfRule>
  </conditionalFormatting>
  <conditionalFormatting sqref="G75:K75">
    <cfRule type="expression" dxfId="86" priority="51">
      <formula>$L$68&lt;&gt;""</formula>
    </cfRule>
  </conditionalFormatting>
  <conditionalFormatting sqref="G76:K76">
    <cfRule type="expression" dxfId="85" priority="50">
      <formula>$L$69&lt;&gt;""</formula>
    </cfRule>
  </conditionalFormatting>
  <conditionalFormatting sqref="G78:K78">
    <cfRule type="expression" dxfId="84" priority="48">
      <formula>$L$71&lt;&gt;""</formula>
    </cfRule>
  </conditionalFormatting>
  <conditionalFormatting sqref="G79:K79">
    <cfRule type="expression" dxfId="83" priority="47">
      <formula>$L$67&lt;&gt;""</formula>
    </cfRule>
  </conditionalFormatting>
  <conditionalFormatting sqref="G80:K80">
    <cfRule type="expression" dxfId="82" priority="46">
      <formula>$L$68&lt;&gt;""</formula>
    </cfRule>
  </conditionalFormatting>
  <conditionalFormatting sqref="G81:K81">
    <cfRule type="expression" dxfId="81" priority="45">
      <formula>$L$69&lt;&gt;""</formula>
    </cfRule>
  </conditionalFormatting>
  <conditionalFormatting sqref="G83:K83">
    <cfRule type="expression" dxfId="80" priority="43">
      <formula>$L$71&lt;&gt;""</formula>
    </cfRule>
  </conditionalFormatting>
  <conditionalFormatting sqref="C19:H19">
    <cfRule type="expression" priority="104">
      <formula>OR($L$67="○",$L$68="○",#REF!="○",#REF!="○",#REF!="○")</formula>
    </cfRule>
  </conditionalFormatting>
  <conditionalFormatting sqref="G92:I92">
    <cfRule type="expression" dxfId="79" priority="42">
      <formula>$L$86&lt;&gt;""</formula>
    </cfRule>
  </conditionalFormatting>
  <conditionalFormatting sqref="G93:I93">
    <cfRule type="expression" dxfId="78" priority="41">
      <formula>$L$87&lt;&gt;""</formula>
    </cfRule>
  </conditionalFormatting>
  <conditionalFormatting sqref="G94:I94">
    <cfRule type="expression" dxfId="77" priority="40">
      <formula>$L$88&lt;&gt;""</formula>
    </cfRule>
  </conditionalFormatting>
  <conditionalFormatting sqref="G95:I95 H96:I99">
    <cfRule type="expression" dxfId="76" priority="39">
      <formula>$L$89&lt;&gt;""</formula>
    </cfRule>
  </conditionalFormatting>
  <conditionalFormatting sqref="G96">
    <cfRule type="expression" dxfId="75" priority="38">
      <formula>$L$86&lt;&gt;""</formula>
    </cfRule>
  </conditionalFormatting>
  <conditionalFormatting sqref="G97">
    <cfRule type="expression" dxfId="74" priority="37">
      <formula>$L$87&lt;&gt;""</formula>
    </cfRule>
  </conditionalFormatting>
  <conditionalFormatting sqref="G98">
    <cfRule type="expression" dxfId="73" priority="36">
      <formula>$L$88&lt;&gt;""</formula>
    </cfRule>
  </conditionalFormatting>
  <conditionalFormatting sqref="G99">
    <cfRule type="expression" dxfId="72" priority="35">
      <formula>$L$89&lt;&gt;""</formula>
    </cfRule>
  </conditionalFormatting>
  <conditionalFormatting sqref="J108:L111">
    <cfRule type="expression" dxfId="71" priority="34">
      <formula>$L$91&lt;&gt;""</formula>
    </cfRule>
  </conditionalFormatting>
  <conditionalFormatting sqref="G108:I108">
    <cfRule type="expression" dxfId="70" priority="33">
      <formula>$L$86&lt;&gt;""</formula>
    </cfRule>
  </conditionalFormatting>
  <conditionalFormatting sqref="G109:I109">
    <cfRule type="expression" dxfId="69" priority="32">
      <formula>$L$87&lt;&gt;""</formula>
    </cfRule>
  </conditionalFormatting>
  <conditionalFormatting sqref="G110:I110">
    <cfRule type="expression" dxfId="68" priority="31">
      <formula>$L$88&lt;&gt;""</formula>
    </cfRule>
  </conditionalFormatting>
  <conditionalFormatting sqref="G111:I111">
    <cfRule type="expression" dxfId="67" priority="30">
      <formula>$L$89&lt;&gt;""</formula>
    </cfRule>
  </conditionalFormatting>
  <conditionalFormatting sqref="G107">
    <cfRule type="expression" dxfId="66" priority="29">
      <formula>$L$106&lt;&gt;""</formula>
    </cfRule>
  </conditionalFormatting>
  <conditionalFormatting sqref="G121:L121">
    <cfRule type="expression" dxfId="65" priority="28">
      <formula>$L$114&lt;&gt;""</formula>
    </cfRule>
  </conditionalFormatting>
  <conditionalFormatting sqref="G122:L122">
    <cfRule type="expression" dxfId="64" priority="27">
      <formula>$L$115&lt;&gt;""</formula>
    </cfRule>
  </conditionalFormatting>
  <conditionalFormatting sqref="G123:L123">
    <cfRule type="expression" dxfId="63" priority="26">
      <formula>$L$116&lt;&gt;""</formula>
    </cfRule>
  </conditionalFormatting>
  <conditionalFormatting sqref="G124:L124">
    <cfRule type="expression" dxfId="62" priority="25">
      <formula>$L$117&lt;&gt;""</formula>
    </cfRule>
  </conditionalFormatting>
  <conditionalFormatting sqref="G125:L125">
    <cfRule type="expression" dxfId="61" priority="24">
      <formula>$L$118&lt;&gt;""</formula>
    </cfRule>
  </conditionalFormatting>
  <conditionalFormatting sqref="G126:L126">
    <cfRule type="expression" dxfId="60" priority="105">
      <formula>#REF!&lt;&gt;""</formula>
    </cfRule>
  </conditionalFormatting>
  <conditionalFormatting sqref="G133:L133">
    <cfRule type="expression" dxfId="59" priority="23">
      <formula>$L$128&lt;&gt;""</formula>
    </cfRule>
  </conditionalFormatting>
  <conditionalFormatting sqref="G134:L134">
    <cfRule type="expression" dxfId="58" priority="22">
      <formula>$L$129&lt;&gt;""</formula>
    </cfRule>
  </conditionalFormatting>
  <conditionalFormatting sqref="G135:L135">
    <cfRule type="expression" dxfId="57" priority="21">
      <formula>$L$130&lt;&gt;""</formula>
    </cfRule>
  </conditionalFormatting>
  <conditionalFormatting sqref="H136:L136">
    <cfRule type="expression" dxfId="56" priority="20">
      <formula>$L$131&lt;&gt;""</formula>
    </cfRule>
  </conditionalFormatting>
  <conditionalFormatting sqref="H137:L137">
    <cfRule type="expression" dxfId="55" priority="19">
      <formula>$L$132&lt;&gt;""</formula>
    </cfRule>
  </conditionalFormatting>
  <conditionalFormatting sqref="G119">
    <cfRule type="expression" dxfId="54" priority="18">
      <formula>$L$106&lt;&gt;""</formula>
    </cfRule>
  </conditionalFormatting>
  <conditionalFormatting sqref="G120">
    <cfRule type="expression" dxfId="53" priority="17">
      <formula>$L$106&lt;&gt;""</formula>
    </cfRule>
  </conditionalFormatting>
  <conditionalFormatting sqref="G131">
    <cfRule type="expression" dxfId="52" priority="16">
      <formula>$L$106&lt;&gt;""</formula>
    </cfRule>
  </conditionalFormatting>
  <conditionalFormatting sqref="G132">
    <cfRule type="expression" dxfId="51" priority="15">
      <formula>$L$106&lt;&gt;""</formula>
    </cfRule>
  </conditionalFormatting>
  <conditionalFormatting sqref="G136">
    <cfRule type="expression" dxfId="50" priority="14">
      <formula>$L$106&lt;&gt;""</formula>
    </cfRule>
  </conditionalFormatting>
  <conditionalFormatting sqref="G137">
    <cfRule type="expression" dxfId="49" priority="13">
      <formula>$L$106&lt;&gt;""</formula>
    </cfRule>
  </conditionalFormatting>
  <conditionalFormatting sqref="L56">
    <cfRule type="expression" dxfId="48" priority="11">
      <formula>$L$57&lt;&gt;""</formula>
    </cfRule>
  </conditionalFormatting>
  <conditionalFormatting sqref="G66:K66">
    <cfRule type="expression" dxfId="47" priority="108">
      <formula>#REF!&lt;&gt;""</formula>
    </cfRule>
  </conditionalFormatting>
  <conditionalFormatting sqref="L58">
    <cfRule type="expression" dxfId="46" priority="10">
      <formula>$L$57&lt;&gt;""</formula>
    </cfRule>
  </conditionalFormatting>
  <conditionalFormatting sqref="L57">
    <cfRule type="expression" dxfId="45" priority="9">
      <formula>$L$57&lt;&gt;""</formula>
    </cfRule>
  </conditionalFormatting>
  <conditionalFormatting sqref="Y54">
    <cfRule type="expression" dxfId="44" priority="8">
      <formula>$L$60&lt;&gt;""</formula>
    </cfRule>
  </conditionalFormatting>
  <conditionalFormatting sqref="L59">
    <cfRule type="expression" dxfId="43" priority="7">
      <formula>$L$57&lt;&gt;""</formula>
    </cfRule>
  </conditionalFormatting>
  <conditionalFormatting sqref="L62">
    <cfRule type="expression" dxfId="42" priority="6">
      <formula>$L$57&lt;&gt;""</formula>
    </cfRule>
  </conditionalFormatting>
  <conditionalFormatting sqref="L63">
    <cfRule type="expression" dxfId="41" priority="5">
      <formula>$L$57&lt;&gt;""</formula>
    </cfRule>
  </conditionalFormatting>
  <conditionalFormatting sqref="L61">
    <cfRule type="expression" dxfId="40" priority="4">
      <formula>$L$57&lt;&gt;""</formula>
    </cfRule>
  </conditionalFormatting>
  <conditionalFormatting sqref="L67">
    <cfRule type="expression" dxfId="39" priority="3">
      <formula>$L$66&lt;&gt;""</formula>
    </cfRule>
  </conditionalFormatting>
  <conditionalFormatting sqref="L68">
    <cfRule type="expression" dxfId="38" priority="2">
      <formula>$L$57&lt;&gt;""</formula>
    </cfRule>
  </conditionalFormatting>
  <conditionalFormatting sqref="L72">
    <cfRule type="expression" dxfId="37" priority="1">
      <formula>$L$57&lt;&gt;""</formula>
    </cfRule>
  </conditionalFormatting>
  <conditionalFormatting sqref="G72:K72">
    <cfRule type="expression" dxfId="36" priority="110">
      <formula>#REF!&lt;&gt;""</formula>
    </cfRule>
  </conditionalFormatting>
  <dataValidations count="1">
    <dataValidation type="list" allowBlank="1" showInputMessage="1" showErrorMessage="1" sqref="L55:L69 L71:L137" xr:uid="{D5E5E3AC-6E45-4F4F-BCD8-E245AB3B6DA1}">
      <formula1>"○"</formula1>
    </dataValidation>
  </dataValidations>
  <pageMargins left="0.7" right="0.7" top="0.75" bottom="0.75" header="0" footer="0"/>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0BE07-B8B7-4E07-963A-57A6C4CC0783}">
  <sheetPr codeName="Sheet2"/>
  <dimension ref="B1:I1004"/>
  <sheetViews>
    <sheetView showGridLines="0" zoomScale="80" zoomScaleNormal="80" workbookViewId="0">
      <selection activeCell="H21" sqref="H21"/>
    </sheetView>
  </sheetViews>
  <sheetFormatPr defaultColWidth="14.36328125" defaultRowHeight="15" customHeight="1"/>
  <cols>
    <col min="1" max="2" width="6.36328125" style="88" customWidth="1"/>
    <col min="3" max="3" width="32.08984375" style="88" customWidth="1"/>
    <col min="4" max="4" width="11.08984375" style="88" customWidth="1"/>
    <col min="5" max="5" width="50.36328125" style="88" customWidth="1"/>
    <col min="6" max="6" width="42.54296875" style="88" customWidth="1"/>
    <col min="7" max="7" width="36.08984375" style="88" customWidth="1"/>
    <col min="8" max="8" width="14.81640625" style="88" customWidth="1"/>
    <col min="9" max="24" width="8.81640625" style="88" customWidth="1"/>
    <col min="25" max="16384" width="14.36328125" style="88"/>
  </cols>
  <sheetData>
    <row r="1" spans="2:9" ht="22.5" customHeight="1">
      <c r="B1" s="263" t="s">
        <v>108</v>
      </c>
      <c r="C1" s="263"/>
      <c r="D1" s="263"/>
      <c r="E1" s="263"/>
      <c r="F1" s="263"/>
      <c r="G1" s="263"/>
      <c r="H1" s="263"/>
      <c r="I1" s="263"/>
    </row>
    <row r="2" spans="2:9" ht="16.5">
      <c r="B2" s="89" t="s">
        <v>2</v>
      </c>
      <c r="C2" s="90"/>
      <c r="D2" s="90"/>
      <c r="E2" s="90"/>
      <c r="F2" s="90"/>
      <c r="G2" s="90"/>
      <c r="H2" s="90"/>
      <c r="I2" s="91"/>
    </row>
    <row r="3" spans="2:9" ht="16.5">
      <c r="B3" s="92" t="s">
        <v>3</v>
      </c>
      <c r="C3" s="93"/>
      <c r="D3" s="93"/>
      <c r="E3" s="93"/>
      <c r="F3" s="93"/>
      <c r="G3" s="93"/>
      <c r="H3" s="93"/>
      <c r="I3" s="94"/>
    </row>
    <row r="4" spans="2:9" ht="16.5">
      <c r="B4" s="92" t="s">
        <v>4</v>
      </c>
      <c r="C4" s="93"/>
      <c r="D4" s="93"/>
      <c r="E4" s="93"/>
      <c r="F4" s="93"/>
      <c r="G4" s="93"/>
      <c r="H4" s="93"/>
      <c r="I4" s="94"/>
    </row>
    <row r="5" spans="2:9" ht="16.5">
      <c r="B5" s="95" t="s">
        <v>5</v>
      </c>
      <c r="C5" s="96"/>
      <c r="D5" s="96"/>
      <c r="E5" s="96"/>
      <c r="F5" s="96"/>
      <c r="G5" s="96"/>
      <c r="H5" s="96"/>
      <c r="I5" s="97"/>
    </row>
    <row r="6" spans="2:9" ht="21">
      <c r="B6" s="98" t="s">
        <v>109</v>
      </c>
      <c r="C6" s="99"/>
      <c r="D6" s="99"/>
      <c r="E6" s="99"/>
      <c r="F6" s="99"/>
      <c r="G6" s="99"/>
      <c r="H6" s="99"/>
      <c r="I6" s="100"/>
    </row>
    <row r="7" spans="2:9" ht="12.75" customHeight="1">
      <c r="B7" s="101"/>
      <c r="I7" s="102"/>
    </row>
    <row r="8" spans="2:9" ht="12.75" customHeight="1">
      <c r="B8" s="101"/>
      <c r="C8" s="103" t="s">
        <v>110</v>
      </c>
      <c r="D8" s="103" t="s">
        <v>111</v>
      </c>
      <c r="E8" s="103" t="s">
        <v>112</v>
      </c>
      <c r="F8" s="103" t="s">
        <v>113</v>
      </c>
      <c r="G8" s="104" t="s">
        <v>114</v>
      </c>
      <c r="H8" s="105" t="s">
        <v>115</v>
      </c>
      <c r="I8" s="102"/>
    </row>
    <row r="9" spans="2:9" ht="17.25" customHeight="1">
      <c r="B9" s="101"/>
      <c r="C9" s="106" t="s">
        <v>116</v>
      </c>
      <c r="D9" s="106" t="s">
        <v>15</v>
      </c>
      <c r="E9" s="107" t="s">
        <v>117</v>
      </c>
      <c r="F9" s="107" t="s">
        <v>118</v>
      </c>
      <c r="G9" s="107" t="s">
        <v>119</v>
      </c>
      <c r="H9" s="108" t="s">
        <v>120</v>
      </c>
      <c r="I9" s="102"/>
    </row>
    <row r="10" spans="2:9" ht="15" customHeight="1">
      <c r="B10" s="101"/>
      <c r="C10" s="106" t="s">
        <v>121</v>
      </c>
      <c r="D10" s="106" t="s">
        <v>15</v>
      </c>
      <c r="E10" s="107" t="s">
        <v>122</v>
      </c>
      <c r="F10" s="107" t="s">
        <v>118</v>
      </c>
      <c r="G10" s="107" t="s">
        <v>119</v>
      </c>
      <c r="H10" s="108" t="s">
        <v>120</v>
      </c>
      <c r="I10" s="102"/>
    </row>
    <row r="11" spans="2:9" ht="24">
      <c r="B11" s="101"/>
      <c r="C11" s="106" t="s">
        <v>121</v>
      </c>
      <c r="D11" s="106" t="s">
        <v>15</v>
      </c>
      <c r="E11" s="107" t="s">
        <v>123</v>
      </c>
      <c r="F11" s="107" t="s">
        <v>124</v>
      </c>
      <c r="G11" s="109" t="s">
        <v>125</v>
      </c>
      <c r="H11" s="108" t="s">
        <v>120</v>
      </c>
      <c r="I11" s="102"/>
    </row>
    <row r="12" spans="2:9" ht="37" customHeight="1">
      <c r="B12" s="101"/>
      <c r="C12" s="106" t="s">
        <v>126</v>
      </c>
      <c r="D12" s="106" t="s">
        <v>15</v>
      </c>
      <c r="E12" s="107" t="s">
        <v>127</v>
      </c>
      <c r="F12" s="107" t="s">
        <v>118</v>
      </c>
      <c r="G12" s="107" t="s">
        <v>128</v>
      </c>
      <c r="H12" s="108" t="s">
        <v>120</v>
      </c>
      <c r="I12" s="102"/>
    </row>
    <row r="13" spans="2:9" ht="17.25" customHeight="1">
      <c r="B13" s="101"/>
      <c r="C13" s="106" t="s">
        <v>129</v>
      </c>
      <c r="D13" s="106" t="s">
        <v>15</v>
      </c>
      <c r="E13" s="107" t="s">
        <v>130</v>
      </c>
      <c r="F13" s="107" t="s">
        <v>118</v>
      </c>
      <c r="G13" s="107" t="s">
        <v>131</v>
      </c>
      <c r="H13" s="108" t="s">
        <v>132</v>
      </c>
      <c r="I13" s="102"/>
    </row>
    <row r="14" spans="2:9" ht="24">
      <c r="B14" s="101"/>
      <c r="C14" s="106" t="s">
        <v>116</v>
      </c>
      <c r="D14" s="106" t="s">
        <v>36</v>
      </c>
      <c r="E14" s="107" t="s">
        <v>133</v>
      </c>
      <c r="F14" s="107" t="s">
        <v>134</v>
      </c>
      <c r="G14" s="107" t="s">
        <v>119</v>
      </c>
      <c r="H14" s="108" t="s">
        <v>120</v>
      </c>
      <c r="I14" s="102"/>
    </row>
    <row r="15" spans="2:9" ht="13">
      <c r="B15" s="101"/>
      <c r="C15" s="106" t="s">
        <v>135</v>
      </c>
      <c r="D15" s="106" t="s">
        <v>36</v>
      </c>
      <c r="E15" s="107" t="s">
        <v>136</v>
      </c>
      <c r="F15" s="107" t="s">
        <v>137</v>
      </c>
      <c r="G15" s="107" t="s">
        <v>138</v>
      </c>
      <c r="H15" s="108"/>
      <c r="I15" s="102"/>
    </row>
    <row r="16" spans="2:9" ht="24">
      <c r="B16" s="101"/>
      <c r="C16" s="106" t="s">
        <v>135</v>
      </c>
      <c r="D16" s="106" t="s">
        <v>36</v>
      </c>
      <c r="E16" s="107" t="s">
        <v>139</v>
      </c>
      <c r="F16" s="107" t="s">
        <v>137</v>
      </c>
      <c r="G16" s="109" t="s">
        <v>140</v>
      </c>
      <c r="H16" s="108"/>
      <c r="I16" s="102"/>
    </row>
    <row r="17" spans="2:9" ht="13">
      <c r="B17" s="101"/>
      <c r="C17" s="106" t="s">
        <v>135</v>
      </c>
      <c r="D17" s="106" t="s">
        <v>36</v>
      </c>
      <c r="E17" s="107" t="s">
        <v>141</v>
      </c>
      <c r="F17" s="107" t="s">
        <v>142</v>
      </c>
      <c r="G17" s="107" t="s">
        <v>143</v>
      </c>
      <c r="H17" s="108"/>
      <c r="I17" s="102"/>
    </row>
    <row r="18" spans="2:9" ht="32.25" customHeight="1">
      <c r="B18" s="101"/>
      <c r="C18" s="106" t="s">
        <v>135</v>
      </c>
      <c r="D18" s="106" t="s">
        <v>36</v>
      </c>
      <c r="E18" s="107" t="s">
        <v>144</v>
      </c>
      <c r="F18" s="107" t="s">
        <v>145</v>
      </c>
      <c r="G18" s="107" t="s">
        <v>146</v>
      </c>
      <c r="H18" s="108"/>
      <c r="I18" s="102"/>
    </row>
    <row r="19" spans="2:9" ht="36">
      <c r="B19" s="101"/>
      <c r="C19" s="106" t="s">
        <v>121</v>
      </c>
      <c r="D19" s="106" t="s">
        <v>36</v>
      </c>
      <c r="E19" s="107" t="s">
        <v>147</v>
      </c>
      <c r="F19" s="107" t="s">
        <v>148</v>
      </c>
      <c r="G19" s="107" t="s">
        <v>119</v>
      </c>
      <c r="H19" s="108" t="s">
        <v>120</v>
      </c>
      <c r="I19" s="102"/>
    </row>
    <row r="20" spans="2:9" ht="24">
      <c r="B20" s="101"/>
      <c r="C20" s="106" t="s">
        <v>121</v>
      </c>
      <c r="D20" s="106" t="s">
        <v>36</v>
      </c>
      <c r="E20" s="107" t="s">
        <v>123</v>
      </c>
      <c r="F20" s="107" t="s">
        <v>124</v>
      </c>
      <c r="G20" s="109" t="s">
        <v>125</v>
      </c>
      <c r="H20" s="108" t="s">
        <v>120</v>
      </c>
      <c r="I20" s="102"/>
    </row>
    <row r="21" spans="2:9" ht="24">
      <c r="B21" s="101"/>
      <c r="C21" s="106" t="s">
        <v>149</v>
      </c>
      <c r="D21" s="106" t="s">
        <v>36</v>
      </c>
      <c r="E21" s="107" t="s">
        <v>150</v>
      </c>
      <c r="F21" s="107" t="s">
        <v>151</v>
      </c>
      <c r="G21" s="109" t="s">
        <v>152</v>
      </c>
      <c r="H21" s="108"/>
      <c r="I21" s="102"/>
    </row>
    <row r="22" spans="2:9" ht="14.25" customHeight="1">
      <c r="B22" s="101"/>
      <c r="C22" s="106" t="s">
        <v>153</v>
      </c>
      <c r="D22" s="106" t="s">
        <v>36</v>
      </c>
      <c r="E22" s="107" t="s">
        <v>154</v>
      </c>
      <c r="F22" s="107" t="s">
        <v>155</v>
      </c>
      <c r="G22" s="107" t="s">
        <v>156</v>
      </c>
      <c r="H22" s="108"/>
      <c r="I22" s="102"/>
    </row>
    <row r="23" spans="2:9" ht="13">
      <c r="B23" s="101"/>
      <c r="C23" s="106" t="s">
        <v>157</v>
      </c>
      <c r="D23" s="106" t="s">
        <v>36</v>
      </c>
      <c r="E23" s="107" t="s">
        <v>158</v>
      </c>
      <c r="F23" s="107" t="s">
        <v>137</v>
      </c>
      <c r="G23" s="107" t="s">
        <v>159</v>
      </c>
      <c r="H23" s="108"/>
      <c r="I23" s="102"/>
    </row>
    <row r="24" spans="2:9" ht="24">
      <c r="B24" s="101"/>
      <c r="C24" s="106" t="s">
        <v>160</v>
      </c>
      <c r="D24" s="106" t="s">
        <v>36</v>
      </c>
      <c r="E24" s="107" t="s">
        <v>161</v>
      </c>
      <c r="F24" s="107" t="s">
        <v>162</v>
      </c>
      <c r="G24" s="107" t="s">
        <v>163</v>
      </c>
      <c r="H24" s="110"/>
      <c r="I24" s="102"/>
    </row>
    <row r="25" spans="2:9" ht="24">
      <c r="B25" s="101"/>
      <c r="C25" s="106" t="s">
        <v>164</v>
      </c>
      <c r="D25" s="106" t="s">
        <v>36</v>
      </c>
      <c r="E25" s="107" t="s">
        <v>165</v>
      </c>
      <c r="F25" s="107" t="s">
        <v>166</v>
      </c>
      <c r="G25" s="109" t="s">
        <v>167</v>
      </c>
      <c r="H25" s="110"/>
      <c r="I25" s="102"/>
    </row>
    <row r="26" spans="2:9" ht="24">
      <c r="B26" s="101"/>
      <c r="C26" s="106" t="s">
        <v>121</v>
      </c>
      <c r="D26" s="106" t="s">
        <v>59</v>
      </c>
      <c r="E26" s="107" t="s">
        <v>127</v>
      </c>
      <c r="F26" s="107" t="s">
        <v>168</v>
      </c>
      <c r="G26" s="107" t="s">
        <v>169</v>
      </c>
      <c r="H26" s="110" t="s">
        <v>120</v>
      </c>
      <c r="I26" s="102"/>
    </row>
    <row r="27" spans="2:9" ht="24">
      <c r="B27" s="101"/>
      <c r="C27" s="106" t="s">
        <v>126</v>
      </c>
      <c r="D27" s="106" t="s">
        <v>59</v>
      </c>
      <c r="E27" s="107" t="s">
        <v>139</v>
      </c>
      <c r="F27" s="107" t="s">
        <v>137</v>
      </c>
      <c r="G27" s="109" t="s">
        <v>140</v>
      </c>
      <c r="H27" s="110"/>
      <c r="I27" s="102"/>
    </row>
    <row r="28" spans="2:9" ht="36">
      <c r="B28" s="101"/>
      <c r="C28" s="106" t="s">
        <v>126</v>
      </c>
      <c r="D28" s="106" t="s">
        <v>59</v>
      </c>
      <c r="E28" s="107" t="s">
        <v>170</v>
      </c>
      <c r="F28" s="107" t="s">
        <v>168</v>
      </c>
      <c r="G28" s="109" t="s">
        <v>171</v>
      </c>
      <c r="H28" s="110"/>
      <c r="I28" s="102"/>
    </row>
    <row r="29" spans="2:9" ht="24">
      <c r="B29" s="101"/>
      <c r="C29" s="106" t="s">
        <v>126</v>
      </c>
      <c r="D29" s="106" t="s">
        <v>59</v>
      </c>
      <c r="E29" s="107" t="s">
        <v>172</v>
      </c>
      <c r="F29" s="107" t="s">
        <v>173</v>
      </c>
      <c r="G29" s="107" t="s">
        <v>174</v>
      </c>
      <c r="H29" s="110"/>
      <c r="I29" s="102"/>
    </row>
    <row r="30" spans="2:9" ht="24">
      <c r="B30" s="101"/>
      <c r="C30" s="106" t="s">
        <v>126</v>
      </c>
      <c r="D30" s="106" t="s">
        <v>59</v>
      </c>
      <c r="E30" s="107" t="s">
        <v>144</v>
      </c>
      <c r="F30" s="107" t="s">
        <v>145</v>
      </c>
      <c r="G30" s="107" t="s">
        <v>146</v>
      </c>
      <c r="H30" s="110"/>
      <c r="I30" s="102"/>
    </row>
    <row r="31" spans="2:9" ht="24">
      <c r="B31" s="101"/>
      <c r="C31" s="106" t="s">
        <v>126</v>
      </c>
      <c r="D31" s="106" t="s">
        <v>59</v>
      </c>
      <c r="E31" s="107" t="s">
        <v>127</v>
      </c>
      <c r="F31" s="107" t="s">
        <v>168</v>
      </c>
      <c r="G31" s="107" t="s">
        <v>169</v>
      </c>
      <c r="H31" s="110"/>
      <c r="I31" s="102"/>
    </row>
    <row r="32" spans="2:9" ht="36">
      <c r="B32" s="101"/>
      <c r="C32" s="106" t="s">
        <v>175</v>
      </c>
      <c r="D32" s="106" t="s">
        <v>59</v>
      </c>
      <c r="E32" s="107" t="s">
        <v>170</v>
      </c>
      <c r="F32" s="107" t="s">
        <v>168</v>
      </c>
      <c r="G32" s="109" t="s">
        <v>176</v>
      </c>
      <c r="H32" s="110"/>
      <c r="I32" s="102"/>
    </row>
    <row r="33" spans="2:9" ht="24">
      <c r="B33" s="101"/>
      <c r="C33" s="106" t="s">
        <v>175</v>
      </c>
      <c r="D33" s="106" t="s">
        <v>59</v>
      </c>
      <c r="E33" s="107" t="s">
        <v>139</v>
      </c>
      <c r="F33" s="107" t="s">
        <v>137</v>
      </c>
      <c r="G33" s="109" t="s">
        <v>140</v>
      </c>
      <c r="H33" s="110"/>
      <c r="I33" s="102"/>
    </row>
    <row r="34" spans="2:9" ht="13">
      <c r="B34" s="101"/>
      <c r="C34" s="106" t="s">
        <v>129</v>
      </c>
      <c r="D34" s="106" t="s">
        <v>59</v>
      </c>
      <c r="E34" s="107" t="s">
        <v>177</v>
      </c>
      <c r="F34" s="107" t="s">
        <v>178</v>
      </c>
      <c r="G34" s="107" t="s">
        <v>131</v>
      </c>
      <c r="H34" s="110" t="s">
        <v>132</v>
      </c>
      <c r="I34" s="102"/>
    </row>
    <row r="35" spans="2:9" ht="13">
      <c r="B35" s="101"/>
      <c r="C35" s="106" t="s">
        <v>179</v>
      </c>
      <c r="D35" s="106" t="s">
        <v>59</v>
      </c>
      <c r="E35" s="107" t="s">
        <v>180</v>
      </c>
      <c r="F35" s="107" t="s">
        <v>181</v>
      </c>
      <c r="G35" s="109" t="s">
        <v>182</v>
      </c>
      <c r="H35" s="110"/>
      <c r="I35" s="102"/>
    </row>
    <row r="36" spans="2:9" ht="24">
      <c r="B36" s="101"/>
      <c r="C36" s="106" t="s">
        <v>183</v>
      </c>
      <c r="D36" s="106" t="s">
        <v>59</v>
      </c>
      <c r="E36" s="107" t="s">
        <v>184</v>
      </c>
      <c r="F36" s="107" t="s">
        <v>185</v>
      </c>
      <c r="G36" s="109" t="s">
        <v>186</v>
      </c>
      <c r="H36" s="110"/>
      <c r="I36" s="102"/>
    </row>
    <row r="37" spans="2:9" ht="36">
      <c r="B37" s="101"/>
      <c r="C37" s="106" t="s">
        <v>187</v>
      </c>
      <c r="D37" s="106" t="s">
        <v>188</v>
      </c>
      <c r="E37" s="107" t="s">
        <v>189</v>
      </c>
      <c r="F37" s="107" t="s">
        <v>190</v>
      </c>
      <c r="G37" s="109" t="s">
        <v>176</v>
      </c>
      <c r="H37" s="110"/>
      <c r="I37" s="102"/>
    </row>
    <row r="38" spans="2:9" ht="24">
      <c r="B38" s="101"/>
      <c r="C38" s="106" t="s">
        <v>187</v>
      </c>
      <c r="D38" s="106" t="s">
        <v>188</v>
      </c>
      <c r="E38" s="107" t="s">
        <v>191</v>
      </c>
      <c r="F38" s="107" t="s">
        <v>192</v>
      </c>
      <c r="G38" s="111" t="s">
        <v>193</v>
      </c>
      <c r="H38" s="110"/>
      <c r="I38" s="102"/>
    </row>
    <row r="39" spans="2:9" ht="28.5" customHeight="1">
      <c r="B39" s="101"/>
      <c r="C39" s="106" t="s">
        <v>194</v>
      </c>
      <c r="D39" s="106" t="s">
        <v>188</v>
      </c>
      <c r="E39" s="107" t="s">
        <v>195</v>
      </c>
      <c r="F39" s="107" t="s">
        <v>196</v>
      </c>
      <c r="G39" s="109" t="s">
        <v>197</v>
      </c>
      <c r="H39" s="110" t="s">
        <v>198</v>
      </c>
      <c r="I39" s="102"/>
    </row>
    <row r="40" spans="2:9" ht="24">
      <c r="B40" s="101"/>
      <c r="C40" s="106" t="s">
        <v>183</v>
      </c>
      <c r="D40" s="106" t="s">
        <v>188</v>
      </c>
      <c r="E40" s="107" t="s">
        <v>184</v>
      </c>
      <c r="F40" s="107" t="s">
        <v>185</v>
      </c>
      <c r="G40" s="109" t="s">
        <v>186</v>
      </c>
      <c r="H40" s="110"/>
      <c r="I40" s="102"/>
    </row>
    <row r="41" spans="2:9" ht="24">
      <c r="B41" s="101"/>
      <c r="C41" s="106" t="s">
        <v>126</v>
      </c>
      <c r="D41" s="106" t="s">
        <v>188</v>
      </c>
      <c r="E41" s="107" t="s">
        <v>127</v>
      </c>
      <c r="F41" s="107" t="s">
        <v>168</v>
      </c>
      <c r="G41" s="107" t="s">
        <v>169</v>
      </c>
      <c r="H41" s="110"/>
      <c r="I41" s="102"/>
    </row>
    <row r="42" spans="2:9" ht="36">
      <c r="B42" s="101"/>
      <c r="C42" s="106" t="s">
        <v>199</v>
      </c>
      <c r="D42" s="106" t="s">
        <v>83</v>
      </c>
      <c r="E42" s="107" t="s">
        <v>200</v>
      </c>
      <c r="F42" s="107" t="s">
        <v>201</v>
      </c>
      <c r="G42" s="109" t="s">
        <v>176</v>
      </c>
      <c r="H42" s="110"/>
      <c r="I42" s="102"/>
    </row>
    <row r="43" spans="2:9" ht="13">
      <c r="B43" s="101"/>
      <c r="C43" s="106" t="s">
        <v>202</v>
      </c>
      <c r="D43" s="106" t="s">
        <v>83</v>
      </c>
      <c r="E43" s="107" t="s">
        <v>203</v>
      </c>
      <c r="F43" s="107" t="s">
        <v>204</v>
      </c>
      <c r="G43" s="109" t="s">
        <v>205</v>
      </c>
      <c r="H43" s="110"/>
      <c r="I43" s="102"/>
    </row>
    <row r="44" spans="2:9" ht="13">
      <c r="B44" s="101"/>
      <c r="C44" s="106" t="s">
        <v>206</v>
      </c>
      <c r="D44" s="106" t="s">
        <v>83</v>
      </c>
      <c r="E44" s="107" t="s">
        <v>207</v>
      </c>
      <c r="F44" s="107" t="s">
        <v>208</v>
      </c>
      <c r="G44" s="109" t="s">
        <v>209</v>
      </c>
      <c r="H44" s="110"/>
      <c r="I44" s="102"/>
    </row>
    <row r="45" spans="2:9" ht="28.5" customHeight="1">
      <c r="B45" s="101"/>
      <c r="C45" s="106" t="s">
        <v>194</v>
      </c>
      <c r="D45" s="106" t="s">
        <v>83</v>
      </c>
      <c r="E45" s="107" t="s">
        <v>195</v>
      </c>
      <c r="F45" s="107" t="s">
        <v>196</v>
      </c>
      <c r="G45" s="109" t="s">
        <v>197</v>
      </c>
      <c r="H45" s="110" t="s">
        <v>198</v>
      </c>
      <c r="I45" s="102"/>
    </row>
    <row r="46" spans="2:9" ht="24">
      <c r="B46" s="101"/>
      <c r="C46" s="106" t="s">
        <v>183</v>
      </c>
      <c r="D46" s="106" t="s">
        <v>83</v>
      </c>
      <c r="E46" s="107" t="s">
        <v>184</v>
      </c>
      <c r="F46" s="107" t="s">
        <v>185</v>
      </c>
      <c r="G46" s="109" t="s">
        <v>186</v>
      </c>
      <c r="H46" s="110"/>
      <c r="I46" s="102"/>
    </row>
    <row r="47" spans="2:9" ht="36">
      <c r="B47" s="101"/>
      <c r="C47" s="106" t="s">
        <v>210</v>
      </c>
      <c r="D47" s="106" t="s">
        <v>98</v>
      </c>
      <c r="E47" s="107" t="s">
        <v>200</v>
      </c>
      <c r="F47" s="107" t="s">
        <v>201</v>
      </c>
      <c r="G47" s="109" t="s">
        <v>176</v>
      </c>
      <c r="H47" s="110"/>
      <c r="I47" s="102"/>
    </row>
    <row r="48" spans="2:9" ht="24">
      <c r="B48" s="101"/>
      <c r="C48" s="106" t="s">
        <v>183</v>
      </c>
      <c r="D48" s="106" t="s">
        <v>98</v>
      </c>
      <c r="E48" s="107" t="s">
        <v>184</v>
      </c>
      <c r="F48" s="107" t="s">
        <v>185</v>
      </c>
      <c r="G48" s="109" t="s">
        <v>186</v>
      </c>
      <c r="H48" s="110"/>
      <c r="I48" s="102"/>
    </row>
    <row r="49" spans="2:9" ht="12.75" customHeight="1">
      <c r="B49" s="112"/>
      <c r="C49" s="113"/>
      <c r="D49" s="113"/>
      <c r="E49" s="113"/>
      <c r="F49" s="113"/>
      <c r="G49" s="113"/>
      <c r="H49" s="113"/>
      <c r="I49" s="114"/>
    </row>
    <row r="50" spans="2:9" ht="21">
      <c r="B50" s="115" t="s">
        <v>211</v>
      </c>
      <c r="I50" s="102"/>
    </row>
    <row r="51" spans="2:9" ht="12.75" customHeight="1">
      <c r="B51" s="101"/>
      <c r="I51" s="102"/>
    </row>
    <row r="52" spans="2:9" ht="12.75" customHeight="1">
      <c r="B52" s="101"/>
      <c r="C52" s="103" t="s">
        <v>110</v>
      </c>
      <c r="D52" s="103" t="s">
        <v>111</v>
      </c>
      <c r="E52" s="103" t="s">
        <v>112</v>
      </c>
      <c r="F52" s="103" t="s">
        <v>113</v>
      </c>
      <c r="G52" s="116" t="s">
        <v>114</v>
      </c>
      <c r="H52" s="117" t="s">
        <v>115</v>
      </c>
      <c r="I52" s="102"/>
    </row>
    <row r="53" spans="2:9" ht="12.75" customHeight="1">
      <c r="B53" s="101"/>
      <c r="C53" s="118"/>
      <c r="D53" s="118"/>
      <c r="E53" s="118"/>
      <c r="F53" s="118"/>
      <c r="G53" s="119"/>
      <c r="H53" s="118"/>
      <c r="I53" s="102"/>
    </row>
    <row r="54" spans="2:9" ht="12.75" customHeight="1">
      <c r="B54" s="101"/>
      <c r="C54" s="118"/>
      <c r="D54" s="118"/>
      <c r="E54" s="118"/>
      <c r="F54" s="118"/>
      <c r="G54" s="119"/>
      <c r="H54" s="118"/>
      <c r="I54" s="102"/>
    </row>
    <row r="55" spans="2:9" ht="12.75" customHeight="1">
      <c r="B55" s="101"/>
      <c r="C55" s="118"/>
      <c r="D55" s="118"/>
      <c r="E55" s="118"/>
      <c r="F55" s="118"/>
      <c r="G55" s="119"/>
      <c r="H55" s="118"/>
      <c r="I55" s="102"/>
    </row>
    <row r="56" spans="2:9" ht="12.75" customHeight="1">
      <c r="B56" s="101"/>
      <c r="C56" s="118"/>
      <c r="D56" s="118"/>
      <c r="E56" s="118"/>
      <c r="F56" s="118"/>
      <c r="G56" s="119"/>
      <c r="H56" s="118"/>
      <c r="I56" s="102"/>
    </row>
    <row r="57" spans="2:9" ht="12.75" customHeight="1">
      <c r="B57" s="101"/>
      <c r="C57" s="118"/>
      <c r="D57" s="118"/>
      <c r="E57" s="118"/>
      <c r="F57" s="118"/>
      <c r="G57" s="119"/>
      <c r="H57" s="118"/>
      <c r="I57" s="102"/>
    </row>
    <row r="58" spans="2:9" ht="12.75" customHeight="1">
      <c r="B58" s="101"/>
      <c r="C58" s="118"/>
      <c r="D58" s="118"/>
      <c r="E58" s="118"/>
      <c r="F58" s="118"/>
      <c r="G58" s="119"/>
      <c r="H58" s="118"/>
      <c r="I58" s="102"/>
    </row>
    <row r="59" spans="2:9" ht="12.75" customHeight="1">
      <c r="B59" s="101"/>
      <c r="C59" s="118"/>
      <c r="D59" s="118"/>
      <c r="E59" s="118"/>
      <c r="F59" s="118"/>
      <c r="G59" s="119"/>
      <c r="H59" s="118"/>
      <c r="I59" s="102"/>
    </row>
    <row r="60" spans="2:9" ht="12.75" customHeight="1">
      <c r="B60" s="101"/>
      <c r="I60" s="102"/>
    </row>
    <row r="61" spans="2:9" ht="12.75" customHeight="1">
      <c r="B61" s="112"/>
      <c r="C61" s="113"/>
      <c r="D61" s="113"/>
      <c r="E61" s="113"/>
      <c r="F61" s="113"/>
      <c r="G61" s="113"/>
      <c r="H61" s="113"/>
      <c r="I61" s="114"/>
    </row>
    <row r="62" spans="2:9" ht="12.75" customHeight="1"/>
    <row r="63" spans="2:9" ht="12.75" customHeight="1"/>
    <row r="64" spans="2:9"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sheetData>
  <mergeCells count="1">
    <mergeCell ref="B1:I1"/>
  </mergeCells>
  <phoneticPr fontId="1"/>
  <pageMargins left="0.7" right="0.7" top="0.75" bottom="0.75" header="0" footer="0"/>
  <pageSetup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8D0A4-F14F-49C3-ABC4-BABE614F5DC2}">
  <sheetPr codeName="Sheet4"/>
  <dimension ref="B1:T1004"/>
  <sheetViews>
    <sheetView showGridLines="0" zoomScale="80" zoomScaleNormal="80" workbookViewId="0">
      <pane ySplit="8" topLeftCell="A9" activePane="bottomLeft" state="frozen"/>
      <selection activeCell="C48" sqref="C48:T48"/>
      <selection pane="bottomLeft" activeCell="C48" sqref="C48:T48"/>
    </sheetView>
  </sheetViews>
  <sheetFormatPr defaultColWidth="14.36328125" defaultRowHeight="15" customHeight="1"/>
  <cols>
    <col min="1" max="2" width="6.36328125" style="120" customWidth="1"/>
    <col min="3" max="3" width="36.54296875" style="120" customWidth="1"/>
    <col min="4" max="4" width="26" style="120" bestFit="1" customWidth="1"/>
    <col min="5" max="5" width="22.81640625" style="120" customWidth="1"/>
    <col min="6" max="6" width="26.54296875" style="120" customWidth="1"/>
    <col min="7" max="7" width="27.08984375" style="120" customWidth="1"/>
    <col min="8" max="8" width="14.08984375" style="120" bestFit="1" customWidth="1"/>
    <col min="9" max="24" width="8.81640625" style="120" customWidth="1"/>
    <col min="25" max="16384" width="14.36328125" style="120"/>
  </cols>
  <sheetData>
    <row r="1" spans="2:20" ht="22.5" customHeight="1">
      <c r="B1" s="264" t="s">
        <v>212</v>
      </c>
      <c r="C1" s="264"/>
      <c r="D1" s="264"/>
      <c r="E1" s="264"/>
      <c r="F1" s="264"/>
      <c r="G1" s="264"/>
      <c r="H1" s="264"/>
      <c r="I1" s="264"/>
    </row>
    <row r="2" spans="2:20" ht="16.5">
      <c r="B2" s="121" t="s">
        <v>2</v>
      </c>
      <c r="C2" s="122"/>
      <c r="D2" s="122"/>
      <c r="E2" s="122"/>
      <c r="F2" s="122"/>
      <c r="G2" s="122"/>
      <c r="H2" s="122"/>
      <c r="I2" s="123"/>
    </row>
    <row r="3" spans="2:20" ht="16.5">
      <c r="B3" s="124" t="s">
        <v>3</v>
      </c>
      <c r="C3" s="125"/>
      <c r="D3" s="125"/>
      <c r="E3" s="125"/>
      <c r="F3" s="125"/>
      <c r="G3" s="125"/>
      <c r="H3" s="125"/>
      <c r="I3" s="126"/>
    </row>
    <row r="4" spans="2:20" ht="16.5">
      <c r="B4" s="124" t="s">
        <v>4</v>
      </c>
      <c r="C4" s="125"/>
      <c r="D4" s="125"/>
      <c r="E4" s="125"/>
      <c r="F4" s="125"/>
      <c r="G4" s="125"/>
      <c r="H4" s="125"/>
      <c r="I4" s="126"/>
    </row>
    <row r="5" spans="2:20" ht="16.5">
      <c r="B5" s="127" t="s">
        <v>5</v>
      </c>
      <c r="C5" s="128"/>
      <c r="D5" s="128"/>
      <c r="E5" s="128"/>
      <c r="F5" s="128"/>
      <c r="G5" s="128"/>
      <c r="H5" s="128"/>
      <c r="I5" s="129"/>
    </row>
    <row r="6" spans="2:20" ht="21">
      <c r="B6" s="130" t="s">
        <v>213</v>
      </c>
      <c r="C6" s="131"/>
      <c r="D6" s="131"/>
      <c r="E6" s="131"/>
      <c r="F6" s="131"/>
      <c r="G6" s="131"/>
      <c r="H6" s="131"/>
      <c r="I6" s="132"/>
    </row>
    <row r="7" spans="2:20" ht="8.5" customHeight="1">
      <c r="B7" s="133"/>
      <c r="I7" s="134"/>
    </row>
    <row r="8" spans="2:20" ht="17.25" customHeight="1">
      <c r="B8" s="133"/>
      <c r="C8" s="135" t="s">
        <v>214</v>
      </c>
      <c r="D8" s="136" t="s">
        <v>215</v>
      </c>
      <c r="E8" s="136" t="s">
        <v>112</v>
      </c>
      <c r="F8" s="136" t="s">
        <v>113</v>
      </c>
      <c r="G8" s="136" t="s">
        <v>216</v>
      </c>
      <c r="H8" s="137" t="s">
        <v>217</v>
      </c>
      <c r="I8" s="134"/>
      <c r="L8" s="138"/>
      <c r="M8" s="138"/>
      <c r="N8" s="138"/>
      <c r="O8" s="138"/>
      <c r="P8" s="138"/>
      <c r="Q8" s="138"/>
      <c r="R8" s="138"/>
      <c r="S8" s="138"/>
      <c r="T8" s="138"/>
    </row>
    <row r="9" spans="2:20" ht="22" customHeight="1">
      <c r="B9" s="133"/>
      <c r="C9" s="139" t="s">
        <v>218</v>
      </c>
      <c r="D9" s="140" t="s">
        <v>219</v>
      </c>
      <c r="E9" s="139" t="s">
        <v>220</v>
      </c>
      <c r="F9" s="139" t="s">
        <v>221</v>
      </c>
      <c r="G9" s="141" t="s">
        <v>222</v>
      </c>
      <c r="H9" s="142"/>
      <c r="I9" s="134"/>
    </row>
    <row r="10" spans="2:20" ht="28.5" customHeight="1">
      <c r="B10" s="133"/>
      <c r="C10" s="139" t="s">
        <v>218</v>
      </c>
      <c r="D10" s="140" t="s">
        <v>219</v>
      </c>
      <c r="E10" s="139" t="s">
        <v>223</v>
      </c>
      <c r="F10" s="139" t="s">
        <v>224</v>
      </c>
      <c r="G10" s="141" t="s">
        <v>225</v>
      </c>
      <c r="H10" s="142"/>
      <c r="I10" s="134"/>
    </row>
    <row r="11" spans="2:20" ht="18" customHeight="1">
      <c r="B11" s="133"/>
      <c r="C11" s="139" t="s">
        <v>218</v>
      </c>
      <c r="D11" s="140" t="s">
        <v>226</v>
      </c>
      <c r="E11" s="139" t="s">
        <v>227</v>
      </c>
      <c r="F11" s="139" t="s">
        <v>228</v>
      </c>
      <c r="G11" s="141" t="s">
        <v>229</v>
      </c>
      <c r="H11" s="142"/>
      <c r="I11" s="134"/>
    </row>
    <row r="12" spans="2:20" ht="26">
      <c r="B12" s="133"/>
      <c r="C12" s="139" t="s">
        <v>218</v>
      </c>
      <c r="D12" s="140" t="s">
        <v>230</v>
      </c>
      <c r="E12" s="139" t="s">
        <v>231</v>
      </c>
      <c r="F12" s="139" t="s">
        <v>232</v>
      </c>
      <c r="G12" s="141" t="s">
        <v>233</v>
      </c>
      <c r="H12" s="142"/>
      <c r="I12" s="134"/>
    </row>
    <row r="13" spans="2:20" ht="26">
      <c r="B13" s="133"/>
      <c r="C13" s="143" t="s">
        <v>234</v>
      </c>
      <c r="D13" s="140" t="s">
        <v>230</v>
      </c>
      <c r="E13" s="139" t="s">
        <v>235</v>
      </c>
      <c r="F13" s="139" t="s">
        <v>232</v>
      </c>
      <c r="G13" s="141" t="s">
        <v>233</v>
      </c>
      <c r="H13" s="142"/>
      <c r="I13" s="134"/>
    </row>
    <row r="14" spans="2:20" ht="26">
      <c r="B14" s="133"/>
      <c r="C14" s="143" t="s">
        <v>234</v>
      </c>
      <c r="D14" s="140" t="s">
        <v>230</v>
      </c>
      <c r="E14" s="139" t="s">
        <v>236</v>
      </c>
      <c r="F14" s="139" t="s">
        <v>232</v>
      </c>
      <c r="G14" s="141" t="s">
        <v>233</v>
      </c>
      <c r="H14" s="142"/>
      <c r="I14" s="134"/>
    </row>
    <row r="15" spans="2:20" ht="26">
      <c r="B15" s="133"/>
      <c r="C15" s="139" t="s">
        <v>237</v>
      </c>
      <c r="D15" s="140" t="s">
        <v>230</v>
      </c>
      <c r="E15" s="139" t="s">
        <v>238</v>
      </c>
      <c r="F15" s="139" t="s">
        <v>239</v>
      </c>
      <c r="G15" s="141" t="s">
        <v>233</v>
      </c>
      <c r="H15" s="142"/>
      <c r="I15" s="134"/>
    </row>
    <row r="16" spans="2:20" ht="26">
      <c r="B16" s="133"/>
      <c r="C16" s="143" t="s">
        <v>240</v>
      </c>
      <c r="D16" s="140" t="s">
        <v>230</v>
      </c>
      <c r="E16" s="139" t="s">
        <v>241</v>
      </c>
      <c r="F16" s="139" t="s">
        <v>232</v>
      </c>
      <c r="G16" s="141" t="s">
        <v>233</v>
      </c>
      <c r="H16" s="142"/>
      <c r="I16" s="134"/>
    </row>
    <row r="17" spans="2:9" ht="31.5" customHeight="1">
      <c r="B17" s="133"/>
      <c r="C17" s="143" t="s">
        <v>242</v>
      </c>
      <c r="D17" s="144" t="s">
        <v>243</v>
      </c>
      <c r="E17" s="139" t="s">
        <v>244</v>
      </c>
      <c r="F17" s="139" t="s">
        <v>245</v>
      </c>
      <c r="G17" s="141" t="s">
        <v>233</v>
      </c>
      <c r="H17" s="142"/>
      <c r="I17" s="134"/>
    </row>
    <row r="18" spans="2:9" ht="28.5" customHeight="1">
      <c r="B18" s="133"/>
      <c r="C18" s="143" t="s">
        <v>242</v>
      </c>
      <c r="D18" s="144" t="s">
        <v>243</v>
      </c>
      <c r="E18" s="139" t="s">
        <v>246</v>
      </c>
      <c r="F18" s="139" t="s">
        <v>232</v>
      </c>
      <c r="G18" s="141" t="s">
        <v>233</v>
      </c>
      <c r="H18" s="142"/>
      <c r="I18" s="134"/>
    </row>
    <row r="19" spans="2:9" ht="30" customHeight="1">
      <c r="B19" s="133"/>
      <c r="C19" s="139" t="s">
        <v>247</v>
      </c>
      <c r="D19" s="144" t="s">
        <v>243</v>
      </c>
      <c r="E19" s="139" t="s">
        <v>241</v>
      </c>
      <c r="F19" s="139" t="s">
        <v>232</v>
      </c>
      <c r="G19" s="141" t="s">
        <v>233</v>
      </c>
      <c r="H19" s="142"/>
      <c r="I19" s="134"/>
    </row>
    <row r="20" spans="2:9" ht="26">
      <c r="B20" s="133"/>
      <c r="C20" s="143" t="s">
        <v>248</v>
      </c>
      <c r="D20" s="144" t="s">
        <v>243</v>
      </c>
      <c r="E20" s="139" t="s">
        <v>249</v>
      </c>
      <c r="F20" s="139" t="s">
        <v>250</v>
      </c>
      <c r="G20" s="141" t="s">
        <v>233</v>
      </c>
      <c r="H20" s="142"/>
      <c r="I20" s="134"/>
    </row>
    <row r="21" spans="2:9" ht="31.5" customHeight="1">
      <c r="B21" s="133"/>
      <c r="C21" s="143" t="s">
        <v>242</v>
      </c>
      <c r="D21" s="144" t="s">
        <v>243</v>
      </c>
      <c r="E21" s="139" t="s">
        <v>251</v>
      </c>
      <c r="F21" s="139" t="s">
        <v>232</v>
      </c>
      <c r="G21" s="141" t="s">
        <v>233</v>
      </c>
      <c r="H21" s="142"/>
      <c r="I21" s="134"/>
    </row>
    <row r="22" spans="2:9" ht="15" customHeight="1">
      <c r="B22" s="133"/>
      <c r="C22" s="143" t="s">
        <v>252</v>
      </c>
      <c r="D22" s="144" t="s">
        <v>253</v>
      </c>
      <c r="E22" s="139" t="s">
        <v>254</v>
      </c>
      <c r="F22" s="139" t="s">
        <v>255</v>
      </c>
      <c r="G22" s="141" t="s">
        <v>256</v>
      </c>
      <c r="H22" s="142"/>
      <c r="I22" s="134"/>
    </row>
    <row r="23" spans="2:9" ht="26">
      <c r="B23" s="133"/>
      <c r="C23" s="143" t="s">
        <v>257</v>
      </c>
      <c r="D23" s="144" t="s">
        <v>253</v>
      </c>
      <c r="E23" s="139" t="s">
        <v>258</v>
      </c>
      <c r="F23" s="139" t="s">
        <v>259</v>
      </c>
      <c r="G23" s="141" t="s">
        <v>256</v>
      </c>
      <c r="H23" s="142"/>
      <c r="I23" s="134"/>
    </row>
    <row r="24" spans="2:9" ht="13">
      <c r="B24" s="133"/>
      <c r="C24" s="143" t="s">
        <v>260</v>
      </c>
      <c r="D24" s="144" t="s">
        <v>261</v>
      </c>
      <c r="E24" s="139" t="s">
        <v>262</v>
      </c>
      <c r="F24" s="139" t="s">
        <v>221</v>
      </c>
      <c r="G24" s="141" t="s">
        <v>256</v>
      </c>
      <c r="H24" s="142"/>
      <c r="I24" s="134"/>
    </row>
    <row r="25" spans="2:9" ht="34" customHeight="1">
      <c r="B25" s="133"/>
      <c r="C25" s="143" t="s">
        <v>263</v>
      </c>
      <c r="D25" s="144" t="s">
        <v>264</v>
      </c>
      <c r="E25" s="139" t="s">
        <v>265</v>
      </c>
      <c r="F25" s="139" t="s">
        <v>266</v>
      </c>
      <c r="G25" s="139" t="s">
        <v>267</v>
      </c>
      <c r="H25" s="142"/>
      <c r="I25" s="134"/>
    </row>
    <row r="26" spans="2:9" ht="13">
      <c r="B26" s="133"/>
      <c r="C26" s="143" t="s">
        <v>268</v>
      </c>
      <c r="D26" s="144" t="s">
        <v>264</v>
      </c>
      <c r="E26" s="143" t="s">
        <v>268</v>
      </c>
      <c r="F26" s="139" t="s">
        <v>269</v>
      </c>
      <c r="G26" s="141" t="s">
        <v>256</v>
      </c>
      <c r="H26" s="142"/>
      <c r="I26" s="134"/>
    </row>
    <row r="27" spans="2:9" ht="26">
      <c r="B27" s="133"/>
      <c r="C27" s="143" t="s">
        <v>240</v>
      </c>
      <c r="D27" s="140" t="s">
        <v>270</v>
      </c>
      <c r="E27" s="139" t="s">
        <v>251</v>
      </c>
      <c r="F27" s="139" t="s">
        <v>232</v>
      </c>
      <c r="G27" s="141" t="s">
        <v>271</v>
      </c>
      <c r="H27" s="142"/>
      <c r="I27" s="134"/>
    </row>
    <row r="28" spans="2:9" ht="26">
      <c r="B28" s="133"/>
      <c r="C28" s="143" t="s">
        <v>240</v>
      </c>
      <c r="D28" s="140" t="s">
        <v>270</v>
      </c>
      <c r="E28" s="145" t="s">
        <v>272</v>
      </c>
      <c r="F28" s="139" t="s">
        <v>273</v>
      </c>
      <c r="G28" s="141" t="s">
        <v>271</v>
      </c>
      <c r="H28" s="142"/>
      <c r="I28" s="134"/>
    </row>
    <row r="29" spans="2:9" ht="26">
      <c r="B29" s="133"/>
      <c r="C29" s="143" t="s">
        <v>268</v>
      </c>
      <c r="D29" s="140" t="s">
        <v>274</v>
      </c>
      <c r="E29" s="139" t="s">
        <v>265</v>
      </c>
      <c r="F29" s="139" t="s">
        <v>266</v>
      </c>
      <c r="G29" s="139" t="s">
        <v>267</v>
      </c>
      <c r="H29" s="142"/>
      <c r="I29" s="134"/>
    </row>
    <row r="30" spans="2:9" ht="13">
      <c r="B30" s="133"/>
      <c r="C30" s="143" t="s">
        <v>268</v>
      </c>
      <c r="D30" s="140" t="s">
        <v>274</v>
      </c>
      <c r="E30" s="143" t="s">
        <v>268</v>
      </c>
      <c r="F30" s="139" t="s">
        <v>269</v>
      </c>
      <c r="G30" s="141" t="s">
        <v>256</v>
      </c>
      <c r="H30" s="142"/>
      <c r="I30" s="134"/>
    </row>
    <row r="31" spans="2:9" ht="13">
      <c r="B31" s="133"/>
      <c r="C31" s="143" t="s">
        <v>275</v>
      </c>
      <c r="D31" s="140" t="s">
        <v>270</v>
      </c>
      <c r="E31" s="139" t="s">
        <v>276</v>
      </c>
      <c r="F31" s="139" t="s">
        <v>277</v>
      </c>
      <c r="G31" s="141" t="s">
        <v>256</v>
      </c>
      <c r="H31" s="142"/>
      <c r="I31" s="134"/>
    </row>
    <row r="32" spans="2:9" ht="26">
      <c r="B32" s="133"/>
      <c r="C32" s="143" t="s">
        <v>240</v>
      </c>
      <c r="D32" s="140" t="s">
        <v>270</v>
      </c>
      <c r="E32" s="139" t="s">
        <v>235</v>
      </c>
      <c r="F32" s="139" t="s">
        <v>278</v>
      </c>
      <c r="G32" s="141" t="s">
        <v>271</v>
      </c>
      <c r="H32" s="142"/>
      <c r="I32" s="134"/>
    </row>
    <row r="33" spans="2:9" ht="26">
      <c r="B33" s="133"/>
      <c r="C33" s="143" t="s">
        <v>279</v>
      </c>
      <c r="D33" s="140" t="s">
        <v>280</v>
      </c>
      <c r="E33" s="139" t="s">
        <v>281</v>
      </c>
      <c r="F33" s="139" t="s">
        <v>282</v>
      </c>
      <c r="G33" s="141" t="s">
        <v>256</v>
      </c>
      <c r="H33" s="142"/>
      <c r="I33" s="134"/>
    </row>
    <row r="34" spans="2:9" ht="26">
      <c r="B34" s="133"/>
      <c r="C34" s="143" t="s">
        <v>283</v>
      </c>
      <c r="D34" s="140" t="s">
        <v>284</v>
      </c>
      <c r="E34" s="139" t="s">
        <v>285</v>
      </c>
      <c r="F34" s="139" t="s">
        <v>286</v>
      </c>
      <c r="G34" s="141" t="s">
        <v>256</v>
      </c>
      <c r="H34" s="142"/>
      <c r="I34" s="134"/>
    </row>
    <row r="35" spans="2:9" ht="13">
      <c r="B35" s="133"/>
      <c r="C35" s="143" t="s">
        <v>275</v>
      </c>
      <c r="D35" s="140" t="s">
        <v>284</v>
      </c>
      <c r="E35" s="139" t="s">
        <v>276</v>
      </c>
      <c r="F35" s="139" t="s">
        <v>277</v>
      </c>
      <c r="G35" s="141" t="s">
        <v>256</v>
      </c>
      <c r="H35" s="142"/>
      <c r="I35" s="134"/>
    </row>
    <row r="36" spans="2:9" ht="12.75" customHeight="1">
      <c r="B36" s="146"/>
      <c r="C36" s="147"/>
      <c r="D36" s="147"/>
      <c r="E36" s="147"/>
      <c r="F36" s="147"/>
      <c r="G36" s="147"/>
      <c r="H36" s="147"/>
      <c r="I36" s="148"/>
    </row>
    <row r="37" spans="2:9" ht="21">
      <c r="B37" s="149" t="s">
        <v>211</v>
      </c>
      <c r="I37" s="134"/>
    </row>
    <row r="38" spans="2:9" ht="12.75" customHeight="1">
      <c r="B38" s="133"/>
      <c r="I38" s="134"/>
    </row>
    <row r="39" spans="2:9" ht="12.75" customHeight="1">
      <c r="B39" s="133"/>
      <c r="C39" s="137" t="s">
        <v>111</v>
      </c>
      <c r="D39" s="136" t="s">
        <v>214</v>
      </c>
      <c r="E39" s="136" t="s">
        <v>112</v>
      </c>
      <c r="F39" s="136" t="s">
        <v>113</v>
      </c>
      <c r="G39" s="150" t="s">
        <v>287</v>
      </c>
      <c r="H39" s="137" t="s">
        <v>288</v>
      </c>
      <c r="I39" s="134"/>
    </row>
    <row r="40" spans="2:9" ht="12.75" customHeight="1">
      <c r="B40" s="133"/>
      <c r="C40" s="151"/>
      <c r="D40" s="151"/>
      <c r="E40" s="151"/>
      <c r="F40" s="151"/>
      <c r="G40" s="151"/>
      <c r="H40" s="151"/>
      <c r="I40" s="134"/>
    </row>
    <row r="41" spans="2:9" ht="12.75" customHeight="1">
      <c r="B41" s="133"/>
      <c r="C41" s="151"/>
      <c r="D41" s="151"/>
      <c r="E41" s="151"/>
      <c r="F41" s="151"/>
      <c r="G41" s="151"/>
      <c r="H41" s="151"/>
      <c r="I41" s="134"/>
    </row>
    <row r="42" spans="2:9" ht="12.75" customHeight="1">
      <c r="B42" s="133"/>
      <c r="C42" s="151"/>
      <c r="D42" s="151"/>
      <c r="E42" s="151"/>
      <c r="F42" s="151"/>
      <c r="G42" s="151"/>
      <c r="H42" s="151"/>
      <c r="I42" s="134"/>
    </row>
    <row r="43" spans="2:9" ht="12.75" customHeight="1">
      <c r="B43" s="133"/>
      <c r="C43" s="151"/>
      <c r="D43" s="151"/>
      <c r="E43" s="151"/>
      <c r="F43" s="151"/>
      <c r="G43" s="151"/>
      <c r="H43" s="151"/>
      <c r="I43" s="134"/>
    </row>
    <row r="44" spans="2:9" ht="12.75" customHeight="1">
      <c r="B44" s="133"/>
      <c r="C44" s="151"/>
      <c r="D44" s="151"/>
      <c r="E44" s="151"/>
      <c r="F44" s="151"/>
      <c r="G44" s="151"/>
      <c r="H44" s="151"/>
      <c r="I44" s="134"/>
    </row>
    <row r="45" spans="2:9" ht="12.75" customHeight="1">
      <c r="B45" s="133"/>
      <c r="C45" s="151"/>
      <c r="D45" s="151"/>
      <c r="E45" s="151"/>
      <c r="F45" s="151"/>
      <c r="G45" s="151"/>
      <c r="H45" s="151"/>
      <c r="I45" s="134"/>
    </row>
    <row r="46" spans="2:9" ht="12.75" customHeight="1">
      <c r="B46" s="133"/>
      <c r="C46" s="151"/>
      <c r="D46" s="151"/>
      <c r="E46" s="151"/>
      <c r="F46" s="151"/>
      <c r="G46" s="151"/>
      <c r="H46" s="151"/>
      <c r="I46" s="134"/>
    </row>
    <row r="47" spans="2:9" ht="12.75" customHeight="1">
      <c r="B47" s="133"/>
      <c r="I47" s="134"/>
    </row>
    <row r="48" spans="2:9" ht="12.75" customHeight="1">
      <c r="B48" s="146"/>
      <c r="C48" s="147"/>
      <c r="D48" s="147"/>
      <c r="E48" s="147"/>
      <c r="F48" s="147"/>
      <c r="G48" s="147"/>
      <c r="H48" s="147"/>
      <c r="I48" s="148"/>
    </row>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sheetData>
  <mergeCells count="1">
    <mergeCell ref="B1:I1"/>
  </mergeCells>
  <phoneticPr fontId="1"/>
  <conditionalFormatting sqref="D9:H9 D10:F10 H10">
    <cfRule type="expression" dxfId="35" priority="33">
      <formula>$H$9:$H$9="○"</formula>
    </cfRule>
  </conditionalFormatting>
  <conditionalFormatting sqref="E12:H12 D11:H11 D13:H16 G10">
    <cfRule type="expression" dxfId="34" priority="34">
      <formula>$H$11:$H$11="○"</formula>
    </cfRule>
  </conditionalFormatting>
  <conditionalFormatting sqref="D31:F31 E17:F17 E18 E21 E20:F20 D28:F28 D27:E27 D32:E33 E22:F23 E24:E25 G25:H25 E35:F35 H17:H24 H26:H29 D29 G29 H31:H33">
    <cfRule type="expression" dxfId="33" priority="35">
      <formula>$H$17:$H$32="○"</formula>
    </cfRule>
  </conditionalFormatting>
  <conditionalFormatting sqref="D12">
    <cfRule type="expression" dxfId="32" priority="32">
      <formula>$H$11:$H$11="○"</formula>
    </cfRule>
  </conditionalFormatting>
  <conditionalFormatting sqref="F18">
    <cfRule type="expression" dxfId="31" priority="31">
      <formula>$H$11:$H$11="○"</formula>
    </cfRule>
  </conditionalFormatting>
  <conditionalFormatting sqref="E19">
    <cfRule type="expression" dxfId="30" priority="30">
      <formula>$H$11:$H$11="○"</formula>
    </cfRule>
  </conditionalFormatting>
  <conditionalFormatting sqref="G23">
    <cfRule type="expression" dxfId="29" priority="29">
      <formula>$H$11:$H$11="○"</formula>
    </cfRule>
  </conditionalFormatting>
  <conditionalFormatting sqref="G34">
    <cfRule type="expression" dxfId="28" priority="28">
      <formula>$H$11:$H$11="○"</formula>
    </cfRule>
  </conditionalFormatting>
  <conditionalFormatting sqref="G22">
    <cfRule type="expression" dxfId="27" priority="27">
      <formula>$H$11:$H$11="○"</formula>
    </cfRule>
  </conditionalFormatting>
  <conditionalFormatting sqref="F26">
    <cfRule type="expression" dxfId="26" priority="25">
      <formula>$H$9:$H$9="○"</formula>
    </cfRule>
  </conditionalFormatting>
  <conditionalFormatting sqref="F25">
    <cfRule type="expression" dxfId="25" priority="26">
      <formula>$H$9:$H$9="○"</formula>
    </cfRule>
  </conditionalFormatting>
  <conditionalFormatting sqref="F27">
    <cfRule type="expression" dxfId="24" priority="24">
      <formula>$H$11:$H$11="○"</formula>
    </cfRule>
  </conditionalFormatting>
  <conditionalFormatting sqref="F32:F33">
    <cfRule type="expression" dxfId="23" priority="23">
      <formula>$H$11:$H$11="○"</formula>
    </cfRule>
  </conditionalFormatting>
  <conditionalFormatting sqref="G33">
    <cfRule type="expression" dxfId="22" priority="22">
      <formula>$H$11:$H$11="○"</formula>
    </cfRule>
  </conditionalFormatting>
  <conditionalFormatting sqref="D35 D34:F34 H34:H35">
    <cfRule type="expression" dxfId="21" priority="36">
      <formula>$H$34:$H$35="○"</formula>
    </cfRule>
  </conditionalFormatting>
  <conditionalFormatting sqref="F19">
    <cfRule type="expression" dxfId="20" priority="21">
      <formula>$H$11:$H$11="○"</formula>
    </cfRule>
  </conditionalFormatting>
  <conditionalFormatting sqref="F21">
    <cfRule type="expression" dxfId="19" priority="20">
      <formula>$H$11:$H$11="○"</formula>
    </cfRule>
  </conditionalFormatting>
  <conditionalFormatting sqref="G24">
    <cfRule type="expression" dxfId="18" priority="19">
      <formula>$H$11:$H$11="○"</formula>
    </cfRule>
  </conditionalFormatting>
  <conditionalFormatting sqref="F24">
    <cfRule type="expression" dxfId="17" priority="18">
      <formula>$H$9:$H$9="○"</formula>
    </cfRule>
  </conditionalFormatting>
  <conditionalFormatting sqref="G26">
    <cfRule type="expression" dxfId="16" priority="17">
      <formula>$H$11:$H$11="○"</formula>
    </cfRule>
  </conditionalFormatting>
  <conditionalFormatting sqref="E29">
    <cfRule type="expression" dxfId="15" priority="16">
      <formula>$H$17:$H$32="○"</formula>
    </cfRule>
  </conditionalFormatting>
  <conditionalFormatting sqref="F29">
    <cfRule type="expression" dxfId="14" priority="15">
      <formula>$H$9:$H$9="○"</formula>
    </cfRule>
  </conditionalFormatting>
  <conditionalFormatting sqref="H30">
    <cfRule type="expression" dxfId="13" priority="14">
      <formula>$H$17:$H$32="○"</formula>
    </cfRule>
  </conditionalFormatting>
  <conditionalFormatting sqref="F30">
    <cfRule type="expression" dxfId="12" priority="13">
      <formula>$H$9:$H$9="○"</formula>
    </cfRule>
  </conditionalFormatting>
  <conditionalFormatting sqref="G30">
    <cfRule type="expression" dxfId="11" priority="12">
      <formula>$H$11:$H$11="○"</formula>
    </cfRule>
  </conditionalFormatting>
  <conditionalFormatting sqref="D30">
    <cfRule type="expression" dxfId="10" priority="11">
      <formula>$H$17:$H$32="○"</formula>
    </cfRule>
  </conditionalFormatting>
  <conditionalFormatting sqref="G31">
    <cfRule type="expression" dxfId="9" priority="10">
      <formula>$H$11:$H$11="○"</formula>
    </cfRule>
  </conditionalFormatting>
  <conditionalFormatting sqref="G35">
    <cfRule type="expression" dxfId="8" priority="9">
      <formula>$H$11:$H$11="○"</formula>
    </cfRule>
  </conditionalFormatting>
  <conditionalFormatting sqref="G21">
    <cfRule type="expression" dxfId="7" priority="4">
      <formula>$H$11:$H$11="○"</formula>
    </cfRule>
  </conditionalFormatting>
  <conditionalFormatting sqref="G17">
    <cfRule type="expression" dxfId="6" priority="8">
      <formula>$H$11:$H$11="○"</formula>
    </cfRule>
  </conditionalFormatting>
  <conditionalFormatting sqref="G18">
    <cfRule type="expression" dxfId="5" priority="7">
      <formula>$H$11:$H$11="○"</formula>
    </cfRule>
  </conditionalFormatting>
  <conditionalFormatting sqref="G19">
    <cfRule type="expression" dxfId="4" priority="6">
      <formula>$H$11:$H$11="○"</formula>
    </cfRule>
  </conditionalFormatting>
  <conditionalFormatting sqref="G20">
    <cfRule type="expression" dxfId="3" priority="5">
      <formula>$H$11:$H$11="○"</formula>
    </cfRule>
  </conditionalFormatting>
  <conditionalFormatting sqref="G27">
    <cfRule type="expression" dxfId="2" priority="3">
      <formula>$H$11:$H$11="○"</formula>
    </cfRule>
  </conditionalFormatting>
  <conditionalFormatting sqref="G28">
    <cfRule type="expression" dxfId="1" priority="2">
      <formula>$H$11:$H$11="○"</formula>
    </cfRule>
  </conditionalFormatting>
  <conditionalFormatting sqref="G32">
    <cfRule type="expression" dxfId="0" priority="1">
      <formula>$H$11:$H$11="○"</formula>
    </cfRule>
  </conditionalFormatting>
  <pageMargins left="0.7" right="0.7" top="0.75" bottom="0.75"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9EE52-317C-44CC-B339-8F1AE00DC992}">
  <sheetPr codeName="Sheet5"/>
  <dimension ref="B1:O76"/>
  <sheetViews>
    <sheetView topLeftCell="A6" workbookViewId="0">
      <selection activeCell="G22" sqref="G22"/>
    </sheetView>
  </sheetViews>
  <sheetFormatPr defaultColWidth="8.81640625" defaultRowHeight="13"/>
  <cols>
    <col min="1" max="1" width="1" style="152" customWidth="1"/>
    <col min="2" max="16384" width="8.81640625" style="152"/>
  </cols>
  <sheetData>
    <row r="1" spans="2:15" ht="29.5" customHeight="1" thickBot="1">
      <c r="B1" s="268" t="s">
        <v>289</v>
      </c>
      <c r="C1" s="269"/>
      <c r="D1" s="269"/>
      <c r="E1" s="269"/>
      <c r="F1" s="269"/>
      <c r="G1" s="269"/>
      <c r="H1" s="269"/>
      <c r="I1" s="269"/>
      <c r="J1" s="269"/>
      <c r="K1" s="269"/>
      <c r="L1" s="269"/>
      <c r="M1" s="269"/>
      <c r="N1" s="269"/>
      <c r="O1" s="270"/>
    </row>
    <row r="2" spans="2:15">
      <c r="B2" s="153" t="s">
        <v>290</v>
      </c>
      <c r="C2" s="154"/>
      <c r="D2" s="154"/>
      <c r="E2" s="154"/>
      <c r="F2" s="154"/>
      <c r="G2" s="154"/>
      <c r="H2" s="154"/>
      <c r="I2" s="154"/>
      <c r="J2" s="154"/>
      <c r="K2" s="154"/>
      <c r="L2" s="154"/>
      <c r="M2" s="154"/>
      <c r="N2" s="154"/>
      <c r="O2" s="155"/>
    </row>
    <row r="3" spans="2:15">
      <c r="B3" s="156" t="s">
        <v>291</v>
      </c>
      <c r="O3" s="157"/>
    </row>
    <row r="4" spans="2:15">
      <c r="B4" s="156"/>
      <c r="O4" s="157"/>
    </row>
    <row r="5" spans="2:15">
      <c r="B5" s="156"/>
      <c r="C5" s="271" t="s">
        <v>292</v>
      </c>
      <c r="D5" s="271"/>
      <c r="E5" s="271"/>
      <c r="F5" s="271"/>
      <c r="G5" s="271"/>
      <c r="H5" s="271"/>
      <c r="I5" s="158" t="s">
        <v>14</v>
      </c>
      <c r="O5" s="157"/>
    </row>
    <row r="6" spans="2:15">
      <c r="B6" s="156"/>
      <c r="C6" s="272" t="s">
        <v>293</v>
      </c>
      <c r="D6" s="272"/>
      <c r="E6" s="272"/>
      <c r="F6" s="272"/>
      <c r="G6" s="272"/>
      <c r="H6" s="272"/>
      <c r="I6" s="159"/>
      <c r="J6" s="160" t="s">
        <v>294</v>
      </c>
      <c r="O6" s="157"/>
    </row>
    <row r="7" spans="2:15">
      <c r="B7" s="156"/>
      <c r="C7" s="272" t="s">
        <v>295</v>
      </c>
      <c r="D7" s="272"/>
      <c r="E7" s="272"/>
      <c r="F7" s="272"/>
      <c r="G7" s="272"/>
      <c r="H7" s="272"/>
      <c r="I7" s="159"/>
      <c r="J7" s="160" t="s">
        <v>294</v>
      </c>
      <c r="O7" s="157"/>
    </row>
    <row r="8" spans="2:15">
      <c r="B8" s="156"/>
      <c r="C8" s="272" t="s">
        <v>296</v>
      </c>
      <c r="D8" s="272"/>
      <c r="E8" s="272"/>
      <c r="F8" s="272"/>
      <c r="G8" s="272"/>
      <c r="H8" s="272"/>
      <c r="I8" s="159"/>
      <c r="J8" s="152" t="s">
        <v>297</v>
      </c>
      <c r="O8" s="157" t="s">
        <v>298</v>
      </c>
    </row>
    <row r="9" spans="2:15">
      <c r="B9" s="156"/>
      <c r="C9" s="272" t="s">
        <v>299</v>
      </c>
      <c r="D9" s="272"/>
      <c r="E9" s="272"/>
      <c r="F9" s="272"/>
      <c r="G9" s="272"/>
      <c r="H9" s="272"/>
      <c r="I9" s="159"/>
      <c r="J9" s="152" t="s">
        <v>297</v>
      </c>
      <c r="O9" s="157" t="s">
        <v>300</v>
      </c>
    </row>
    <row r="10" spans="2:15">
      <c r="B10" s="156"/>
      <c r="C10" s="272" t="s">
        <v>301</v>
      </c>
      <c r="D10" s="272"/>
      <c r="E10" s="272"/>
      <c r="F10" s="272"/>
      <c r="G10" s="272"/>
      <c r="H10" s="272"/>
      <c r="I10" s="159"/>
      <c r="J10" s="152" t="s">
        <v>297</v>
      </c>
      <c r="O10" s="157" t="s">
        <v>302</v>
      </c>
    </row>
    <row r="11" spans="2:15">
      <c r="B11" s="156"/>
      <c r="C11" s="273" t="s">
        <v>303</v>
      </c>
      <c r="D11" s="273"/>
      <c r="E11" s="273"/>
      <c r="F11" s="273"/>
      <c r="G11" s="273"/>
      <c r="H11" s="273"/>
      <c r="I11" s="161"/>
      <c r="J11" s="152" t="s">
        <v>297</v>
      </c>
      <c r="O11" s="157" t="s">
        <v>302</v>
      </c>
    </row>
    <row r="12" spans="2:15">
      <c r="B12" s="156"/>
      <c r="C12" s="273" t="s">
        <v>304</v>
      </c>
      <c r="D12" s="273"/>
      <c r="E12" s="273"/>
      <c r="F12" s="273"/>
      <c r="G12" s="273"/>
      <c r="H12" s="273"/>
      <c r="I12" s="161"/>
      <c r="J12" s="152" t="s">
        <v>297</v>
      </c>
      <c r="O12" s="157" t="s">
        <v>305</v>
      </c>
    </row>
    <row r="13" spans="2:15" ht="13.5" thickBot="1">
      <c r="B13" s="156"/>
      <c r="O13" s="157"/>
    </row>
    <row r="14" spans="2:15" ht="21">
      <c r="B14" s="265" t="s">
        <v>306</v>
      </c>
      <c r="C14" s="266"/>
      <c r="D14" s="266"/>
      <c r="E14" s="266"/>
      <c r="F14" s="266"/>
      <c r="G14" s="266"/>
      <c r="H14" s="266"/>
      <c r="I14" s="266"/>
      <c r="J14" s="266"/>
      <c r="K14" s="266"/>
      <c r="L14" s="266"/>
      <c r="M14" s="266"/>
      <c r="N14" s="266"/>
      <c r="O14" s="267"/>
    </row>
    <row r="15" spans="2:15">
      <c r="B15" s="156" t="s">
        <v>307</v>
      </c>
      <c r="O15" s="157"/>
    </row>
    <row r="16" spans="2:15">
      <c r="B16" s="156" t="s">
        <v>308</v>
      </c>
      <c r="O16" s="157"/>
    </row>
    <row r="17" spans="2:15">
      <c r="B17" s="156" t="s">
        <v>309</v>
      </c>
      <c r="O17" s="157"/>
    </row>
    <row r="18" spans="2:15">
      <c r="B18" s="156"/>
      <c r="O18" s="157"/>
    </row>
    <row r="19" spans="2:15">
      <c r="B19" s="156"/>
      <c r="O19" s="157"/>
    </row>
    <row r="20" spans="2:15">
      <c r="B20" s="156"/>
      <c r="O20" s="157"/>
    </row>
    <row r="21" spans="2:15">
      <c r="B21" s="156"/>
      <c r="O21" s="157"/>
    </row>
    <row r="22" spans="2:15">
      <c r="B22" s="156"/>
      <c r="O22" s="157"/>
    </row>
    <row r="23" spans="2:15">
      <c r="B23" s="156"/>
      <c r="O23" s="157"/>
    </row>
    <row r="24" spans="2:15">
      <c r="B24" s="156"/>
      <c r="O24" s="157"/>
    </row>
    <row r="25" spans="2:15">
      <c r="B25" s="156"/>
      <c r="O25" s="157"/>
    </row>
    <row r="26" spans="2:15">
      <c r="B26" s="156"/>
      <c r="O26" s="157"/>
    </row>
    <row r="27" spans="2:15">
      <c r="B27" s="156"/>
      <c r="O27" s="157"/>
    </row>
    <row r="28" spans="2:15">
      <c r="B28" s="156"/>
      <c r="O28" s="157"/>
    </row>
    <row r="29" spans="2:15">
      <c r="B29" s="156"/>
      <c r="O29" s="157"/>
    </row>
    <row r="30" spans="2:15">
      <c r="B30" s="156"/>
      <c r="O30" s="157"/>
    </row>
    <row r="31" spans="2:15">
      <c r="B31" s="156"/>
      <c r="O31" s="157"/>
    </row>
    <row r="32" spans="2:15">
      <c r="B32" s="156"/>
      <c r="O32" s="157"/>
    </row>
    <row r="33" spans="2:15">
      <c r="B33" s="156"/>
      <c r="O33" s="157"/>
    </row>
    <row r="34" spans="2:15" ht="13.5" thickBot="1">
      <c r="B34" s="162"/>
      <c r="C34" s="163"/>
      <c r="D34" s="163"/>
      <c r="E34" s="163"/>
      <c r="F34" s="163"/>
      <c r="G34" s="163"/>
      <c r="H34" s="163"/>
      <c r="I34" s="163"/>
      <c r="J34" s="163"/>
      <c r="K34" s="163"/>
      <c r="L34" s="163"/>
      <c r="M34" s="163"/>
      <c r="N34" s="163"/>
      <c r="O34" s="164"/>
    </row>
    <row r="35" spans="2:15" ht="21.5" thickBot="1">
      <c r="B35" s="274" t="s">
        <v>310</v>
      </c>
      <c r="C35" s="275"/>
      <c r="D35" s="275"/>
      <c r="E35" s="275"/>
      <c r="F35" s="275"/>
      <c r="G35" s="275"/>
      <c r="H35" s="275"/>
      <c r="I35" s="275"/>
      <c r="J35" s="275"/>
      <c r="K35" s="275"/>
      <c r="L35" s="275"/>
      <c r="M35" s="275"/>
      <c r="N35" s="275"/>
      <c r="O35" s="276"/>
    </row>
    <row r="36" spans="2:15">
      <c r="B36" s="156" t="s">
        <v>307</v>
      </c>
      <c r="O36" s="157"/>
    </row>
    <row r="37" spans="2:15">
      <c r="B37" s="156" t="s">
        <v>308</v>
      </c>
      <c r="O37" s="157"/>
    </row>
    <row r="38" spans="2:15">
      <c r="B38" s="156" t="s">
        <v>309</v>
      </c>
      <c r="O38" s="157"/>
    </row>
    <row r="39" spans="2:15">
      <c r="B39" s="156"/>
      <c r="O39" s="157"/>
    </row>
    <row r="40" spans="2:15">
      <c r="B40" s="156"/>
      <c r="O40" s="157"/>
    </row>
    <row r="41" spans="2:15">
      <c r="B41" s="156"/>
      <c r="O41" s="157"/>
    </row>
    <row r="42" spans="2:15">
      <c r="B42" s="156"/>
      <c r="O42" s="157"/>
    </row>
    <row r="43" spans="2:15">
      <c r="B43" s="156"/>
      <c r="O43" s="157"/>
    </row>
    <row r="44" spans="2:15">
      <c r="B44" s="156"/>
      <c r="O44" s="157"/>
    </row>
    <row r="45" spans="2:15">
      <c r="B45" s="156"/>
      <c r="O45" s="157"/>
    </row>
    <row r="46" spans="2:15">
      <c r="B46" s="156"/>
      <c r="O46" s="157"/>
    </row>
    <row r="47" spans="2:15">
      <c r="B47" s="156"/>
      <c r="O47" s="157"/>
    </row>
    <row r="48" spans="2:15">
      <c r="B48" s="156"/>
      <c r="O48" s="157"/>
    </row>
    <row r="49" spans="2:15">
      <c r="B49" s="156"/>
      <c r="O49" s="157"/>
    </row>
    <row r="50" spans="2:15">
      <c r="B50" s="156"/>
      <c r="O50" s="157"/>
    </row>
    <row r="51" spans="2:15">
      <c r="B51" s="156"/>
      <c r="O51" s="157"/>
    </row>
    <row r="52" spans="2:15">
      <c r="B52" s="156"/>
      <c r="O52" s="157"/>
    </row>
    <row r="53" spans="2:15" ht="13.5" thickBot="1">
      <c r="B53" s="156"/>
      <c r="O53" s="157"/>
    </row>
    <row r="54" spans="2:15" ht="21">
      <c r="B54" s="265" t="s">
        <v>311</v>
      </c>
      <c r="C54" s="266"/>
      <c r="D54" s="266"/>
      <c r="E54" s="266"/>
      <c r="F54" s="266"/>
      <c r="G54" s="266"/>
      <c r="H54" s="266"/>
      <c r="I54" s="266"/>
      <c r="J54" s="266"/>
      <c r="K54" s="266"/>
      <c r="L54" s="266"/>
      <c r="M54" s="266"/>
      <c r="N54" s="266"/>
      <c r="O54" s="267"/>
    </row>
    <row r="55" spans="2:15">
      <c r="B55" s="156" t="s">
        <v>307</v>
      </c>
      <c r="O55" s="157"/>
    </row>
    <row r="56" spans="2:15">
      <c r="B56" s="156" t="s">
        <v>308</v>
      </c>
      <c r="O56" s="157"/>
    </row>
    <row r="57" spans="2:15">
      <c r="B57" s="156" t="s">
        <v>309</v>
      </c>
      <c r="O57" s="157"/>
    </row>
    <row r="58" spans="2:15">
      <c r="B58" s="156"/>
      <c r="O58" s="157"/>
    </row>
    <row r="59" spans="2:15">
      <c r="B59" s="156"/>
      <c r="O59" s="157"/>
    </row>
    <row r="60" spans="2:15">
      <c r="B60" s="156"/>
      <c r="O60" s="157"/>
    </row>
    <row r="61" spans="2:15">
      <c r="B61" s="156"/>
      <c r="O61" s="157"/>
    </row>
    <row r="62" spans="2:15">
      <c r="B62" s="156"/>
      <c r="O62" s="157"/>
    </row>
    <row r="63" spans="2:15">
      <c r="B63" s="156"/>
      <c r="O63" s="157"/>
    </row>
    <row r="64" spans="2:15">
      <c r="B64" s="156"/>
      <c r="O64" s="157"/>
    </row>
    <row r="65" spans="2:15">
      <c r="B65" s="156"/>
      <c r="O65" s="157"/>
    </row>
    <row r="66" spans="2:15">
      <c r="B66" s="156"/>
      <c r="O66" s="157"/>
    </row>
    <row r="67" spans="2:15">
      <c r="B67" s="156"/>
      <c r="O67" s="157"/>
    </row>
    <row r="68" spans="2:15">
      <c r="B68" s="156"/>
      <c r="O68" s="157"/>
    </row>
    <row r="69" spans="2:15">
      <c r="B69" s="156"/>
      <c r="O69" s="157"/>
    </row>
    <row r="70" spans="2:15">
      <c r="B70" s="156"/>
      <c r="O70" s="157"/>
    </row>
    <row r="71" spans="2:15">
      <c r="B71" s="156"/>
      <c r="O71" s="157"/>
    </row>
    <row r="72" spans="2:15">
      <c r="B72" s="156"/>
      <c r="O72" s="157"/>
    </row>
    <row r="73" spans="2:15">
      <c r="B73" s="156"/>
      <c r="O73" s="157"/>
    </row>
    <row r="74" spans="2:15">
      <c r="B74" s="156"/>
      <c r="O74" s="157"/>
    </row>
    <row r="75" spans="2:15">
      <c r="B75" s="156"/>
      <c r="O75" s="157"/>
    </row>
    <row r="76" spans="2:15" ht="13.5" thickBot="1">
      <c r="B76" s="162"/>
      <c r="C76" s="163"/>
      <c r="D76" s="163"/>
      <c r="E76" s="163"/>
      <c r="F76" s="163"/>
      <c r="G76" s="163"/>
      <c r="H76" s="163"/>
      <c r="I76" s="163"/>
      <c r="J76" s="163"/>
      <c r="K76" s="163"/>
      <c r="L76" s="163"/>
      <c r="M76" s="163"/>
      <c r="N76" s="163"/>
      <c r="O76" s="164"/>
    </row>
  </sheetData>
  <mergeCells count="12">
    <mergeCell ref="B54:O54"/>
    <mergeCell ref="B1:O1"/>
    <mergeCell ref="C5:H5"/>
    <mergeCell ref="C6:H6"/>
    <mergeCell ref="C7:H7"/>
    <mergeCell ref="C8:H8"/>
    <mergeCell ref="C9:H9"/>
    <mergeCell ref="C10:H10"/>
    <mergeCell ref="C11:H11"/>
    <mergeCell ref="C12:H12"/>
    <mergeCell ref="B14:O14"/>
    <mergeCell ref="B35:O35"/>
  </mergeCells>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9EC5A-5B30-4147-9CD1-EB28AB0FADD9}">
  <sheetPr codeName="Sheet6"/>
  <dimension ref="A1:AL1157"/>
  <sheetViews>
    <sheetView showGridLines="0" topLeftCell="A27" zoomScaleNormal="100" workbookViewId="0">
      <selection activeCell="C48" sqref="C48:T48"/>
    </sheetView>
  </sheetViews>
  <sheetFormatPr defaultColWidth="14.36328125" defaultRowHeight="15" customHeight="1"/>
  <cols>
    <col min="1" max="1" width="0.81640625" style="168" customWidth="1"/>
    <col min="2" max="2" width="12.81640625" style="168" customWidth="1"/>
    <col min="3" max="3" width="9.08984375" style="168" customWidth="1"/>
    <col min="4" max="4" width="7.08984375" style="168" customWidth="1"/>
    <col min="5" max="5" width="6.54296875" style="168" customWidth="1"/>
    <col min="6" max="6" width="6.36328125" style="168" customWidth="1"/>
    <col min="7" max="7" width="7.08984375" style="168" customWidth="1"/>
    <col min="8" max="9" width="5.54296875" style="168" customWidth="1"/>
    <col min="10" max="10" width="4.81640625" style="168" customWidth="1"/>
    <col min="11" max="11" width="6" style="168" customWidth="1"/>
    <col min="12" max="12" width="7" style="168" customWidth="1"/>
    <col min="13" max="13" width="4.08984375" style="168" customWidth="1"/>
    <col min="14" max="14" width="5.08984375" style="168" customWidth="1"/>
    <col min="15" max="15" width="4.81640625" style="168" customWidth="1"/>
    <col min="16" max="16" width="5.81640625" style="168" customWidth="1"/>
    <col min="17" max="19" width="3.08984375" style="168" customWidth="1"/>
    <col min="20" max="20" width="11.81640625" style="168" customWidth="1"/>
    <col min="21" max="38" width="6.08984375" style="168" customWidth="1"/>
    <col min="39" max="16384" width="14.36328125" style="168"/>
  </cols>
  <sheetData>
    <row r="1" spans="1:38" ht="27.75" customHeight="1" thickBot="1">
      <c r="A1" s="165"/>
      <c r="B1" s="166"/>
      <c r="C1" s="286" t="s">
        <v>312</v>
      </c>
      <c r="D1" s="287"/>
      <c r="E1" s="287"/>
      <c r="F1" s="287"/>
      <c r="G1" s="287"/>
      <c r="H1" s="287"/>
      <c r="I1" s="287"/>
      <c r="J1" s="287"/>
      <c r="K1" s="287"/>
      <c r="L1" s="287"/>
      <c r="M1" s="287"/>
      <c r="N1" s="287"/>
      <c r="O1" s="287"/>
      <c r="P1" s="287"/>
      <c r="Q1" s="287"/>
      <c r="R1" s="287"/>
      <c r="S1" s="287"/>
      <c r="T1" s="287"/>
      <c r="U1" s="165"/>
      <c r="V1" s="165"/>
      <c r="W1" s="165"/>
      <c r="X1" s="165"/>
      <c r="Y1" s="165"/>
      <c r="Z1" s="165"/>
      <c r="AA1" s="165"/>
      <c r="AB1" s="165"/>
      <c r="AC1" s="165"/>
      <c r="AD1" s="165"/>
      <c r="AE1" s="165"/>
      <c r="AF1" s="165"/>
      <c r="AG1" s="165"/>
      <c r="AH1" s="167"/>
      <c r="AI1" s="167"/>
      <c r="AJ1" s="167"/>
      <c r="AK1" s="167"/>
      <c r="AL1" s="167"/>
    </row>
    <row r="2" spans="1:38" ht="30" customHeight="1" thickBot="1">
      <c r="A2" s="165"/>
      <c r="B2" s="169" t="s">
        <v>313</v>
      </c>
      <c r="C2" s="288"/>
      <c r="D2" s="289"/>
      <c r="E2" s="289"/>
      <c r="F2" s="289"/>
      <c r="G2" s="289"/>
      <c r="H2" s="289"/>
      <c r="I2" s="290"/>
      <c r="J2" s="291" t="s">
        <v>314</v>
      </c>
      <c r="K2" s="289"/>
      <c r="L2" s="290"/>
      <c r="M2" s="292"/>
      <c r="N2" s="289"/>
      <c r="O2" s="289"/>
      <c r="P2" s="289"/>
      <c r="Q2" s="289"/>
      <c r="R2" s="289"/>
      <c r="S2" s="289"/>
      <c r="T2" s="293"/>
      <c r="U2" s="165"/>
      <c r="V2" s="165"/>
      <c r="W2" s="165"/>
      <c r="X2" s="165"/>
      <c r="Y2" s="165"/>
      <c r="Z2" s="165"/>
      <c r="AA2" s="165"/>
      <c r="AB2" s="165"/>
      <c r="AC2" s="165"/>
      <c r="AD2" s="165"/>
      <c r="AE2" s="165"/>
      <c r="AF2" s="165"/>
      <c r="AG2" s="165"/>
      <c r="AH2" s="167"/>
      <c r="AI2" s="167"/>
      <c r="AJ2" s="167"/>
      <c r="AK2" s="167"/>
      <c r="AL2" s="167"/>
    </row>
    <row r="3" spans="1:38" ht="39.75" customHeight="1">
      <c r="A3" s="165"/>
      <c r="B3" s="170" t="s">
        <v>315</v>
      </c>
      <c r="C3" s="294"/>
      <c r="D3" s="295"/>
      <c r="E3" s="295"/>
      <c r="F3" s="295"/>
      <c r="G3" s="295"/>
      <c r="H3" s="295"/>
      <c r="I3" s="295"/>
      <c r="J3" s="295"/>
      <c r="K3" s="295"/>
      <c r="L3" s="295"/>
      <c r="M3" s="295"/>
      <c r="N3" s="295"/>
      <c r="O3" s="295"/>
      <c r="P3" s="295"/>
      <c r="Q3" s="295"/>
      <c r="R3" s="295"/>
      <c r="S3" s="295"/>
      <c r="T3" s="296"/>
      <c r="U3" s="165"/>
      <c r="V3" s="165"/>
      <c r="W3" s="165"/>
      <c r="X3" s="165"/>
      <c r="Y3" s="165"/>
      <c r="Z3" s="165"/>
      <c r="AA3" s="165"/>
      <c r="AB3" s="165"/>
      <c r="AC3" s="165"/>
      <c r="AD3" s="165"/>
      <c r="AE3" s="165"/>
      <c r="AF3" s="165"/>
      <c r="AG3" s="165"/>
      <c r="AH3" s="167"/>
      <c r="AI3" s="167"/>
      <c r="AJ3" s="167"/>
      <c r="AK3" s="167"/>
      <c r="AL3" s="167"/>
    </row>
    <row r="4" spans="1:38" ht="19.5" customHeight="1">
      <c r="A4" s="165"/>
      <c r="B4" s="171" t="s">
        <v>316</v>
      </c>
      <c r="C4" s="172"/>
      <c r="D4" s="173"/>
      <c r="E4" s="173"/>
      <c r="F4" s="173"/>
      <c r="G4" s="173"/>
      <c r="H4" s="173"/>
      <c r="I4" s="173"/>
      <c r="J4" s="173"/>
      <c r="K4" s="173"/>
      <c r="L4" s="173"/>
      <c r="M4" s="173"/>
      <c r="N4" s="173"/>
      <c r="O4" s="173"/>
      <c r="P4" s="173"/>
      <c r="Q4" s="173"/>
      <c r="R4" s="173"/>
      <c r="S4" s="173"/>
      <c r="T4" s="174"/>
      <c r="U4" s="165"/>
      <c r="V4" s="165"/>
      <c r="W4" s="165"/>
      <c r="X4" s="165"/>
      <c r="Y4" s="165"/>
      <c r="Z4" s="165"/>
      <c r="AA4" s="165"/>
      <c r="AB4" s="165"/>
      <c r="AC4" s="165"/>
      <c r="AD4" s="165"/>
      <c r="AE4" s="165"/>
      <c r="AF4" s="165"/>
      <c r="AG4" s="165"/>
      <c r="AH4" s="167"/>
      <c r="AI4" s="167"/>
      <c r="AJ4" s="167"/>
      <c r="AK4" s="167"/>
      <c r="AL4" s="167"/>
    </row>
    <row r="5" spans="1:38" ht="19.5" customHeight="1">
      <c r="A5" s="165"/>
      <c r="B5" s="171" t="s">
        <v>317</v>
      </c>
      <c r="C5" s="297" t="s">
        <v>318</v>
      </c>
      <c r="D5" s="298"/>
      <c r="E5" s="298"/>
      <c r="F5" s="298"/>
      <c r="G5" s="298"/>
      <c r="H5" s="298"/>
      <c r="I5" s="298"/>
      <c r="J5" s="298"/>
      <c r="K5" s="298"/>
      <c r="L5" s="298"/>
      <c r="M5" s="298"/>
      <c r="N5" s="298"/>
      <c r="O5" s="298"/>
      <c r="P5" s="298"/>
      <c r="Q5" s="298"/>
      <c r="R5" s="298"/>
      <c r="S5" s="298"/>
      <c r="T5" s="299"/>
      <c r="U5" s="165"/>
      <c r="V5" s="165"/>
      <c r="W5" s="165"/>
      <c r="X5" s="165"/>
      <c r="Y5" s="165"/>
      <c r="Z5" s="165"/>
      <c r="AA5" s="165"/>
      <c r="AB5" s="165"/>
      <c r="AC5" s="165"/>
      <c r="AD5" s="165"/>
      <c r="AE5" s="165"/>
      <c r="AF5" s="165"/>
      <c r="AG5" s="165"/>
      <c r="AH5" s="167"/>
      <c r="AI5" s="167"/>
      <c r="AJ5" s="167"/>
      <c r="AK5" s="167"/>
      <c r="AL5" s="167"/>
    </row>
    <row r="6" spans="1:38" ht="19.5" customHeight="1">
      <c r="A6" s="165"/>
      <c r="B6" s="171" t="s">
        <v>319</v>
      </c>
      <c r="C6" s="277" t="s">
        <v>320</v>
      </c>
      <c r="D6" s="278"/>
      <c r="E6" s="278"/>
      <c r="F6" s="278"/>
      <c r="G6" s="278"/>
      <c r="H6" s="278"/>
      <c r="I6" s="278"/>
      <c r="J6" s="278"/>
      <c r="K6" s="278"/>
      <c r="L6" s="278"/>
      <c r="M6" s="278"/>
      <c r="N6" s="278"/>
      <c r="O6" s="278"/>
      <c r="P6" s="278"/>
      <c r="Q6" s="278"/>
      <c r="R6" s="278"/>
      <c r="S6" s="278"/>
      <c r="T6" s="279"/>
      <c r="U6" s="165"/>
      <c r="V6" s="165"/>
      <c r="W6" s="165"/>
      <c r="X6" s="165"/>
      <c r="Y6" s="165"/>
      <c r="Z6" s="165"/>
      <c r="AA6" s="165"/>
      <c r="AB6" s="165"/>
      <c r="AC6" s="165"/>
      <c r="AD6" s="165"/>
      <c r="AE6" s="165"/>
      <c r="AF6" s="165"/>
      <c r="AG6" s="165"/>
      <c r="AH6" s="167"/>
      <c r="AI6" s="167"/>
      <c r="AJ6" s="167"/>
      <c r="AK6" s="167"/>
      <c r="AL6" s="167"/>
    </row>
    <row r="7" spans="1:38" ht="19.5" customHeight="1">
      <c r="A7" s="165"/>
      <c r="B7" s="171" t="s">
        <v>321</v>
      </c>
      <c r="C7" s="277" t="str">
        <f>IF(AND(C6="HH2",C5="Line4"),"52",IF(AND(C6="HH2",C5="Line5"),"54",IF(C6="HF1","50",IF(C6="CAMO","54",IF(C6="Turbo","54",IF(C6="HH1 ADH","50",IF(C6="CuraHeat","50",IF(C6="HH1","50",IF(C6="Slick Back","50",IF(C6="Direct Skin","35",IF(C6="Lap Warmer","35",IF(C6="TW","58"))))))))))))</f>
        <v>50</v>
      </c>
      <c r="D7" s="278"/>
      <c r="E7" s="278"/>
      <c r="F7" s="278"/>
      <c r="G7" s="278"/>
      <c r="H7" s="278"/>
      <c r="I7" s="278"/>
      <c r="J7" s="278"/>
      <c r="K7" s="278"/>
      <c r="L7" s="278"/>
      <c r="M7" s="278"/>
      <c r="N7" s="278"/>
      <c r="O7" s="278"/>
      <c r="P7" s="278"/>
      <c r="Q7" s="278"/>
      <c r="R7" s="278"/>
      <c r="S7" s="278"/>
      <c r="T7" s="279"/>
      <c r="U7" s="165"/>
      <c r="V7" s="165"/>
      <c r="W7" s="165"/>
      <c r="X7" s="165"/>
      <c r="Y7" s="165"/>
      <c r="Z7" s="165"/>
      <c r="AA7" s="165"/>
      <c r="AB7" s="165"/>
      <c r="AC7" s="165"/>
      <c r="AD7" s="165"/>
      <c r="AE7" s="165"/>
      <c r="AF7" s="165"/>
      <c r="AG7" s="165"/>
      <c r="AH7" s="167"/>
      <c r="AI7" s="167"/>
      <c r="AJ7" s="167"/>
      <c r="AK7" s="167"/>
      <c r="AL7" s="167"/>
    </row>
    <row r="8" spans="1:38" ht="19.5" customHeight="1">
      <c r="A8" s="165"/>
      <c r="B8" s="171" t="s">
        <v>322</v>
      </c>
      <c r="C8" s="280" t="s">
        <v>323</v>
      </c>
      <c r="D8" s="281"/>
      <c r="E8" s="281"/>
      <c r="F8" s="281"/>
      <c r="G8" s="281"/>
      <c r="H8" s="281"/>
      <c r="I8" s="281"/>
      <c r="J8" s="281"/>
      <c r="K8" s="281"/>
      <c r="L8" s="281"/>
      <c r="M8" s="281"/>
      <c r="N8" s="281"/>
      <c r="O8" s="281"/>
      <c r="P8" s="281"/>
      <c r="Q8" s="281"/>
      <c r="R8" s="281"/>
      <c r="S8" s="281"/>
      <c r="T8" s="282"/>
      <c r="U8" s="165"/>
      <c r="V8" s="165"/>
      <c r="W8" s="165"/>
      <c r="X8" s="165"/>
      <c r="Y8" s="165"/>
      <c r="Z8" s="165"/>
      <c r="AA8" s="165"/>
      <c r="AB8" s="165"/>
      <c r="AC8" s="165"/>
      <c r="AD8" s="165"/>
      <c r="AE8" s="165"/>
      <c r="AF8" s="165"/>
      <c r="AG8" s="165"/>
      <c r="AH8" s="167"/>
      <c r="AI8" s="167"/>
      <c r="AJ8" s="167"/>
      <c r="AK8" s="167"/>
      <c r="AL8" s="167"/>
    </row>
    <row r="9" spans="1:38" ht="28.5" customHeight="1">
      <c r="A9" s="165"/>
      <c r="B9" s="175" t="s">
        <v>324</v>
      </c>
      <c r="C9" s="283" t="s">
        <v>325</v>
      </c>
      <c r="D9" s="284"/>
      <c r="E9" s="284"/>
      <c r="F9" s="284"/>
      <c r="G9" s="284"/>
      <c r="H9" s="284"/>
      <c r="I9" s="284"/>
      <c r="J9" s="284"/>
      <c r="K9" s="284"/>
      <c r="L9" s="284"/>
      <c r="M9" s="284"/>
      <c r="N9" s="284"/>
      <c r="O9" s="284"/>
      <c r="P9" s="284"/>
      <c r="Q9" s="284"/>
      <c r="R9" s="284"/>
      <c r="S9" s="284"/>
      <c r="T9" s="285"/>
      <c r="U9" s="165"/>
      <c r="V9" s="165"/>
      <c r="W9" s="165"/>
      <c r="X9" s="165"/>
      <c r="Y9" s="165"/>
      <c r="Z9" s="165"/>
      <c r="AA9" s="165"/>
      <c r="AB9" s="165"/>
      <c r="AC9" s="165"/>
      <c r="AD9" s="165"/>
      <c r="AE9" s="165"/>
      <c r="AF9" s="165"/>
      <c r="AG9" s="165"/>
      <c r="AH9" s="167"/>
      <c r="AI9" s="167"/>
      <c r="AJ9" s="167"/>
      <c r="AK9" s="167"/>
      <c r="AL9" s="167"/>
    </row>
    <row r="10" spans="1:38" ht="19.5" customHeight="1">
      <c r="A10" s="165"/>
      <c r="B10" s="175" t="s">
        <v>326</v>
      </c>
      <c r="C10" s="283" t="s">
        <v>327</v>
      </c>
      <c r="D10" s="284"/>
      <c r="E10" s="284"/>
      <c r="F10" s="284"/>
      <c r="G10" s="284"/>
      <c r="H10" s="284"/>
      <c r="I10" s="284"/>
      <c r="J10" s="284"/>
      <c r="K10" s="284"/>
      <c r="L10" s="284"/>
      <c r="M10" s="284"/>
      <c r="N10" s="284"/>
      <c r="O10" s="284"/>
      <c r="P10" s="284"/>
      <c r="Q10" s="284"/>
      <c r="R10" s="284"/>
      <c r="S10" s="284"/>
      <c r="T10" s="285"/>
      <c r="U10" s="165"/>
      <c r="V10" s="165"/>
      <c r="W10" s="165"/>
      <c r="X10" s="165"/>
      <c r="Y10" s="165"/>
      <c r="Z10" s="165"/>
      <c r="AA10" s="165"/>
      <c r="AB10" s="165"/>
      <c r="AC10" s="165"/>
      <c r="AD10" s="165"/>
      <c r="AE10" s="165"/>
      <c r="AF10" s="165"/>
      <c r="AG10" s="165"/>
      <c r="AH10" s="167"/>
      <c r="AI10" s="167"/>
      <c r="AJ10" s="167"/>
      <c r="AK10" s="167"/>
      <c r="AL10" s="167"/>
    </row>
    <row r="11" spans="1:38" ht="19.5" customHeight="1">
      <c r="A11" s="165"/>
      <c r="B11" s="176" t="s">
        <v>328</v>
      </c>
      <c r="C11" s="283" t="s">
        <v>329</v>
      </c>
      <c r="D11" s="284"/>
      <c r="E11" s="284"/>
      <c r="F11" s="284"/>
      <c r="G11" s="284"/>
      <c r="H11" s="284"/>
      <c r="I11" s="284"/>
      <c r="J11" s="284"/>
      <c r="K11" s="284"/>
      <c r="L11" s="284"/>
      <c r="M11" s="284"/>
      <c r="N11" s="284"/>
      <c r="O11" s="284"/>
      <c r="P11" s="284"/>
      <c r="Q11" s="284"/>
      <c r="R11" s="284"/>
      <c r="S11" s="284"/>
      <c r="T11" s="285"/>
      <c r="U11" s="165"/>
      <c r="V11" s="165"/>
      <c r="W11" s="165"/>
      <c r="X11" s="165"/>
      <c r="Y11" s="165"/>
      <c r="Z11" s="165"/>
      <c r="AA11" s="165"/>
      <c r="AB11" s="165"/>
      <c r="AC11" s="165"/>
      <c r="AD11" s="165"/>
      <c r="AE11" s="165"/>
      <c r="AF11" s="165"/>
      <c r="AG11" s="165"/>
      <c r="AH11" s="167"/>
      <c r="AI11" s="167"/>
      <c r="AJ11" s="167"/>
      <c r="AK11" s="167"/>
      <c r="AL11" s="167"/>
    </row>
    <row r="12" spans="1:38" ht="19.5" customHeight="1">
      <c r="A12" s="165"/>
      <c r="B12" s="300" t="s">
        <v>330</v>
      </c>
      <c r="C12" s="302"/>
      <c r="D12" s="303"/>
      <c r="E12" s="303"/>
      <c r="F12" s="303"/>
      <c r="G12" s="303"/>
      <c r="H12" s="303"/>
      <c r="I12" s="303"/>
      <c r="J12" s="303"/>
      <c r="K12" s="303"/>
      <c r="L12" s="303"/>
      <c r="M12" s="303"/>
      <c r="N12" s="303"/>
      <c r="O12" s="303"/>
      <c r="P12" s="303"/>
      <c r="Q12" s="303"/>
      <c r="R12" s="303"/>
      <c r="S12" s="303"/>
      <c r="T12" s="304"/>
      <c r="U12" s="165"/>
      <c r="V12" s="165"/>
      <c r="W12" s="165"/>
      <c r="X12" s="165"/>
      <c r="Y12" s="165"/>
      <c r="Z12" s="165"/>
      <c r="AA12" s="165"/>
      <c r="AB12" s="165"/>
      <c r="AC12" s="165"/>
      <c r="AD12" s="165"/>
      <c r="AE12" s="165"/>
      <c r="AF12" s="165"/>
      <c r="AG12" s="165"/>
      <c r="AH12" s="167"/>
      <c r="AI12" s="167"/>
      <c r="AJ12" s="167"/>
      <c r="AK12" s="167"/>
      <c r="AL12" s="167"/>
    </row>
    <row r="13" spans="1:38" ht="19.5" customHeight="1">
      <c r="A13" s="165"/>
      <c r="B13" s="301"/>
      <c r="C13" s="305"/>
      <c r="D13" s="306"/>
      <c r="E13" s="306"/>
      <c r="F13" s="306"/>
      <c r="G13" s="306"/>
      <c r="H13" s="306"/>
      <c r="I13" s="306"/>
      <c r="J13" s="306"/>
      <c r="K13" s="306"/>
      <c r="L13" s="306"/>
      <c r="M13" s="306"/>
      <c r="N13" s="306"/>
      <c r="O13" s="306"/>
      <c r="P13" s="306"/>
      <c r="Q13" s="306"/>
      <c r="R13" s="306"/>
      <c r="S13" s="306"/>
      <c r="T13" s="307"/>
      <c r="U13" s="165"/>
      <c r="V13" s="165"/>
      <c r="W13" s="165"/>
      <c r="X13" s="165"/>
      <c r="Y13" s="165"/>
      <c r="Z13" s="165"/>
      <c r="AA13" s="165"/>
      <c r="AB13" s="165"/>
      <c r="AC13" s="165"/>
      <c r="AD13" s="165"/>
      <c r="AE13" s="165"/>
      <c r="AF13" s="165"/>
      <c r="AG13" s="165"/>
      <c r="AH13" s="167"/>
      <c r="AI13" s="167"/>
      <c r="AJ13" s="167"/>
      <c r="AK13" s="167"/>
      <c r="AL13" s="167"/>
    </row>
    <row r="14" spans="1:38" ht="19.5" customHeight="1" thickBot="1">
      <c r="A14" s="165"/>
      <c r="B14" s="177" t="s">
        <v>331</v>
      </c>
      <c r="C14" s="308"/>
      <c r="D14" s="309"/>
      <c r="E14" s="309"/>
      <c r="F14" s="309"/>
      <c r="G14" s="309"/>
      <c r="H14" s="309"/>
      <c r="I14" s="310"/>
      <c r="J14" s="311" t="s">
        <v>332</v>
      </c>
      <c r="K14" s="309"/>
      <c r="L14" s="310"/>
      <c r="M14" s="312"/>
      <c r="N14" s="309"/>
      <c r="O14" s="309"/>
      <c r="P14" s="309"/>
      <c r="Q14" s="309"/>
      <c r="R14" s="309"/>
      <c r="S14" s="309"/>
      <c r="T14" s="313"/>
      <c r="U14" s="165"/>
      <c r="V14" s="165"/>
      <c r="W14" s="165"/>
      <c r="X14" s="165"/>
      <c r="Y14" s="165"/>
      <c r="Z14" s="165"/>
      <c r="AA14" s="165"/>
      <c r="AB14" s="165"/>
      <c r="AC14" s="165"/>
      <c r="AD14" s="165"/>
      <c r="AE14" s="165"/>
      <c r="AF14" s="165"/>
      <c r="AG14" s="165"/>
      <c r="AH14" s="167"/>
      <c r="AI14" s="167"/>
      <c r="AJ14" s="167"/>
      <c r="AK14" s="167"/>
      <c r="AL14" s="167"/>
    </row>
    <row r="15" spans="1:38" ht="19.5" customHeight="1">
      <c r="A15" s="165"/>
      <c r="B15" s="314"/>
      <c r="C15" s="178" t="s">
        <v>333</v>
      </c>
      <c r="D15" s="179"/>
      <c r="E15" s="179"/>
      <c r="F15" s="165"/>
      <c r="G15" s="179"/>
      <c r="H15" s="179"/>
      <c r="I15" s="179"/>
      <c r="J15" s="179"/>
      <c r="K15" s="179"/>
      <c r="L15" s="179"/>
      <c r="M15" s="179"/>
      <c r="N15" s="179"/>
      <c r="O15" s="165"/>
      <c r="P15" s="165"/>
      <c r="Q15" s="165"/>
      <c r="R15" s="179"/>
      <c r="S15" s="180"/>
      <c r="T15" s="181"/>
      <c r="U15" s="165"/>
      <c r="V15" s="165"/>
      <c r="W15" s="165"/>
      <c r="X15" s="165"/>
      <c r="Y15" s="165"/>
      <c r="Z15" s="165"/>
      <c r="AA15" s="165"/>
      <c r="AB15" s="165"/>
      <c r="AC15" s="165"/>
      <c r="AD15" s="165"/>
      <c r="AE15" s="165"/>
      <c r="AF15" s="165"/>
      <c r="AG15" s="165"/>
      <c r="AH15" s="167"/>
      <c r="AI15" s="167"/>
      <c r="AJ15" s="167"/>
      <c r="AK15" s="167"/>
      <c r="AL15" s="167"/>
    </row>
    <row r="16" spans="1:38" ht="15.75" customHeight="1">
      <c r="A16" s="165"/>
      <c r="B16" s="315"/>
      <c r="C16" s="182"/>
      <c r="D16" s="179"/>
      <c r="E16" s="179"/>
      <c r="F16" s="165"/>
      <c r="G16" s="179"/>
      <c r="H16" s="179"/>
      <c r="I16" s="179"/>
      <c r="J16" s="179"/>
      <c r="K16" s="179"/>
      <c r="L16" s="179"/>
      <c r="M16" s="179"/>
      <c r="N16" s="179"/>
      <c r="O16" s="165"/>
      <c r="P16" s="165"/>
      <c r="Q16" s="165"/>
      <c r="R16" s="179"/>
      <c r="S16" s="179"/>
      <c r="T16" s="181"/>
      <c r="U16" s="165"/>
      <c r="V16" s="165"/>
      <c r="W16" s="165"/>
      <c r="X16" s="165"/>
      <c r="Y16" s="165"/>
      <c r="Z16" s="165"/>
      <c r="AA16" s="165"/>
      <c r="AB16" s="165"/>
      <c r="AC16" s="165"/>
      <c r="AD16" s="165"/>
      <c r="AE16" s="165"/>
      <c r="AF16" s="165"/>
      <c r="AG16" s="165"/>
      <c r="AH16" s="167"/>
      <c r="AI16" s="167"/>
      <c r="AJ16" s="167"/>
      <c r="AK16" s="167"/>
      <c r="AL16" s="167"/>
    </row>
    <row r="17" spans="1:38" ht="19.5" customHeight="1">
      <c r="A17" s="165"/>
      <c r="B17" s="315"/>
      <c r="C17" s="316" t="s">
        <v>111</v>
      </c>
      <c r="D17" s="316"/>
      <c r="E17" s="316" t="s">
        <v>334</v>
      </c>
      <c r="F17" s="316"/>
      <c r="G17" s="316"/>
      <c r="H17" s="316"/>
      <c r="I17" s="316" t="s">
        <v>335</v>
      </c>
      <c r="J17" s="316"/>
      <c r="K17" s="316"/>
      <c r="L17" s="316"/>
      <c r="M17" s="316" t="s">
        <v>336</v>
      </c>
      <c r="N17" s="316"/>
      <c r="O17" s="316"/>
      <c r="P17" s="316"/>
      <c r="Q17" s="316"/>
      <c r="R17" s="316"/>
      <c r="S17" s="316"/>
      <c r="T17" s="181"/>
      <c r="U17" s="165"/>
      <c r="V17" s="165"/>
      <c r="W17" s="165"/>
      <c r="X17" s="165"/>
      <c r="Y17" s="165"/>
      <c r="Z17" s="165"/>
      <c r="AA17" s="165"/>
      <c r="AB17" s="165"/>
      <c r="AC17" s="165"/>
      <c r="AD17" s="165"/>
      <c r="AE17" s="165"/>
      <c r="AF17" s="165"/>
      <c r="AG17" s="165"/>
      <c r="AH17" s="167"/>
      <c r="AI17" s="167"/>
      <c r="AJ17" s="167"/>
      <c r="AK17" s="167"/>
      <c r="AL17" s="167"/>
    </row>
    <row r="18" spans="1:38" ht="19.5" customHeight="1">
      <c r="A18" s="165"/>
      <c r="B18" s="315"/>
      <c r="C18" s="317" t="s">
        <v>15</v>
      </c>
      <c r="D18" s="317"/>
      <c r="E18" s="318"/>
      <c r="F18" s="319"/>
      <c r="G18" s="319"/>
      <c r="H18" s="320"/>
      <c r="I18" s="317"/>
      <c r="J18" s="317"/>
      <c r="K18" s="317"/>
      <c r="L18" s="317"/>
      <c r="M18" s="321"/>
      <c r="N18" s="321"/>
      <c r="O18" s="321"/>
      <c r="P18" s="321"/>
      <c r="Q18" s="321"/>
      <c r="R18" s="321"/>
      <c r="S18" s="321"/>
      <c r="T18" s="181"/>
      <c r="U18" s="165"/>
      <c r="V18" s="165"/>
      <c r="W18" s="165"/>
      <c r="X18" s="165"/>
      <c r="Y18" s="165"/>
      <c r="Z18" s="165"/>
      <c r="AA18" s="165"/>
      <c r="AB18" s="165"/>
      <c r="AC18" s="165"/>
      <c r="AD18" s="165"/>
      <c r="AE18" s="165"/>
      <c r="AF18" s="165"/>
      <c r="AG18" s="165"/>
      <c r="AH18" s="167"/>
      <c r="AI18" s="167"/>
      <c r="AJ18" s="167"/>
      <c r="AK18" s="167"/>
      <c r="AL18" s="167"/>
    </row>
    <row r="19" spans="1:38" ht="19.5" customHeight="1">
      <c r="A19" s="165"/>
      <c r="B19" s="315"/>
      <c r="C19" s="317" t="s">
        <v>59</v>
      </c>
      <c r="D19" s="317"/>
      <c r="E19" s="318"/>
      <c r="F19" s="319"/>
      <c r="G19" s="319"/>
      <c r="H19" s="320"/>
      <c r="I19" s="317"/>
      <c r="J19" s="317"/>
      <c r="K19" s="317"/>
      <c r="L19" s="317"/>
      <c r="M19" s="321"/>
      <c r="N19" s="321"/>
      <c r="O19" s="321"/>
      <c r="P19" s="321"/>
      <c r="Q19" s="321"/>
      <c r="R19" s="321"/>
      <c r="S19" s="321"/>
      <c r="T19" s="181"/>
      <c r="U19" s="165"/>
      <c r="V19" s="165"/>
      <c r="W19" s="165"/>
      <c r="X19" s="165"/>
      <c r="Y19" s="165"/>
      <c r="Z19" s="165"/>
      <c r="AA19" s="165"/>
      <c r="AB19" s="165"/>
      <c r="AC19" s="165"/>
      <c r="AD19" s="165"/>
      <c r="AE19" s="165"/>
      <c r="AF19" s="165"/>
      <c r="AG19" s="165"/>
      <c r="AH19" s="167"/>
      <c r="AI19" s="167"/>
      <c r="AJ19" s="167"/>
      <c r="AK19" s="167"/>
      <c r="AL19" s="167"/>
    </row>
    <row r="20" spans="1:38" ht="19.5" customHeight="1">
      <c r="A20" s="165"/>
      <c r="B20" s="315"/>
      <c r="C20" s="317" t="s">
        <v>36</v>
      </c>
      <c r="D20" s="317"/>
      <c r="E20" s="318"/>
      <c r="F20" s="319"/>
      <c r="G20" s="319"/>
      <c r="H20" s="320"/>
      <c r="I20" s="317"/>
      <c r="J20" s="317"/>
      <c r="K20" s="317"/>
      <c r="L20" s="317"/>
      <c r="M20" s="321"/>
      <c r="N20" s="321"/>
      <c r="O20" s="321"/>
      <c r="P20" s="321"/>
      <c r="Q20" s="321"/>
      <c r="R20" s="321"/>
      <c r="S20" s="321"/>
      <c r="T20" s="181"/>
      <c r="U20" s="165"/>
      <c r="V20" s="165"/>
      <c r="W20" s="165"/>
      <c r="X20" s="165"/>
      <c r="Y20" s="165"/>
      <c r="Z20" s="165"/>
      <c r="AA20" s="165"/>
      <c r="AB20" s="165"/>
      <c r="AC20" s="165"/>
      <c r="AD20" s="165"/>
      <c r="AE20" s="165"/>
      <c r="AF20" s="165"/>
      <c r="AG20" s="165"/>
      <c r="AH20" s="167"/>
      <c r="AI20" s="167"/>
      <c r="AJ20" s="167"/>
      <c r="AK20" s="167"/>
      <c r="AL20" s="167"/>
    </row>
    <row r="21" spans="1:38" ht="19.5" customHeight="1">
      <c r="A21" s="165"/>
      <c r="B21" s="315"/>
      <c r="C21" s="317" t="s">
        <v>188</v>
      </c>
      <c r="D21" s="317"/>
      <c r="E21" s="318"/>
      <c r="F21" s="319"/>
      <c r="G21" s="319"/>
      <c r="H21" s="320"/>
      <c r="I21" s="317"/>
      <c r="J21" s="317"/>
      <c r="K21" s="317"/>
      <c r="L21" s="317"/>
      <c r="M21" s="321"/>
      <c r="N21" s="321"/>
      <c r="O21" s="321"/>
      <c r="P21" s="321"/>
      <c r="Q21" s="321"/>
      <c r="R21" s="321"/>
      <c r="S21" s="321"/>
      <c r="T21" s="181"/>
      <c r="U21" s="165"/>
      <c r="V21" s="165"/>
      <c r="W21" s="165"/>
      <c r="X21" s="165"/>
      <c r="Y21" s="165"/>
      <c r="Z21" s="165"/>
      <c r="AA21" s="165"/>
      <c r="AB21" s="165"/>
      <c r="AC21" s="165"/>
      <c r="AD21" s="165"/>
      <c r="AE21" s="165"/>
      <c r="AF21" s="165"/>
      <c r="AG21" s="165"/>
      <c r="AH21" s="167"/>
      <c r="AI21" s="167"/>
      <c r="AJ21" s="167"/>
      <c r="AK21" s="167"/>
      <c r="AL21" s="167"/>
    </row>
    <row r="22" spans="1:38" ht="19.5" customHeight="1">
      <c r="A22" s="165"/>
      <c r="B22" s="315"/>
      <c r="C22" s="317" t="s">
        <v>83</v>
      </c>
      <c r="D22" s="317"/>
      <c r="E22" s="318"/>
      <c r="F22" s="319"/>
      <c r="G22" s="319"/>
      <c r="H22" s="320"/>
      <c r="I22" s="317"/>
      <c r="J22" s="317"/>
      <c r="K22" s="317"/>
      <c r="L22" s="317"/>
      <c r="M22" s="321"/>
      <c r="N22" s="321"/>
      <c r="O22" s="321"/>
      <c r="P22" s="321"/>
      <c r="Q22" s="321"/>
      <c r="R22" s="321"/>
      <c r="S22" s="321"/>
      <c r="T22" s="181"/>
      <c r="U22" s="165"/>
      <c r="V22" s="165"/>
      <c r="W22" s="165"/>
      <c r="X22" s="165"/>
      <c r="Y22" s="165"/>
      <c r="Z22" s="165"/>
      <c r="AA22" s="165"/>
      <c r="AB22" s="165"/>
      <c r="AC22" s="165"/>
      <c r="AD22" s="165"/>
      <c r="AE22" s="165"/>
      <c r="AF22" s="165"/>
      <c r="AG22" s="165"/>
      <c r="AH22" s="167"/>
      <c r="AI22" s="167"/>
      <c r="AJ22" s="167"/>
      <c r="AK22" s="167"/>
      <c r="AL22" s="167"/>
    </row>
    <row r="23" spans="1:38" ht="19.5" customHeight="1">
      <c r="A23" s="165"/>
      <c r="B23" s="315"/>
      <c r="C23" s="317" t="s">
        <v>98</v>
      </c>
      <c r="D23" s="317"/>
      <c r="E23" s="318"/>
      <c r="F23" s="319"/>
      <c r="G23" s="319"/>
      <c r="H23" s="320"/>
      <c r="I23" s="317"/>
      <c r="J23" s="317"/>
      <c r="K23" s="317"/>
      <c r="L23" s="317"/>
      <c r="M23" s="321"/>
      <c r="N23" s="321"/>
      <c r="O23" s="321"/>
      <c r="P23" s="321"/>
      <c r="Q23" s="321"/>
      <c r="R23" s="321"/>
      <c r="S23" s="321"/>
      <c r="T23" s="181"/>
      <c r="U23" s="165"/>
      <c r="V23" s="165"/>
      <c r="W23" s="165"/>
      <c r="X23" s="165"/>
      <c r="Y23" s="165"/>
      <c r="Z23" s="165"/>
      <c r="AA23" s="165"/>
      <c r="AB23" s="165"/>
      <c r="AC23" s="165"/>
      <c r="AD23" s="165"/>
      <c r="AE23" s="165"/>
      <c r="AF23" s="165"/>
      <c r="AG23" s="165"/>
      <c r="AH23" s="167"/>
      <c r="AI23" s="167"/>
      <c r="AJ23" s="167"/>
      <c r="AK23" s="167"/>
      <c r="AL23" s="167"/>
    </row>
    <row r="24" spans="1:38" ht="19.5" customHeight="1">
      <c r="A24" s="165"/>
      <c r="B24" s="314"/>
      <c r="C24" s="178"/>
      <c r="D24" s="179"/>
      <c r="E24" s="179"/>
      <c r="F24" s="165"/>
      <c r="G24" s="179"/>
      <c r="H24" s="179"/>
      <c r="I24" s="179"/>
      <c r="J24" s="179"/>
      <c r="K24" s="179"/>
      <c r="L24" s="179"/>
      <c r="M24" s="179"/>
      <c r="N24" s="179"/>
      <c r="O24" s="165"/>
      <c r="P24" s="165"/>
      <c r="Q24" s="165"/>
      <c r="R24" s="179"/>
      <c r="S24" s="179"/>
      <c r="T24" s="181"/>
      <c r="U24" s="165"/>
      <c r="V24" s="165"/>
      <c r="W24" s="165"/>
      <c r="X24" s="165"/>
      <c r="Y24" s="165"/>
      <c r="Z24" s="165"/>
      <c r="AA24" s="165"/>
      <c r="AB24" s="165"/>
      <c r="AC24" s="165"/>
      <c r="AD24" s="165"/>
      <c r="AE24" s="165"/>
      <c r="AF24" s="165"/>
      <c r="AG24" s="165"/>
      <c r="AH24" s="167"/>
      <c r="AI24" s="167"/>
      <c r="AJ24" s="167"/>
      <c r="AK24" s="167"/>
      <c r="AL24" s="167"/>
    </row>
    <row r="25" spans="1:38" ht="19.5" customHeight="1">
      <c r="A25" s="165"/>
      <c r="B25" s="314"/>
      <c r="C25" s="178" t="s">
        <v>337</v>
      </c>
      <c r="D25" s="165"/>
      <c r="E25" s="165"/>
      <c r="F25" s="165"/>
      <c r="G25" s="165"/>
      <c r="H25" s="165"/>
      <c r="I25" s="165"/>
      <c r="J25" s="165"/>
      <c r="K25" s="165"/>
      <c r="L25" s="165"/>
      <c r="M25" s="165"/>
      <c r="N25" s="165"/>
      <c r="O25" s="165"/>
      <c r="P25" s="165"/>
      <c r="Q25" s="165"/>
      <c r="R25" s="165"/>
      <c r="S25" s="165"/>
      <c r="T25" s="183"/>
      <c r="U25" s="165"/>
      <c r="V25" s="165"/>
      <c r="W25" s="165"/>
      <c r="X25" s="165"/>
      <c r="Y25" s="165"/>
      <c r="Z25" s="165"/>
      <c r="AA25" s="165"/>
      <c r="AB25" s="165"/>
      <c r="AC25" s="165"/>
      <c r="AD25" s="165"/>
      <c r="AE25" s="165"/>
      <c r="AF25" s="165"/>
      <c r="AG25" s="165"/>
      <c r="AH25" s="167"/>
      <c r="AI25" s="167"/>
      <c r="AJ25" s="167"/>
      <c r="AK25" s="167"/>
      <c r="AL25" s="167"/>
    </row>
    <row r="26" spans="1:38" ht="19.5" customHeight="1">
      <c r="A26" s="165"/>
      <c r="B26" s="314"/>
      <c r="C26" s="322" t="s">
        <v>15</v>
      </c>
      <c r="D26" s="323"/>
      <c r="E26" s="323"/>
      <c r="F26" s="323"/>
      <c r="G26" s="323"/>
      <c r="H26" s="323"/>
      <c r="I26" s="323"/>
      <c r="J26" s="323"/>
      <c r="K26" s="323"/>
      <c r="L26" s="323"/>
      <c r="M26" s="323"/>
      <c r="N26" s="323"/>
      <c r="O26" s="323"/>
      <c r="P26" s="323"/>
      <c r="Q26" s="323"/>
      <c r="R26" s="323"/>
      <c r="S26" s="323"/>
      <c r="T26" s="324"/>
      <c r="U26" s="165"/>
      <c r="V26" s="165"/>
      <c r="W26" s="165"/>
      <c r="X26" s="165"/>
      <c r="Y26" s="165"/>
      <c r="Z26" s="165"/>
      <c r="AA26" s="165"/>
      <c r="AB26" s="165"/>
      <c r="AC26" s="165"/>
      <c r="AD26" s="165"/>
      <c r="AE26" s="165"/>
      <c r="AF26" s="165"/>
      <c r="AG26" s="165"/>
      <c r="AH26" s="167"/>
      <c r="AI26" s="167"/>
      <c r="AJ26" s="167"/>
      <c r="AK26" s="167"/>
      <c r="AL26" s="167"/>
    </row>
    <row r="27" spans="1:38" ht="19.5" customHeight="1">
      <c r="A27" s="165"/>
      <c r="B27" s="314"/>
      <c r="C27" s="184" t="s">
        <v>338</v>
      </c>
      <c r="D27" s="165"/>
      <c r="E27" s="165"/>
      <c r="F27" s="165"/>
      <c r="G27" s="165"/>
      <c r="H27" s="165"/>
      <c r="I27" s="165"/>
      <c r="J27" s="165"/>
      <c r="K27" s="165"/>
      <c r="L27" s="165"/>
      <c r="M27" s="165"/>
      <c r="N27" s="165"/>
      <c r="O27" s="165"/>
      <c r="P27" s="165"/>
      <c r="Q27" s="165"/>
      <c r="R27" s="165"/>
      <c r="S27" s="165"/>
      <c r="T27" s="183"/>
      <c r="U27" s="165"/>
      <c r="V27" s="165"/>
      <c r="W27" s="165"/>
      <c r="X27" s="165"/>
      <c r="Y27" s="165"/>
      <c r="Z27" s="165"/>
      <c r="AA27" s="165"/>
      <c r="AB27" s="165"/>
      <c r="AC27" s="165"/>
      <c r="AD27" s="165"/>
      <c r="AE27" s="165"/>
      <c r="AF27" s="165"/>
      <c r="AG27" s="165"/>
      <c r="AH27" s="167"/>
      <c r="AI27" s="167"/>
      <c r="AJ27" s="167"/>
      <c r="AK27" s="167"/>
      <c r="AL27" s="167"/>
    </row>
    <row r="28" spans="1:38" ht="19.5" customHeight="1">
      <c r="A28" s="165"/>
      <c r="B28" s="314"/>
      <c r="C28" s="165" t="s">
        <v>339</v>
      </c>
      <c r="D28" s="165"/>
      <c r="F28" s="325" t="str">
        <f>IF(AND(C6="HH2",C5="Line4"),"19.0~24.0g",IF(AND(C6="HH2",C5="Line5"),"19.0~24.0g",IF(C6="CAMO","21.0~26.0g",IF(C6="Turbo","15.5~20.5g",IF(C6="HH1 ADH","36.6 ~ 41.6g",IF(C6="CuraHeat","36.6 ~ 41.6g",IF(C6="HH1","50.0~ 56.0g",IF(C6="Slick Back","36.5~41.5g",IF(C6="Direct Skin","63.3~ 71.3g",IF(C6="Lap Warmer","37.5~42.5g / cell × 8 cells",IF(C6="TW","13.0 ~ 15.6g")))))))))))</f>
        <v>36.6 ~ 41.6g</v>
      </c>
      <c r="G28" s="325"/>
      <c r="H28" s="325"/>
      <c r="I28" s="325"/>
      <c r="J28" s="325"/>
      <c r="O28" s="165"/>
      <c r="P28" s="165"/>
      <c r="Q28" s="165"/>
      <c r="R28" s="165"/>
      <c r="S28" s="165"/>
      <c r="T28" s="183"/>
      <c r="U28" s="165"/>
      <c r="V28" s="165"/>
      <c r="W28" s="165"/>
      <c r="X28" s="165"/>
      <c r="Y28" s="165"/>
      <c r="Z28" s="165"/>
      <c r="AA28" s="165"/>
      <c r="AB28" s="165"/>
      <c r="AC28" s="165"/>
      <c r="AD28" s="165"/>
      <c r="AE28" s="165"/>
      <c r="AF28" s="165"/>
      <c r="AG28" s="165"/>
      <c r="AH28" s="167"/>
      <c r="AI28" s="167"/>
      <c r="AJ28" s="167"/>
      <c r="AK28" s="167"/>
      <c r="AL28" s="167"/>
    </row>
    <row r="29" spans="1:38" ht="19.5" customHeight="1">
      <c r="A29" s="165"/>
      <c r="B29" s="314"/>
      <c r="C29" s="165"/>
      <c r="D29" s="165"/>
      <c r="I29" s="165"/>
      <c r="J29" s="165"/>
      <c r="K29" s="165"/>
      <c r="L29" s="165"/>
      <c r="M29" s="165"/>
      <c r="N29" s="165"/>
      <c r="O29" s="165"/>
      <c r="P29" s="165"/>
      <c r="Q29" s="165"/>
      <c r="R29" s="165"/>
      <c r="S29" s="165"/>
      <c r="T29" s="183"/>
      <c r="U29" s="165"/>
      <c r="V29" s="165"/>
      <c r="W29" s="165"/>
      <c r="X29" s="165"/>
      <c r="Y29" s="165"/>
      <c r="Z29" s="165"/>
      <c r="AA29" s="165"/>
      <c r="AB29" s="165"/>
      <c r="AC29" s="165"/>
      <c r="AD29" s="165"/>
      <c r="AE29" s="165"/>
      <c r="AF29" s="165"/>
      <c r="AG29" s="165"/>
      <c r="AH29" s="167"/>
      <c r="AI29" s="167"/>
      <c r="AJ29" s="167"/>
      <c r="AK29" s="167"/>
      <c r="AL29" s="167"/>
    </row>
    <row r="30" spans="1:38" ht="19.5" customHeight="1">
      <c r="A30" s="165"/>
      <c r="B30" s="314"/>
      <c r="C30" s="165"/>
      <c r="D30" s="185"/>
      <c r="E30" s="186" t="s">
        <v>340</v>
      </c>
      <c r="F30" s="186" t="s">
        <v>341</v>
      </c>
      <c r="G30" s="186" t="s">
        <v>342</v>
      </c>
      <c r="H30" s="187"/>
      <c r="I30" s="187"/>
      <c r="J30" s="187"/>
      <c r="K30" s="187"/>
      <c r="L30" s="187"/>
      <c r="M30" s="187"/>
      <c r="N30" s="187"/>
      <c r="O30" s="187"/>
      <c r="P30" s="187"/>
      <c r="Q30" s="165"/>
      <c r="R30" s="165"/>
      <c r="S30" s="165"/>
      <c r="T30" s="183"/>
      <c r="U30" s="165"/>
      <c r="V30" s="165"/>
      <c r="W30" s="165"/>
      <c r="X30" s="165"/>
      <c r="Y30" s="165"/>
      <c r="Z30" s="165"/>
      <c r="AA30" s="165"/>
      <c r="AB30" s="165"/>
      <c r="AC30" s="165"/>
      <c r="AD30" s="165"/>
      <c r="AE30" s="165"/>
      <c r="AF30" s="165"/>
      <c r="AG30" s="165"/>
      <c r="AH30" s="167"/>
      <c r="AI30" s="167"/>
      <c r="AJ30" s="167"/>
      <c r="AK30" s="167"/>
      <c r="AL30" s="167"/>
    </row>
    <row r="31" spans="1:38" ht="19.5" customHeight="1">
      <c r="A31" s="165"/>
      <c r="B31" s="314"/>
      <c r="C31" s="165"/>
      <c r="D31" s="186">
        <v>1</v>
      </c>
      <c r="E31" s="185"/>
      <c r="F31" s="185"/>
      <c r="G31" s="185"/>
      <c r="H31" s="165"/>
      <c r="I31" s="165"/>
      <c r="J31" s="165"/>
      <c r="K31" s="165"/>
      <c r="L31" s="165"/>
      <c r="M31" s="165"/>
      <c r="N31" s="165"/>
      <c r="O31" s="165"/>
      <c r="P31" s="165"/>
      <c r="Q31" s="165"/>
      <c r="R31" s="165"/>
      <c r="S31" s="165"/>
      <c r="T31" s="183"/>
      <c r="U31" s="165"/>
      <c r="V31" s="165"/>
      <c r="W31" s="165"/>
      <c r="X31" s="165"/>
      <c r="Y31" s="165"/>
      <c r="Z31" s="165"/>
      <c r="AA31" s="165"/>
      <c r="AB31" s="165"/>
      <c r="AC31" s="165"/>
      <c r="AD31" s="165"/>
      <c r="AE31" s="165"/>
      <c r="AF31" s="165"/>
      <c r="AG31" s="165"/>
      <c r="AH31" s="167"/>
      <c r="AI31" s="167"/>
      <c r="AJ31" s="167"/>
      <c r="AK31" s="167"/>
      <c r="AL31" s="167"/>
    </row>
    <row r="32" spans="1:38" ht="19.5" customHeight="1">
      <c r="A32" s="165"/>
      <c r="B32" s="314"/>
      <c r="C32" s="165"/>
      <c r="D32" s="186">
        <v>2</v>
      </c>
      <c r="E32" s="185"/>
      <c r="F32" s="185"/>
      <c r="G32" s="185"/>
      <c r="H32" s="165"/>
      <c r="I32" s="165"/>
      <c r="J32" s="165"/>
      <c r="K32" s="165"/>
      <c r="L32" s="165"/>
      <c r="M32" s="165"/>
      <c r="N32" s="165"/>
      <c r="O32" s="165"/>
      <c r="P32" s="165"/>
      <c r="Q32" s="165"/>
      <c r="R32" s="165"/>
      <c r="S32" s="165"/>
      <c r="T32" s="183"/>
      <c r="U32" s="165"/>
      <c r="V32" s="165"/>
      <c r="W32" s="165"/>
      <c r="X32" s="165"/>
      <c r="Y32" s="165"/>
      <c r="Z32" s="165"/>
      <c r="AA32" s="165"/>
      <c r="AB32" s="165"/>
      <c r="AC32" s="165"/>
      <c r="AD32" s="165"/>
      <c r="AE32" s="165"/>
      <c r="AF32" s="165"/>
      <c r="AG32" s="165"/>
      <c r="AH32" s="167"/>
      <c r="AI32" s="167"/>
      <c r="AJ32" s="167"/>
      <c r="AK32" s="167"/>
      <c r="AL32" s="167"/>
    </row>
    <row r="33" spans="1:38" ht="19.5" customHeight="1">
      <c r="A33" s="165"/>
      <c r="B33" s="314"/>
      <c r="C33" s="165"/>
      <c r="D33" s="186">
        <v>3</v>
      </c>
      <c r="E33" s="185"/>
      <c r="F33" s="185"/>
      <c r="G33" s="185"/>
      <c r="H33" s="165"/>
      <c r="I33" s="165"/>
      <c r="J33" s="165"/>
      <c r="K33" s="165"/>
      <c r="L33" s="165"/>
      <c r="M33" s="165"/>
      <c r="N33" s="165"/>
      <c r="O33" s="165"/>
      <c r="P33" s="165"/>
      <c r="Q33" s="165"/>
      <c r="R33" s="165"/>
      <c r="S33" s="165"/>
      <c r="T33" s="183"/>
      <c r="U33" s="165"/>
      <c r="V33" s="165"/>
      <c r="W33" s="165"/>
      <c r="X33" s="165"/>
      <c r="Y33" s="165"/>
      <c r="Z33" s="165"/>
      <c r="AA33" s="165"/>
      <c r="AB33" s="165"/>
      <c r="AC33" s="165"/>
      <c r="AD33" s="165"/>
      <c r="AE33" s="165"/>
      <c r="AF33" s="165"/>
      <c r="AG33" s="165"/>
      <c r="AH33" s="167"/>
      <c r="AI33" s="167"/>
      <c r="AJ33" s="167"/>
      <c r="AK33" s="167"/>
      <c r="AL33" s="167"/>
    </row>
    <row r="34" spans="1:38" ht="19.5" customHeight="1">
      <c r="A34" s="165"/>
      <c r="B34" s="314"/>
      <c r="C34" s="165"/>
      <c r="D34" s="186">
        <v>4</v>
      </c>
      <c r="E34" s="185"/>
      <c r="F34" s="185"/>
      <c r="G34" s="185"/>
      <c r="H34" s="165"/>
      <c r="I34" s="165"/>
      <c r="J34" s="165"/>
      <c r="K34" s="165"/>
      <c r="L34" s="165"/>
      <c r="M34" s="165"/>
      <c r="N34" s="165"/>
      <c r="O34" s="165"/>
      <c r="P34" s="165"/>
      <c r="Q34" s="165"/>
      <c r="R34" s="165"/>
      <c r="S34" s="165"/>
      <c r="T34" s="183"/>
      <c r="U34" s="165"/>
      <c r="V34" s="165"/>
      <c r="W34" s="165"/>
      <c r="X34" s="165"/>
      <c r="Y34" s="165"/>
      <c r="Z34" s="165"/>
      <c r="AA34" s="165"/>
      <c r="AB34" s="165"/>
      <c r="AC34" s="165"/>
      <c r="AD34" s="165"/>
      <c r="AE34" s="165"/>
      <c r="AF34" s="165"/>
      <c r="AG34" s="165"/>
      <c r="AH34" s="167"/>
      <c r="AI34" s="167"/>
      <c r="AJ34" s="167"/>
      <c r="AK34" s="167"/>
      <c r="AL34" s="167"/>
    </row>
    <row r="35" spans="1:38" ht="19.5" customHeight="1">
      <c r="A35" s="165"/>
      <c r="B35" s="314"/>
      <c r="C35" s="165"/>
      <c r="D35" s="186">
        <v>5</v>
      </c>
      <c r="E35" s="185"/>
      <c r="F35" s="185"/>
      <c r="G35" s="185"/>
      <c r="H35" s="165"/>
      <c r="I35" s="165"/>
      <c r="J35" s="165"/>
      <c r="K35" s="165"/>
      <c r="L35" s="165"/>
      <c r="M35" s="165"/>
      <c r="N35" s="165"/>
      <c r="O35" s="165"/>
      <c r="P35" s="165"/>
      <c r="Q35" s="165"/>
      <c r="R35" s="165"/>
      <c r="S35" s="165"/>
      <c r="T35" s="183"/>
      <c r="U35" s="165"/>
      <c r="V35" s="165"/>
      <c r="W35" s="165"/>
      <c r="X35" s="165"/>
      <c r="Y35" s="165"/>
      <c r="Z35" s="165"/>
      <c r="AA35" s="165"/>
      <c r="AB35" s="165"/>
      <c r="AC35" s="165"/>
      <c r="AD35" s="165"/>
      <c r="AE35" s="165"/>
      <c r="AF35" s="165"/>
      <c r="AG35" s="165"/>
      <c r="AH35" s="167"/>
      <c r="AI35" s="167"/>
      <c r="AJ35" s="167"/>
      <c r="AK35" s="167"/>
      <c r="AL35" s="167"/>
    </row>
    <row r="36" spans="1:38" ht="19.5" customHeight="1">
      <c r="A36" s="165"/>
      <c r="B36" s="314"/>
      <c r="C36" s="165"/>
      <c r="D36" s="186">
        <v>6</v>
      </c>
      <c r="E36" s="185"/>
      <c r="F36" s="185"/>
      <c r="G36" s="185"/>
      <c r="H36" s="165"/>
      <c r="I36" s="165"/>
      <c r="J36" s="165"/>
      <c r="K36" s="165"/>
      <c r="L36" s="165"/>
      <c r="M36" s="165"/>
      <c r="N36" s="165"/>
      <c r="O36" s="165"/>
      <c r="P36" s="165"/>
      <c r="Q36" s="165"/>
      <c r="R36" s="165"/>
      <c r="S36" s="165"/>
      <c r="T36" s="183"/>
      <c r="U36" s="165"/>
      <c r="V36" s="165"/>
      <c r="W36" s="165"/>
      <c r="X36" s="165"/>
      <c r="Y36" s="165"/>
      <c r="Z36" s="165"/>
      <c r="AA36" s="165"/>
      <c r="AB36" s="165"/>
      <c r="AC36" s="165"/>
      <c r="AD36" s="165"/>
      <c r="AE36" s="165"/>
      <c r="AF36" s="165"/>
      <c r="AG36" s="165"/>
      <c r="AH36" s="167"/>
      <c r="AI36" s="167"/>
      <c r="AJ36" s="167"/>
      <c r="AK36" s="167"/>
      <c r="AL36" s="167"/>
    </row>
    <row r="37" spans="1:38" ht="19.5" customHeight="1">
      <c r="A37" s="165"/>
      <c r="B37" s="314"/>
      <c r="C37" s="165"/>
      <c r="D37" s="186">
        <v>7</v>
      </c>
      <c r="E37" s="185"/>
      <c r="F37" s="185"/>
      <c r="G37" s="185"/>
      <c r="H37" s="165"/>
      <c r="I37" s="165"/>
      <c r="J37" s="165"/>
      <c r="K37" s="165"/>
      <c r="L37" s="165"/>
      <c r="M37" s="165"/>
      <c r="N37" s="165"/>
      <c r="O37" s="165"/>
      <c r="P37" s="165"/>
      <c r="Q37" s="165"/>
      <c r="R37" s="165"/>
      <c r="S37" s="165"/>
      <c r="T37" s="183"/>
      <c r="U37" s="165"/>
      <c r="V37" s="165"/>
      <c r="W37" s="165"/>
      <c r="X37" s="165"/>
      <c r="Y37" s="165"/>
      <c r="Z37" s="165"/>
      <c r="AA37" s="165"/>
      <c r="AB37" s="165"/>
      <c r="AC37" s="165"/>
      <c r="AD37" s="165"/>
      <c r="AE37" s="165"/>
      <c r="AF37" s="165"/>
      <c r="AG37" s="165"/>
      <c r="AH37" s="167"/>
      <c r="AI37" s="167"/>
      <c r="AJ37" s="167"/>
      <c r="AK37" s="167"/>
      <c r="AL37" s="167"/>
    </row>
    <row r="38" spans="1:38" ht="19.5" customHeight="1">
      <c r="A38" s="165"/>
      <c r="B38" s="314"/>
      <c r="C38" s="165"/>
      <c r="D38" s="186">
        <v>8</v>
      </c>
      <c r="E38" s="185"/>
      <c r="F38" s="185"/>
      <c r="G38" s="185"/>
      <c r="H38" s="165"/>
      <c r="I38" s="165"/>
      <c r="J38" s="165"/>
      <c r="K38" s="165"/>
      <c r="L38" s="165"/>
      <c r="M38" s="165"/>
      <c r="N38" s="165"/>
      <c r="O38" s="165"/>
      <c r="P38" s="165"/>
      <c r="Q38" s="165"/>
      <c r="R38" s="165"/>
      <c r="S38" s="165"/>
      <c r="T38" s="183"/>
      <c r="U38" s="165"/>
      <c r="V38" s="165"/>
      <c r="W38" s="165"/>
      <c r="X38" s="165"/>
      <c r="Y38" s="165"/>
      <c r="Z38" s="165"/>
      <c r="AA38" s="165"/>
      <c r="AB38" s="165"/>
      <c r="AC38" s="165"/>
      <c r="AD38" s="165"/>
      <c r="AE38" s="165"/>
      <c r="AF38" s="165"/>
      <c r="AG38" s="165"/>
      <c r="AH38" s="167"/>
      <c r="AI38" s="167"/>
      <c r="AJ38" s="167"/>
      <c r="AK38" s="167"/>
      <c r="AL38" s="167"/>
    </row>
    <row r="39" spans="1:38" ht="19.5" customHeight="1">
      <c r="A39" s="165"/>
      <c r="B39" s="314"/>
      <c r="C39" s="165"/>
      <c r="D39" s="186">
        <v>9</v>
      </c>
      <c r="E39" s="185"/>
      <c r="F39" s="185"/>
      <c r="G39" s="185"/>
      <c r="H39" s="165"/>
      <c r="I39" s="165"/>
      <c r="J39" s="165"/>
      <c r="K39" s="165"/>
      <c r="L39" s="165"/>
      <c r="M39" s="165"/>
      <c r="N39" s="165"/>
      <c r="O39" s="165"/>
      <c r="P39" s="165"/>
      <c r="Q39" s="165"/>
      <c r="R39" s="165"/>
      <c r="S39" s="165"/>
      <c r="T39" s="183"/>
      <c r="U39" s="165"/>
      <c r="V39" s="165"/>
      <c r="W39" s="165"/>
      <c r="X39" s="165"/>
      <c r="Y39" s="165"/>
      <c r="Z39" s="165"/>
      <c r="AA39" s="165"/>
      <c r="AB39" s="165"/>
      <c r="AC39" s="165"/>
      <c r="AD39" s="165"/>
      <c r="AE39" s="165"/>
      <c r="AF39" s="165"/>
      <c r="AG39" s="165"/>
      <c r="AH39" s="167"/>
      <c r="AI39" s="167"/>
      <c r="AJ39" s="167"/>
      <c r="AK39" s="167"/>
      <c r="AL39" s="167"/>
    </row>
    <row r="40" spans="1:38" ht="19.5" customHeight="1">
      <c r="A40" s="165"/>
      <c r="B40" s="314"/>
      <c r="C40" s="165"/>
      <c r="D40" s="186">
        <v>10</v>
      </c>
      <c r="E40" s="185"/>
      <c r="F40" s="185"/>
      <c r="G40" s="185"/>
      <c r="H40" s="165"/>
      <c r="I40" s="165"/>
      <c r="J40" s="165"/>
      <c r="K40" s="165"/>
      <c r="L40" s="165"/>
      <c r="M40" s="165"/>
      <c r="N40" s="165"/>
      <c r="O40" s="165"/>
      <c r="P40" s="165"/>
      <c r="Q40" s="165"/>
      <c r="R40" s="165"/>
      <c r="S40" s="165"/>
      <c r="T40" s="183"/>
      <c r="U40" s="165"/>
      <c r="V40" s="165"/>
      <c r="W40" s="165"/>
      <c r="X40" s="165"/>
      <c r="Y40" s="165"/>
      <c r="Z40" s="165"/>
      <c r="AA40" s="165"/>
      <c r="AB40" s="165"/>
      <c r="AC40" s="165"/>
      <c r="AD40" s="165"/>
      <c r="AE40" s="165"/>
      <c r="AF40" s="165"/>
      <c r="AG40" s="165"/>
      <c r="AH40" s="167"/>
      <c r="AI40" s="167"/>
      <c r="AJ40" s="167"/>
      <c r="AK40" s="167"/>
      <c r="AL40" s="167"/>
    </row>
    <row r="41" spans="1:38" ht="19.5" customHeight="1">
      <c r="A41" s="165"/>
      <c r="B41" s="314"/>
      <c r="C41" s="165"/>
      <c r="D41" s="186" t="s">
        <v>343</v>
      </c>
      <c r="E41" s="185" t="e">
        <f>AVERAGE(E31:E36)</f>
        <v>#DIV/0!</v>
      </c>
      <c r="F41" s="185" t="e">
        <f>AVERAGE(F31:F36)</f>
        <v>#DIV/0!</v>
      </c>
      <c r="G41" s="185" t="e">
        <f>AVERAGE(G31:G36)</f>
        <v>#DIV/0!</v>
      </c>
      <c r="H41" s="165"/>
      <c r="I41" s="165"/>
      <c r="J41" s="165"/>
      <c r="K41" s="165"/>
      <c r="L41" s="165"/>
      <c r="M41" s="165"/>
      <c r="N41" s="165"/>
      <c r="O41" s="165"/>
      <c r="P41" s="165"/>
      <c r="Q41" s="165"/>
      <c r="R41" s="165"/>
      <c r="S41" s="165"/>
      <c r="T41" s="183"/>
      <c r="U41" s="165"/>
      <c r="V41" s="165"/>
      <c r="W41" s="165"/>
      <c r="X41" s="165"/>
      <c r="Y41" s="165"/>
      <c r="Z41" s="165"/>
      <c r="AA41" s="165"/>
      <c r="AB41" s="165"/>
      <c r="AC41" s="165"/>
      <c r="AD41" s="165"/>
      <c r="AE41" s="165"/>
      <c r="AF41" s="165"/>
      <c r="AG41" s="165"/>
      <c r="AH41" s="167"/>
      <c r="AI41" s="167"/>
      <c r="AJ41" s="167"/>
      <c r="AK41" s="167"/>
      <c r="AL41" s="167"/>
    </row>
    <row r="42" spans="1:38" ht="19.5" customHeight="1">
      <c r="A42" s="165"/>
      <c r="B42" s="314"/>
      <c r="C42" s="165"/>
      <c r="D42" s="186" t="s">
        <v>344</v>
      </c>
      <c r="E42" s="185">
        <f>MAX(E31:E40)</f>
        <v>0</v>
      </c>
      <c r="F42" s="185">
        <f>MAX(F31:F40)</f>
        <v>0</v>
      </c>
      <c r="G42" s="185">
        <f>MAX(G31:G40)</f>
        <v>0</v>
      </c>
      <c r="H42" s="165"/>
      <c r="I42" s="165"/>
      <c r="J42" s="165"/>
      <c r="K42" s="165"/>
      <c r="L42" s="165"/>
      <c r="M42" s="165"/>
      <c r="N42" s="165"/>
      <c r="O42" s="165"/>
      <c r="P42" s="165"/>
      <c r="Q42" s="165"/>
      <c r="R42" s="165"/>
      <c r="S42" s="165"/>
      <c r="T42" s="183"/>
      <c r="U42" s="165"/>
      <c r="V42" s="165"/>
      <c r="W42" s="165"/>
      <c r="X42" s="165"/>
      <c r="Y42" s="165"/>
      <c r="Z42" s="165"/>
      <c r="AA42" s="165"/>
      <c r="AB42" s="165"/>
      <c r="AC42" s="165"/>
      <c r="AD42" s="165"/>
      <c r="AE42" s="165"/>
      <c r="AF42" s="165"/>
      <c r="AG42" s="165"/>
      <c r="AH42" s="167"/>
      <c r="AI42" s="167"/>
      <c r="AJ42" s="167"/>
      <c r="AK42" s="167"/>
      <c r="AL42" s="167"/>
    </row>
    <row r="43" spans="1:38" ht="19.5" customHeight="1">
      <c r="A43" s="165"/>
      <c r="B43" s="314"/>
      <c r="C43" s="165"/>
      <c r="D43" s="186" t="s">
        <v>345</v>
      </c>
      <c r="E43" s="185">
        <f>MIN(E31:E40)</f>
        <v>0</v>
      </c>
      <c r="F43" s="185">
        <f>MIN(F31:F40)</f>
        <v>0</v>
      </c>
      <c r="G43" s="185">
        <f>MIN(G31:G40)</f>
        <v>0</v>
      </c>
      <c r="H43" s="165"/>
      <c r="I43" s="165"/>
      <c r="J43" s="165"/>
      <c r="K43" s="165"/>
      <c r="L43" s="165"/>
      <c r="M43" s="165"/>
      <c r="N43" s="165"/>
      <c r="O43" s="165"/>
      <c r="P43" s="165"/>
      <c r="Q43" s="165"/>
      <c r="R43" s="165"/>
      <c r="S43" s="165"/>
      <c r="T43" s="183"/>
      <c r="U43" s="165"/>
      <c r="V43" s="165"/>
      <c r="W43" s="165"/>
      <c r="X43" s="165"/>
      <c r="Y43" s="165"/>
      <c r="Z43" s="165"/>
      <c r="AA43" s="165"/>
      <c r="AB43" s="165"/>
      <c r="AC43" s="165"/>
      <c r="AD43" s="165"/>
      <c r="AE43" s="165"/>
      <c r="AF43" s="165"/>
      <c r="AG43" s="165"/>
      <c r="AH43" s="167"/>
      <c r="AI43" s="167"/>
      <c r="AJ43" s="167"/>
      <c r="AK43" s="167"/>
      <c r="AL43" s="167"/>
    </row>
    <row r="44" spans="1:38" ht="19.5" customHeight="1">
      <c r="A44" s="165"/>
      <c r="B44" s="314"/>
      <c r="C44" s="165"/>
      <c r="D44" s="187"/>
      <c r="E44" s="165"/>
      <c r="F44" s="165"/>
      <c r="G44" s="165"/>
      <c r="H44" s="165"/>
      <c r="I44" s="165"/>
      <c r="J44" s="165"/>
      <c r="K44" s="165"/>
      <c r="L44" s="165"/>
      <c r="M44" s="165"/>
      <c r="N44" s="165"/>
      <c r="O44" s="165"/>
      <c r="P44" s="165"/>
      <c r="Q44" s="165"/>
      <c r="R44" s="165"/>
      <c r="S44" s="165"/>
      <c r="T44" s="183"/>
      <c r="U44" s="165"/>
      <c r="V44" s="165"/>
      <c r="W44" s="165"/>
      <c r="X44" s="165"/>
      <c r="Y44" s="165"/>
      <c r="Z44" s="165"/>
      <c r="AA44" s="165"/>
      <c r="AB44" s="165"/>
      <c r="AC44" s="165"/>
      <c r="AD44" s="165"/>
      <c r="AE44" s="165"/>
      <c r="AF44" s="165"/>
      <c r="AG44" s="165"/>
      <c r="AH44" s="167"/>
      <c r="AI44" s="167"/>
      <c r="AJ44" s="167"/>
      <c r="AK44" s="167"/>
      <c r="AL44" s="167"/>
    </row>
    <row r="45" spans="1:38" ht="19.5" customHeight="1">
      <c r="A45" s="165"/>
      <c r="B45" s="314"/>
      <c r="C45" s="184" t="s">
        <v>346</v>
      </c>
      <c r="D45" s="187"/>
      <c r="E45" s="165"/>
      <c r="F45" s="165"/>
      <c r="G45" s="165"/>
      <c r="H45" s="165"/>
      <c r="I45" s="165"/>
      <c r="J45" s="165"/>
      <c r="K45" s="165"/>
      <c r="L45" s="165"/>
      <c r="M45" s="165"/>
      <c r="N45" s="165"/>
      <c r="O45" s="165"/>
      <c r="P45" s="165"/>
      <c r="Q45" s="165"/>
      <c r="R45" s="165"/>
      <c r="S45" s="165"/>
      <c r="T45" s="183"/>
      <c r="U45" s="165"/>
      <c r="V45" s="165"/>
      <c r="W45" s="165"/>
      <c r="X45" s="165"/>
      <c r="Y45" s="165"/>
      <c r="Z45" s="165"/>
      <c r="AA45" s="165"/>
      <c r="AB45" s="165"/>
      <c r="AC45" s="165"/>
      <c r="AD45" s="165"/>
      <c r="AE45" s="165"/>
      <c r="AF45" s="165"/>
      <c r="AG45" s="165"/>
      <c r="AH45" s="167"/>
      <c r="AI45" s="167"/>
      <c r="AJ45" s="167"/>
      <c r="AK45" s="167"/>
      <c r="AL45" s="167"/>
    </row>
    <row r="46" spans="1:38" ht="19.5" customHeight="1">
      <c r="A46" s="165"/>
      <c r="B46" s="314"/>
      <c r="C46" s="165" t="s">
        <v>347</v>
      </c>
      <c r="D46" s="187"/>
      <c r="E46" s="165"/>
      <c r="F46" s="165"/>
      <c r="G46" s="165"/>
      <c r="H46" s="165"/>
      <c r="I46" s="165"/>
      <c r="J46" s="165"/>
      <c r="K46" s="165"/>
      <c r="L46" s="165"/>
      <c r="M46" s="165"/>
      <c r="N46" s="165"/>
      <c r="O46" s="165"/>
      <c r="P46" s="165"/>
      <c r="Q46" s="165"/>
      <c r="R46" s="165"/>
      <c r="S46" s="165"/>
      <c r="T46" s="183"/>
      <c r="U46" s="165"/>
      <c r="V46" s="165"/>
      <c r="W46" s="165"/>
      <c r="X46" s="165"/>
      <c r="Y46" s="165"/>
      <c r="Z46" s="165"/>
      <c r="AA46" s="165"/>
      <c r="AB46" s="165"/>
      <c r="AC46" s="165"/>
      <c r="AD46" s="165"/>
      <c r="AE46" s="165"/>
      <c r="AF46" s="165"/>
      <c r="AG46" s="165"/>
      <c r="AH46" s="167"/>
      <c r="AI46" s="167"/>
      <c r="AJ46" s="167"/>
      <c r="AK46" s="167"/>
      <c r="AL46" s="167"/>
    </row>
    <row r="47" spans="1:38" ht="19.5" customHeight="1">
      <c r="A47" s="165"/>
      <c r="B47" s="314"/>
      <c r="C47" s="188"/>
      <c r="D47" s="165"/>
      <c r="E47" s="165"/>
      <c r="F47" s="165"/>
      <c r="G47" s="165"/>
      <c r="H47" s="165"/>
      <c r="I47" s="165"/>
      <c r="J47" s="165"/>
      <c r="K47" s="165"/>
      <c r="L47" s="165"/>
      <c r="M47" s="165"/>
      <c r="N47" s="165"/>
      <c r="O47" s="165"/>
      <c r="P47" s="165"/>
      <c r="Q47" s="165"/>
      <c r="R47" s="165"/>
      <c r="S47" s="165"/>
      <c r="T47" s="183"/>
      <c r="U47" s="165"/>
      <c r="V47" s="165"/>
      <c r="W47" s="165"/>
      <c r="X47" s="165"/>
      <c r="Y47" s="165"/>
      <c r="Z47" s="165"/>
      <c r="AA47" s="165"/>
      <c r="AB47" s="165"/>
      <c r="AC47" s="165"/>
      <c r="AD47" s="165"/>
      <c r="AE47" s="165"/>
      <c r="AF47" s="165"/>
      <c r="AG47" s="165"/>
      <c r="AH47" s="167"/>
      <c r="AI47" s="167"/>
      <c r="AJ47" s="167"/>
      <c r="AK47" s="167"/>
      <c r="AL47" s="167"/>
    </row>
    <row r="48" spans="1:38" ht="19.5" customHeight="1">
      <c r="A48" s="165"/>
      <c r="B48" s="314"/>
      <c r="C48" s="322" t="s">
        <v>36</v>
      </c>
      <c r="D48" s="323"/>
      <c r="E48" s="323"/>
      <c r="F48" s="323"/>
      <c r="G48" s="323"/>
      <c r="H48" s="323"/>
      <c r="I48" s="323"/>
      <c r="J48" s="323"/>
      <c r="K48" s="323"/>
      <c r="L48" s="323"/>
      <c r="M48" s="323"/>
      <c r="N48" s="323"/>
      <c r="O48" s="323"/>
      <c r="P48" s="323"/>
      <c r="Q48" s="323"/>
      <c r="R48" s="323"/>
      <c r="S48" s="323"/>
      <c r="T48" s="324"/>
      <c r="U48" s="165"/>
      <c r="V48" s="165"/>
      <c r="W48" s="165"/>
      <c r="X48" s="165"/>
      <c r="Y48" s="165"/>
      <c r="Z48" s="165"/>
      <c r="AA48" s="165"/>
      <c r="AB48" s="165"/>
      <c r="AC48" s="165"/>
      <c r="AD48" s="165"/>
      <c r="AE48" s="165"/>
      <c r="AF48" s="165"/>
      <c r="AG48" s="165"/>
      <c r="AH48" s="167"/>
      <c r="AI48" s="167"/>
      <c r="AJ48" s="167"/>
      <c r="AK48" s="167"/>
      <c r="AL48" s="167"/>
    </row>
    <row r="49" spans="1:38" ht="19.5" customHeight="1">
      <c r="A49" s="165"/>
      <c r="B49" s="314"/>
      <c r="C49" s="184" t="s">
        <v>348</v>
      </c>
      <c r="D49" s="165"/>
      <c r="E49" s="165"/>
      <c r="F49" s="165"/>
      <c r="G49" s="165"/>
      <c r="H49" s="165"/>
      <c r="I49" s="165"/>
      <c r="J49" s="165"/>
      <c r="K49" s="165"/>
      <c r="L49" s="165"/>
      <c r="M49" s="165"/>
      <c r="N49" s="165"/>
      <c r="O49" s="165"/>
      <c r="P49" s="165"/>
      <c r="Q49" s="165"/>
      <c r="R49" s="165"/>
      <c r="S49" s="165"/>
      <c r="T49" s="183"/>
      <c r="U49" s="165"/>
      <c r="V49" s="165"/>
      <c r="W49" s="165"/>
      <c r="X49" s="165"/>
      <c r="Y49" s="165"/>
      <c r="Z49" s="165"/>
      <c r="AA49" s="165"/>
      <c r="AB49" s="165"/>
      <c r="AC49" s="165"/>
      <c r="AD49" s="165"/>
      <c r="AE49" s="165"/>
      <c r="AF49" s="165"/>
      <c r="AG49" s="165"/>
      <c r="AH49" s="167"/>
      <c r="AI49" s="167"/>
      <c r="AJ49" s="167"/>
      <c r="AK49" s="167"/>
      <c r="AL49" s="167"/>
    </row>
    <row r="50" spans="1:38" ht="19.5" customHeight="1">
      <c r="A50" s="165"/>
      <c r="B50" s="314"/>
      <c r="C50" s="165" t="s">
        <v>340</v>
      </c>
      <c r="D50" s="165"/>
      <c r="E50" s="165"/>
      <c r="F50" s="165"/>
      <c r="G50" s="165"/>
      <c r="H50" s="165"/>
      <c r="I50" s="165"/>
      <c r="J50" s="165"/>
      <c r="K50" s="165"/>
      <c r="L50" s="165"/>
      <c r="M50" s="165"/>
      <c r="N50" s="165"/>
      <c r="O50" s="165"/>
      <c r="P50" s="165"/>
      <c r="Q50" s="165"/>
      <c r="R50" s="165"/>
      <c r="S50" s="165"/>
      <c r="T50" s="183"/>
      <c r="U50" s="165"/>
      <c r="V50" s="165"/>
      <c r="W50" s="165"/>
      <c r="X50" s="165"/>
      <c r="Y50" s="165"/>
      <c r="Z50" s="165"/>
      <c r="AA50" s="165"/>
      <c r="AB50" s="165"/>
      <c r="AC50" s="165"/>
      <c r="AD50" s="165"/>
      <c r="AE50" s="165"/>
      <c r="AF50" s="165"/>
      <c r="AG50" s="165"/>
      <c r="AH50" s="167"/>
      <c r="AI50" s="167"/>
      <c r="AJ50" s="167"/>
      <c r="AK50" s="167"/>
      <c r="AL50" s="167"/>
    </row>
    <row r="51" spans="1:38" ht="19.5" customHeight="1">
      <c r="A51" s="165"/>
      <c r="B51" s="315"/>
      <c r="C51" s="189"/>
      <c r="D51" s="326"/>
      <c r="E51" s="327"/>
      <c r="F51" s="330" t="str">
        <f>IF(AND(C6="HH2",C5="Line4"),"Vertical Seal Roll",IF(AND(C6="HH2",C5="Line5"),"Vertical Seal Roll",IF(C6="CAMO","Vertical Seal Roll",IF(C6="Turbo","Vertical Seal Roll",IF(C6="HH1 ADH","1st Left Roll",IF(C6="CuraHeat","1st Left Roll",IF(C6="HH1","1st Left Roll",IF(C6="Slick Back","1st Left Roll",IF(C6="Direct Skin","1st Left Roll",IF(C6="Lap Warmer","1st Left Roll",IF(C6="TW","1st Left Roll")))))))))))</f>
        <v>1st Left Roll</v>
      </c>
      <c r="G51" s="331"/>
      <c r="H51" s="331"/>
      <c r="I51" s="331"/>
      <c r="J51" s="332"/>
      <c r="K51" s="165"/>
      <c r="L51" s="165"/>
      <c r="M51" s="165"/>
      <c r="N51" s="165"/>
      <c r="O51" s="165"/>
      <c r="P51" s="165"/>
      <c r="Q51" s="165"/>
      <c r="R51" s="165"/>
      <c r="S51" s="165"/>
      <c r="T51" s="183"/>
      <c r="U51" s="165"/>
      <c r="V51" s="165"/>
      <c r="W51" s="165"/>
      <c r="X51" s="165"/>
      <c r="Y51" s="165"/>
      <c r="Z51" s="165"/>
      <c r="AA51" s="165"/>
      <c r="AB51" s="165"/>
      <c r="AC51" s="165"/>
      <c r="AD51" s="165"/>
      <c r="AE51" s="165"/>
      <c r="AF51" s="165"/>
      <c r="AG51" s="165"/>
      <c r="AH51" s="167"/>
      <c r="AI51" s="167"/>
      <c r="AJ51" s="167"/>
      <c r="AK51" s="167"/>
      <c r="AL51" s="167"/>
    </row>
    <row r="52" spans="1:38" ht="19.5" customHeight="1">
      <c r="A52" s="165"/>
      <c r="B52" s="315"/>
      <c r="C52" s="190"/>
      <c r="D52" s="328"/>
      <c r="E52" s="329"/>
      <c r="F52" s="191"/>
      <c r="G52" s="192" t="str">
        <f>IF(AND(C6="HH2",C5="Line4"),"155",IF(AND(C6="HH2",C5="Line5"),"160",IF(C6="CAMO","160",IF(C6="Turbo","160",IF(C6="HH1 ADH","123",IF(C6="CuraHeat","123",IF(C6="HH1","123",IF(C6="Slick Back","123",IF(C6="Direct Skin","128",IF(C6="Lap Warmer","123",IF(C6="TW","130")))))))))))</f>
        <v>123</v>
      </c>
      <c r="H52" s="192" t="str">
        <f>IF(AND(C6="HH2",C5="Line4"),"165",IF(AND(C6="HH2",C5="Line5"),"170",IF(C6="CAMO","170",IF(C6="Turbo","170",IF(C6="HH1 ADH","130",IF(C6="CuraHeat","130",IF(C6="HH1","130",IF(C6="Slick Back","120",IF(C6="Direct Skin","135",IF(C6="Lap Warmer","130",IF(C6="TW","135")))))))))))</f>
        <v>130</v>
      </c>
      <c r="I52" s="192" t="str">
        <f>IF(AND(C6="HH2",C5="Line4"),"175",IF(AND(C6="HH2",C5="Line5"),"180",IF(C6="CAMO","180",IF(C6="Turbo","180",IF(C6="HH1 ADH","137",IF(C6="CuraHeat","137",IF(C6="HH1","137",IF(C6="Slick Back","127",IF(C6="Direct Skin","142",IF(C6="Lap Warmer","137",IF(C6="TW","142")))))))))))</f>
        <v>137</v>
      </c>
      <c r="J52" s="192"/>
      <c r="K52" s="165"/>
      <c r="L52" s="165"/>
      <c r="M52" s="165"/>
      <c r="N52" s="165"/>
      <c r="O52" s="165"/>
      <c r="P52" s="165"/>
      <c r="Q52" s="165"/>
      <c r="R52" s="165"/>
      <c r="S52" s="165"/>
      <c r="T52" s="183"/>
      <c r="U52" s="165"/>
      <c r="V52" s="165"/>
      <c r="W52" s="165"/>
      <c r="X52" s="165"/>
      <c r="Y52" s="165"/>
      <c r="Z52" s="165"/>
      <c r="AA52" s="165"/>
      <c r="AB52" s="165"/>
      <c r="AC52" s="165"/>
      <c r="AD52" s="165"/>
      <c r="AE52" s="165"/>
      <c r="AF52" s="165"/>
      <c r="AG52" s="165"/>
      <c r="AH52" s="167"/>
      <c r="AI52" s="167"/>
      <c r="AJ52" s="167"/>
      <c r="AK52" s="167"/>
      <c r="AL52" s="167"/>
    </row>
    <row r="53" spans="1:38" ht="19.5" customHeight="1">
      <c r="A53" s="165"/>
      <c r="B53" s="315"/>
      <c r="C53" s="189"/>
      <c r="D53" s="333" t="str">
        <f>IF(AND(C6="HH2",C5="Line4"),"Horizontal Seal Roll",IF(AND(C6="HH2",C5="Line5"),"Horizontal Seal Roll",IF(C6="CAMO","Horizontal Seal Roll",IF(C6="Turbo","Horizontal Seal Roll",IF(C6="HH1 ADH","1st Right Roll",IF(C6="CuraHeat","1st Right Roll",IF(C6="HH1","1st Right Roll",IF(C6="Slick Back","1st Right Roll",IF(C6="Direct Skin","1st Right Roll",IF(C6="Lap Warmer","1st Right Roll",IF(C6="TW","1st Right Roll")))))))))))</f>
        <v>1st Right Roll</v>
      </c>
      <c r="E53" s="192"/>
      <c r="F53" s="185"/>
      <c r="G53" s="185"/>
      <c r="H53" s="185"/>
      <c r="I53" s="185"/>
      <c r="J53" s="185"/>
      <c r="K53" s="165"/>
      <c r="L53" s="165"/>
      <c r="M53" s="165"/>
      <c r="N53" s="165"/>
      <c r="O53" s="165"/>
      <c r="P53" s="165"/>
      <c r="Q53" s="165"/>
      <c r="R53" s="165"/>
      <c r="S53" s="165"/>
      <c r="T53" s="183"/>
      <c r="U53" s="165"/>
      <c r="V53" s="165"/>
      <c r="W53" s="165"/>
      <c r="X53" s="165"/>
      <c r="Y53" s="165"/>
      <c r="Z53" s="165"/>
      <c r="AA53" s="165"/>
      <c r="AB53" s="165"/>
      <c r="AC53" s="165"/>
      <c r="AD53" s="165"/>
      <c r="AE53" s="165"/>
      <c r="AF53" s="165"/>
      <c r="AG53" s="165"/>
      <c r="AH53" s="167"/>
      <c r="AI53" s="167"/>
      <c r="AJ53" s="167"/>
      <c r="AK53" s="167"/>
      <c r="AL53" s="167"/>
    </row>
    <row r="54" spans="1:38" ht="19.5" customHeight="1">
      <c r="A54" s="165"/>
      <c r="B54" s="315"/>
      <c r="C54" s="189"/>
      <c r="D54" s="334"/>
      <c r="E54" s="192" t="str">
        <f>IF(AND(C6="HH2",C5="Line4"),"175",IF(AND(C6="HH2",C5="Line5"),"145",IF(C6="CAMO","145",IF(C6="Turbo","145",IF(C6="HH1 ADH","127",IF(C6="CuraHeat","127",IF(C6="HH1","137",IF(C6="Slick Back","117",IF(C6="Direct Skin","122",IF(C6="Lap Warmer","142",IF(C6="TW","135")))))))))))</f>
        <v>127</v>
      </c>
      <c r="F54" s="185"/>
      <c r="G54" s="193"/>
      <c r="H54" s="193"/>
      <c r="I54" s="193"/>
      <c r="J54" s="185"/>
      <c r="K54" s="165"/>
      <c r="L54" s="165"/>
      <c r="M54" s="165"/>
      <c r="N54" s="165"/>
      <c r="O54" s="165"/>
      <c r="P54" s="165"/>
      <c r="Q54" s="165"/>
      <c r="R54" s="165"/>
      <c r="S54" s="165"/>
      <c r="T54" s="183"/>
      <c r="U54" s="165"/>
      <c r="V54" s="165"/>
      <c r="W54" s="165"/>
      <c r="X54" s="165"/>
      <c r="Y54" s="165"/>
      <c r="Z54" s="165"/>
      <c r="AA54" s="165"/>
      <c r="AB54" s="165"/>
      <c r="AC54" s="165"/>
      <c r="AD54" s="165"/>
      <c r="AE54" s="165"/>
      <c r="AF54" s="165"/>
      <c r="AG54" s="165"/>
      <c r="AH54" s="167"/>
      <c r="AI54" s="167"/>
      <c r="AJ54" s="167"/>
      <c r="AK54" s="167"/>
      <c r="AL54" s="167"/>
    </row>
    <row r="55" spans="1:38" ht="19.5" customHeight="1">
      <c r="A55" s="165"/>
      <c r="B55" s="315"/>
      <c r="C55" s="189"/>
      <c r="D55" s="334"/>
      <c r="E55" s="192" t="str">
        <f>IF(AND(C6="HH2",C5="Line4"),"165",IF(AND(C6="HH2",C5="Line5"),"135",IF(C6="CAMO","135",IF(C6="Turbo","135",IF(C6="HH1 ADH","120",IF(C6="CuraHeat","120",IF(C6="HH1","130",IF(C6="Slick Back","110",IF(C6="Direct Skin","115",IF(C6="Lap Warmer","135",IF(C6="TW","130")))))))))))</f>
        <v>120</v>
      </c>
      <c r="F55" s="185"/>
      <c r="G55" s="193"/>
      <c r="H55" s="193"/>
      <c r="I55" s="193"/>
      <c r="J55" s="185"/>
      <c r="K55" s="165"/>
      <c r="L55" s="165"/>
      <c r="M55" s="165"/>
      <c r="N55" s="165"/>
      <c r="O55" s="165"/>
      <c r="P55" s="165"/>
      <c r="Q55" s="165"/>
      <c r="R55" s="165"/>
      <c r="S55" s="165"/>
      <c r="T55" s="183"/>
      <c r="U55" s="165"/>
      <c r="V55" s="165"/>
      <c r="W55" s="165"/>
      <c r="X55" s="165"/>
      <c r="Y55" s="165"/>
      <c r="Z55" s="165"/>
      <c r="AA55" s="165"/>
      <c r="AB55" s="165"/>
      <c r="AC55" s="165"/>
      <c r="AD55" s="165"/>
      <c r="AE55" s="165"/>
      <c r="AF55" s="165"/>
      <c r="AG55" s="165"/>
      <c r="AH55" s="167"/>
      <c r="AI55" s="167"/>
      <c r="AJ55" s="167"/>
      <c r="AK55" s="167"/>
      <c r="AL55" s="167"/>
    </row>
    <row r="56" spans="1:38" ht="19.5" customHeight="1">
      <c r="A56" s="165"/>
      <c r="B56" s="315"/>
      <c r="C56" s="189"/>
      <c r="D56" s="334"/>
      <c r="E56" s="192" t="str">
        <f>IF(AND(C6="HH2",C5="Line4"),"155",IF(AND(C6="HH2",C5="Line5"),"125",IF(C6="CAMO","125",IF(C6="Turbo","125",IF(C6="HH1 ADH","113",IF(C6="CuraHeat","113",IF(C6="HH1","123",IF(C6="Slick Back","103",IF(C6="Direct Skin","108",IF(C6="Lap Warmer","128",IF(C6="TW","125")))))))))))</f>
        <v>113</v>
      </c>
      <c r="F56" s="185"/>
      <c r="G56" s="193"/>
      <c r="H56" s="193"/>
      <c r="I56" s="193"/>
      <c r="J56" s="185"/>
      <c r="K56" s="165"/>
      <c r="L56" s="165"/>
      <c r="M56" s="165"/>
      <c r="N56" s="165"/>
      <c r="O56" s="165"/>
      <c r="P56" s="165"/>
      <c r="Q56" s="165"/>
      <c r="R56" s="165"/>
      <c r="S56" s="165"/>
      <c r="T56" s="183"/>
      <c r="U56" s="165"/>
      <c r="V56" s="165"/>
      <c r="W56" s="165"/>
      <c r="X56" s="165"/>
      <c r="Y56" s="165"/>
      <c r="Z56" s="165"/>
      <c r="AA56" s="165"/>
      <c r="AB56" s="165"/>
      <c r="AC56" s="165"/>
      <c r="AD56" s="165"/>
      <c r="AE56" s="165"/>
      <c r="AF56" s="165"/>
      <c r="AG56" s="165"/>
      <c r="AH56" s="167"/>
      <c r="AI56" s="167"/>
      <c r="AJ56" s="167"/>
      <c r="AK56" s="167"/>
      <c r="AL56" s="167"/>
    </row>
    <row r="57" spans="1:38" ht="19.5" customHeight="1">
      <c r="A57" s="165"/>
      <c r="B57" s="315"/>
      <c r="C57" s="189"/>
      <c r="D57" s="335"/>
      <c r="E57" s="192"/>
      <c r="F57" s="185"/>
      <c r="G57" s="185"/>
      <c r="H57" s="185"/>
      <c r="I57" s="185"/>
      <c r="J57" s="185"/>
      <c r="K57" s="165"/>
      <c r="L57" s="165"/>
      <c r="M57" s="165"/>
      <c r="N57" s="165"/>
      <c r="O57" s="165"/>
      <c r="P57" s="165"/>
      <c r="Q57" s="165"/>
      <c r="R57" s="165"/>
      <c r="S57" s="165"/>
      <c r="T57" s="183"/>
      <c r="U57" s="165"/>
      <c r="V57" s="165"/>
      <c r="W57" s="165"/>
      <c r="X57" s="165"/>
      <c r="Y57" s="165"/>
      <c r="Z57" s="165"/>
      <c r="AA57" s="165"/>
      <c r="AB57" s="165"/>
      <c r="AC57" s="165"/>
      <c r="AD57" s="165"/>
      <c r="AE57" s="165"/>
      <c r="AF57" s="165"/>
      <c r="AG57" s="165"/>
      <c r="AH57" s="167"/>
      <c r="AI57" s="167"/>
      <c r="AJ57" s="167"/>
      <c r="AK57" s="167"/>
      <c r="AL57" s="167"/>
    </row>
    <row r="58" spans="1:38" ht="19.5" customHeight="1">
      <c r="A58" s="165"/>
      <c r="B58" s="315"/>
      <c r="C58" s="190"/>
      <c r="D58" s="165"/>
      <c r="E58" s="165"/>
      <c r="F58" s="165"/>
      <c r="G58" s="165"/>
      <c r="H58" s="165"/>
      <c r="I58" s="165"/>
      <c r="J58" s="165"/>
      <c r="K58" s="165"/>
      <c r="L58" s="165"/>
      <c r="M58" s="165"/>
      <c r="N58" s="165"/>
      <c r="O58" s="165"/>
      <c r="P58" s="165"/>
      <c r="Q58" s="165"/>
      <c r="R58" s="165"/>
      <c r="S58" s="165"/>
      <c r="T58" s="183"/>
      <c r="U58" s="165"/>
      <c r="V58" s="165"/>
      <c r="W58" s="165"/>
      <c r="X58" s="165"/>
      <c r="Y58" s="165"/>
      <c r="Z58" s="165"/>
      <c r="AA58" s="165"/>
      <c r="AB58" s="165"/>
      <c r="AC58" s="165"/>
      <c r="AD58" s="165"/>
      <c r="AE58" s="165"/>
      <c r="AF58" s="165"/>
      <c r="AG58" s="165"/>
      <c r="AH58" s="167"/>
      <c r="AI58" s="167"/>
      <c r="AJ58" s="167"/>
      <c r="AK58" s="167"/>
      <c r="AL58" s="167"/>
    </row>
    <row r="59" spans="1:38" ht="19.5" customHeight="1">
      <c r="A59" s="165"/>
      <c r="B59" s="315"/>
      <c r="C59" s="190" t="s">
        <v>341</v>
      </c>
      <c r="D59" s="165"/>
      <c r="E59" s="165"/>
      <c r="F59" s="165"/>
      <c r="G59" s="165"/>
      <c r="H59" s="165"/>
      <c r="I59" s="165"/>
      <c r="J59" s="165"/>
      <c r="K59" s="165"/>
      <c r="L59" s="165"/>
      <c r="M59" s="165"/>
      <c r="N59" s="165"/>
      <c r="O59" s="165"/>
      <c r="P59" s="165"/>
      <c r="Q59" s="165"/>
      <c r="R59" s="165"/>
      <c r="S59" s="165"/>
      <c r="T59" s="183"/>
      <c r="U59" s="165"/>
      <c r="V59" s="165"/>
      <c r="W59" s="165"/>
      <c r="X59" s="165"/>
      <c r="Y59" s="165"/>
      <c r="Z59" s="165"/>
      <c r="AA59" s="165"/>
      <c r="AB59" s="165"/>
      <c r="AC59" s="165"/>
      <c r="AD59" s="165"/>
      <c r="AE59" s="165"/>
      <c r="AF59" s="165"/>
      <c r="AG59" s="165"/>
      <c r="AH59" s="167"/>
      <c r="AI59" s="167"/>
      <c r="AJ59" s="167"/>
      <c r="AK59" s="167"/>
      <c r="AL59" s="167"/>
    </row>
    <row r="60" spans="1:38" ht="19.5" customHeight="1">
      <c r="A60" s="165"/>
      <c r="B60" s="315"/>
      <c r="C60" s="190"/>
      <c r="D60" s="317"/>
      <c r="E60" s="317"/>
      <c r="F60" s="336" t="str">
        <f>F51</f>
        <v>1st Left Roll</v>
      </c>
      <c r="G60" s="336"/>
      <c r="H60" s="336"/>
      <c r="I60" s="336"/>
      <c r="J60" s="336"/>
      <c r="K60" s="165"/>
      <c r="L60" s="165"/>
      <c r="M60" s="165"/>
      <c r="N60" s="165"/>
      <c r="O60" s="165"/>
      <c r="P60" s="165"/>
      <c r="Q60" s="165"/>
      <c r="R60" s="165"/>
      <c r="S60" s="165"/>
      <c r="T60" s="183"/>
      <c r="U60" s="165"/>
      <c r="V60" s="165"/>
      <c r="W60" s="165"/>
      <c r="X60" s="165"/>
      <c r="Y60" s="165"/>
      <c r="Z60" s="165"/>
      <c r="AA60" s="165"/>
      <c r="AB60" s="165"/>
      <c r="AC60" s="165"/>
      <c r="AD60" s="165"/>
      <c r="AE60" s="165"/>
      <c r="AF60" s="165"/>
      <c r="AG60" s="165"/>
      <c r="AH60" s="167"/>
      <c r="AI60" s="167"/>
      <c r="AJ60" s="167"/>
      <c r="AK60" s="167"/>
      <c r="AL60" s="167"/>
    </row>
    <row r="61" spans="1:38" ht="19.5" customHeight="1">
      <c r="A61" s="165"/>
      <c r="B61" s="315"/>
      <c r="C61" s="190"/>
      <c r="D61" s="317"/>
      <c r="E61" s="317"/>
      <c r="F61" s="192">
        <f>F52</f>
        <v>0</v>
      </c>
      <c r="G61" s="192" t="str">
        <f>G52</f>
        <v>123</v>
      </c>
      <c r="H61" s="192" t="str">
        <f>H52</f>
        <v>130</v>
      </c>
      <c r="I61" s="192" t="str">
        <f>I52</f>
        <v>137</v>
      </c>
      <c r="J61" s="192">
        <f>J52</f>
        <v>0</v>
      </c>
      <c r="K61" s="165"/>
      <c r="L61" s="165"/>
      <c r="M61" s="165"/>
      <c r="N61" s="165"/>
      <c r="O61" s="165"/>
      <c r="P61" s="165"/>
      <c r="Q61" s="165"/>
      <c r="R61" s="165"/>
      <c r="S61" s="165"/>
      <c r="T61" s="183"/>
      <c r="U61" s="165"/>
      <c r="V61" s="165"/>
      <c r="W61" s="165"/>
      <c r="X61" s="165"/>
      <c r="Y61" s="165"/>
      <c r="Z61" s="165"/>
      <c r="AA61" s="165"/>
      <c r="AB61" s="165"/>
      <c r="AC61" s="165"/>
      <c r="AD61" s="165"/>
      <c r="AE61" s="165"/>
      <c r="AF61" s="165"/>
      <c r="AG61" s="165"/>
      <c r="AH61" s="167"/>
      <c r="AI61" s="167"/>
      <c r="AJ61" s="167"/>
      <c r="AK61" s="167"/>
      <c r="AL61" s="167"/>
    </row>
    <row r="62" spans="1:38" ht="19.5" customHeight="1">
      <c r="A62" s="165"/>
      <c r="B62" s="315"/>
      <c r="C62" s="190"/>
      <c r="D62" s="338" t="str">
        <f>D53</f>
        <v>1st Right Roll</v>
      </c>
      <c r="E62" s="192">
        <f>E53</f>
        <v>0</v>
      </c>
      <c r="F62" s="194"/>
      <c r="G62" s="194"/>
      <c r="H62" s="194"/>
      <c r="I62" s="185"/>
      <c r="J62" s="185"/>
      <c r="K62" s="165"/>
      <c r="L62" s="165"/>
      <c r="M62" s="165"/>
      <c r="N62" s="165"/>
      <c r="O62" s="165"/>
      <c r="P62" s="165"/>
      <c r="Q62" s="165"/>
      <c r="R62" s="165"/>
      <c r="S62" s="165"/>
      <c r="T62" s="183"/>
      <c r="U62" s="165"/>
      <c r="V62" s="165"/>
      <c r="W62" s="165"/>
      <c r="X62" s="165"/>
      <c r="Y62" s="165"/>
      <c r="Z62" s="165"/>
      <c r="AA62" s="165"/>
      <c r="AB62" s="165"/>
      <c r="AC62" s="165"/>
      <c r="AD62" s="165"/>
      <c r="AE62" s="165"/>
      <c r="AF62" s="165"/>
      <c r="AG62" s="165"/>
      <c r="AH62" s="167"/>
      <c r="AI62" s="167"/>
      <c r="AJ62" s="167"/>
      <c r="AK62" s="167"/>
      <c r="AL62" s="167"/>
    </row>
    <row r="63" spans="1:38" ht="19.5" customHeight="1">
      <c r="A63" s="165"/>
      <c r="B63" s="315"/>
      <c r="C63" s="190"/>
      <c r="D63" s="338"/>
      <c r="E63" s="192" t="str">
        <f>E54</f>
        <v>127</v>
      </c>
      <c r="F63" s="194"/>
      <c r="G63" s="195"/>
      <c r="H63" s="195"/>
      <c r="I63" s="193"/>
      <c r="J63" s="185"/>
      <c r="K63" s="165"/>
      <c r="L63" s="165"/>
      <c r="M63" s="165"/>
      <c r="N63" s="165"/>
      <c r="O63" s="165"/>
      <c r="P63" s="165"/>
      <c r="Q63" s="165"/>
      <c r="R63" s="165"/>
      <c r="S63" s="165"/>
      <c r="T63" s="183"/>
      <c r="U63" s="165"/>
      <c r="V63" s="165"/>
      <c r="W63" s="165"/>
      <c r="X63" s="165"/>
      <c r="Y63" s="165"/>
      <c r="Z63" s="165"/>
      <c r="AA63" s="165"/>
      <c r="AB63" s="165"/>
      <c r="AC63" s="165"/>
      <c r="AD63" s="165"/>
      <c r="AE63" s="165"/>
      <c r="AF63" s="165"/>
      <c r="AG63" s="165"/>
      <c r="AH63" s="167"/>
      <c r="AI63" s="167"/>
      <c r="AJ63" s="167"/>
      <c r="AK63" s="167"/>
      <c r="AL63" s="167"/>
    </row>
    <row r="64" spans="1:38" ht="19.5" customHeight="1">
      <c r="A64" s="165"/>
      <c r="B64" s="315"/>
      <c r="C64" s="190"/>
      <c r="D64" s="338"/>
      <c r="E64" s="192" t="str">
        <f>E55</f>
        <v>120</v>
      </c>
      <c r="F64" s="194"/>
      <c r="G64" s="195"/>
      <c r="H64" s="195"/>
      <c r="I64" s="193"/>
      <c r="J64" s="185"/>
      <c r="K64" s="165"/>
      <c r="L64" s="165"/>
      <c r="M64" s="165"/>
      <c r="N64" s="165"/>
      <c r="O64" s="165"/>
      <c r="P64" s="165"/>
      <c r="Q64" s="165"/>
      <c r="R64" s="165"/>
      <c r="S64" s="165"/>
      <c r="T64" s="183"/>
      <c r="U64" s="165"/>
      <c r="V64" s="165"/>
      <c r="W64" s="165"/>
      <c r="X64" s="165"/>
      <c r="Y64" s="165"/>
      <c r="Z64" s="165"/>
      <c r="AA64" s="165"/>
      <c r="AB64" s="165"/>
      <c r="AC64" s="165"/>
      <c r="AD64" s="165"/>
      <c r="AE64" s="165"/>
      <c r="AF64" s="165"/>
      <c r="AG64" s="165"/>
      <c r="AH64" s="167"/>
      <c r="AI64" s="167"/>
      <c r="AJ64" s="167"/>
      <c r="AK64" s="167"/>
      <c r="AL64" s="167"/>
    </row>
    <row r="65" spans="1:38" ht="19.5" customHeight="1">
      <c r="A65" s="165"/>
      <c r="B65" s="315"/>
      <c r="C65" s="190"/>
      <c r="D65" s="338"/>
      <c r="E65" s="192" t="str">
        <f>E56</f>
        <v>113</v>
      </c>
      <c r="F65" s="194"/>
      <c r="G65" s="195"/>
      <c r="H65" s="195"/>
      <c r="I65" s="193"/>
      <c r="J65" s="185"/>
      <c r="K65" s="165"/>
      <c r="L65" s="165"/>
      <c r="M65" s="165"/>
      <c r="N65" s="165"/>
      <c r="O65" s="165"/>
      <c r="P65" s="165"/>
      <c r="Q65" s="165"/>
      <c r="R65" s="165"/>
      <c r="S65" s="165"/>
      <c r="T65" s="183"/>
      <c r="U65" s="165"/>
      <c r="V65" s="165"/>
      <c r="W65" s="165"/>
      <c r="X65" s="165"/>
      <c r="Y65" s="165"/>
      <c r="Z65" s="165"/>
      <c r="AA65" s="165"/>
      <c r="AB65" s="165"/>
      <c r="AC65" s="165"/>
      <c r="AD65" s="165"/>
      <c r="AE65" s="165"/>
      <c r="AF65" s="165"/>
      <c r="AG65" s="165"/>
      <c r="AH65" s="167"/>
      <c r="AI65" s="167"/>
      <c r="AJ65" s="167"/>
      <c r="AK65" s="167"/>
      <c r="AL65" s="167"/>
    </row>
    <row r="66" spans="1:38" ht="19.5" customHeight="1">
      <c r="A66" s="165"/>
      <c r="B66" s="315"/>
      <c r="C66" s="190"/>
      <c r="D66" s="338"/>
      <c r="E66" s="192">
        <f>E57</f>
        <v>0</v>
      </c>
      <c r="F66" s="194"/>
      <c r="G66" s="194"/>
      <c r="H66" s="194"/>
      <c r="I66" s="185"/>
      <c r="J66" s="185"/>
      <c r="K66" s="165"/>
      <c r="L66" s="165"/>
      <c r="M66" s="165"/>
      <c r="N66" s="165"/>
      <c r="O66" s="165"/>
      <c r="P66" s="165"/>
      <c r="Q66" s="165"/>
      <c r="R66" s="165"/>
      <c r="S66" s="165"/>
      <c r="T66" s="183"/>
      <c r="U66" s="165"/>
      <c r="V66" s="165"/>
      <c r="W66" s="165"/>
      <c r="X66" s="165"/>
      <c r="Y66" s="165"/>
      <c r="Z66" s="165"/>
      <c r="AA66" s="165"/>
      <c r="AB66" s="165"/>
      <c r="AC66" s="165"/>
      <c r="AD66" s="165"/>
      <c r="AE66" s="165"/>
      <c r="AF66" s="165"/>
      <c r="AG66" s="165"/>
      <c r="AH66" s="167"/>
      <c r="AI66" s="167"/>
      <c r="AJ66" s="167"/>
      <c r="AK66" s="167"/>
      <c r="AL66" s="167"/>
    </row>
    <row r="67" spans="1:38" ht="19.5" customHeight="1">
      <c r="A67" s="165"/>
      <c r="B67" s="314"/>
      <c r="C67" s="165"/>
      <c r="E67" s="187"/>
      <c r="F67" s="187"/>
      <c r="G67" s="187"/>
      <c r="H67" s="187"/>
      <c r="I67" s="165"/>
      <c r="J67" s="165"/>
      <c r="K67" s="165"/>
      <c r="L67" s="165"/>
      <c r="M67" s="165"/>
      <c r="N67" s="165"/>
      <c r="O67" s="165"/>
      <c r="P67" s="165"/>
      <c r="Q67" s="165"/>
      <c r="R67" s="165"/>
      <c r="S67" s="165"/>
      <c r="T67" s="183"/>
      <c r="U67" s="165"/>
      <c r="V67" s="165"/>
      <c r="W67" s="165"/>
      <c r="X67" s="165"/>
      <c r="Y67" s="165"/>
      <c r="Z67" s="165"/>
      <c r="AA67" s="165"/>
      <c r="AB67" s="165"/>
      <c r="AC67" s="165"/>
      <c r="AD67" s="165"/>
      <c r="AE67" s="165"/>
      <c r="AF67" s="165"/>
      <c r="AG67" s="165"/>
      <c r="AH67" s="167"/>
      <c r="AI67" s="167"/>
      <c r="AJ67" s="167"/>
      <c r="AK67" s="167"/>
      <c r="AL67" s="167"/>
    </row>
    <row r="68" spans="1:38" ht="19.5" customHeight="1">
      <c r="A68" s="165"/>
      <c r="B68" s="314"/>
      <c r="C68" s="190" t="s">
        <v>342</v>
      </c>
      <c r="E68" s="187"/>
      <c r="F68" s="187"/>
      <c r="G68" s="187"/>
      <c r="H68" s="187"/>
      <c r="I68" s="165"/>
      <c r="J68" s="165"/>
      <c r="K68" s="165"/>
      <c r="L68" s="165"/>
      <c r="M68" s="165"/>
      <c r="N68" s="165"/>
      <c r="O68" s="165"/>
      <c r="P68" s="165"/>
      <c r="Q68" s="165"/>
      <c r="R68" s="165"/>
      <c r="S68" s="165"/>
      <c r="T68" s="183"/>
      <c r="U68" s="165"/>
      <c r="V68" s="165"/>
      <c r="W68" s="165"/>
      <c r="X68" s="165"/>
      <c r="Y68" s="165"/>
      <c r="Z68" s="165"/>
      <c r="AA68" s="165"/>
      <c r="AB68" s="165"/>
      <c r="AC68" s="165"/>
      <c r="AD68" s="165"/>
      <c r="AE68" s="165"/>
      <c r="AF68" s="165"/>
      <c r="AG68" s="165"/>
      <c r="AH68" s="167"/>
      <c r="AI68" s="167"/>
      <c r="AJ68" s="167"/>
      <c r="AK68" s="167"/>
      <c r="AL68" s="167"/>
    </row>
    <row r="69" spans="1:38" ht="19.5" customHeight="1">
      <c r="A69" s="165"/>
      <c r="B69" s="314"/>
      <c r="C69" s="165"/>
      <c r="D69" s="326"/>
      <c r="E69" s="327"/>
      <c r="F69" s="336" t="str">
        <f>F51</f>
        <v>1st Left Roll</v>
      </c>
      <c r="G69" s="336"/>
      <c r="H69" s="336"/>
      <c r="I69" s="336"/>
      <c r="J69" s="336"/>
      <c r="K69" s="165"/>
      <c r="L69" s="165"/>
      <c r="M69" s="165"/>
      <c r="N69" s="165"/>
      <c r="O69" s="165"/>
      <c r="P69" s="165"/>
      <c r="Q69" s="165"/>
      <c r="R69" s="165"/>
      <c r="S69" s="165"/>
      <c r="T69" s="183"/>
      <c r="U69" s="165"/>
      <c r="V69" s="165"/>
      <c r="W69" s="165"/>
      <c r="X69" s="165"/>
      <c r="Y69" s="165"/>
      <c r="Z69" s="165"/>
      <c r="AA69" s="165"/>
      <c r="AB69" s="165"/>
      <c r="AC69" s="165"/>
      <c r="AD69" s="165"/>
      <c r="AE69" s="165"/>
      <c r="AF69" s="165"/>
      <c r="AG69" s="165"/>
      <c r="AH69" s="167"/>
      <c r="AI69" s="167"/>
      <c r="AJ69" s="167"/>
      <c r="AK69" s="167"/>
      <c r="AL69" s="167"/>
    </row>
    <row r="70" spans="1:38" ht="19.5" customHeight="1">
      <c r="A70" s="165"/>
      <c r="B70" s="314"/>
      <c r="C70" s="165"/>
      <c r="D70" s="328"/>
      <c r="E70" s="329"/>
      <c r="F70" s="192">
        <f>F52</f>
        <v>0</v>
      </c>
      <c r="G70" s="192" t="str">
        <f>G52</f>
        <v>123</v>
      </c>
      <c r="H70" s="192" t="str">
        <f>H52</f>
        <v>130</v>
      </c>
      <c r="I70" s="192" t="str">
        <f>I52</f>
        <v>137</v>
      </c>
      <c r="J70" s="192">
        <f>J52</f>
        <v>0</v>
      </c>
      <c r="K70" s="165"/>
      <c r="L70" s="165"/>
      <c r="M70" s="165"/>
      <c r="N70" s="165"/>
      <c r="O70" s="165"/>
      <c r="P70" s="165"/>
      <c r="Q70" s="165"/>
      <c r="R70" s="165"/>
      <c r="S70" s="165"/>
      <c r="T70" s="183"/>
      <c r="U70" s="165"/>
      <c r="V70" s="165"/>
      <c r="W70" s="165"/>
      <c r="X70" s="165"/>
      <c r="Y70" s="165"/>
      <c r="Z70" s="165"/>
      <c r="AA70" s="165"/>
      <c r="AB70" s="165"/>
      <c r="AC70" s="165"/>
      <c r="AD70" s="165"/>
      <c r="AE70" s="165"/>
      <c r="AF70" s="165"/>
      <c r="AG70" s="165"/>
      <c r="AH70" s="167"/>
      <c r="AI70" s="167"/>
      <c r="AJ70" s="167"/>
      <c r="AK70" s="167"/>
      <c r="AL70" s="167"/>
    </row>
    <row r="71" spans="1:38" ht="19.5" customHeight="1">
      <c r="A71" s="165"/>
      <c r="B71" s="314"/>
      <c r="C71" s="165"/>
      <c r="D71" s="338" t="str">
        <f>D53</f>
        <v>1st Right Roll</v>
      </c>
      <c r="E71" s="192">
        <f>E53</f>
        <v>0</v>
      </c>
      <c r="F71" s="194"/>
      <c r="G71" s="194"/>
      <c r="H71" s="194"/>
      <c r="I71" s="185"/>
      <c r="J71" s="185"/>
      <c r="K71" s="165"/>
      <c r="L71" s="165"/>
      <c r="M71" s="165"/>
      <c r="N71" s="165"/>
      <c r="O71" s="165"/>
      <c r="P71" s="165"/>
      <c r="Q71" s="165"/>
      <c r="R71" s="165"/>
      <c r="S71" s="165"/>
      <c r="T71" s="183"/>
      <c r="U71" s="165"/>
      <c r="V71" s="165"/>
      <c r="W71" s="165"/>
      <c r="X71" s="165"/>
      <c r="Y71" s="165"/>
      <c r="Z71" s="165"/>
      <c r="AA71" s="165"/>
      <c r="AB71" s="165"/>
      <c r="AC71" s="165"/>
      <c r="AD71" s="165"/>
      <c r="AE71" s="165"/>
      <c r="AF71" s="165"/>
      <c r="AG71" s="165"/>
      <c r="AH71" s="167"/>
      <c r="AI71" s="167"/>
      <c r="AJ71" s="167"/>
      <c r="AK71" s="167"/>
      <c r="AL71" s="167"/>
    </row>
    <row r="72" spans="1:38" ht="19.5" customHeight="1">
      <c r="A72" s="165"/>
      <c r="B72" s="314"/>
      <c r="C72" s="165"/>
      <c r="D72" s="338"/>
      <c r="E72" s="192" t="str">
        <f>E54</f>
        <v>127</v>
      </c>
      <c r="F72" s="194"/>
      <c r="G72" s="195"/>
      <c r="H72" s="195"/>
      <c r="I72" s="193"/>
      <c r="J72" s="185"/>
      <c r="K72" s="165"/>
      <c r="L72" s="165"/>
      <c r="M72" s="165"/>
      <c r="N72" s="165"/>
      <c r="O72" s="165"/>
      <c r="P72" s="165"/>
      <c r="Q72" s="165"/>
      <c r="R72" s="165"/>
      <c r="S72" s="165"/>
      <c r="T72" s="183"/>
      <c r="U72" s="165"/>
      <c r="V72" s="165"/>
      <c r="W72" s="165"/>
      <c r="X72" s="165"/>
      <c r="Y72" s="165"/>
      <c r="Z72" s="165"/>
      <c r="AA72" s="165"/>
      <c r="AB72" s="165"/>
      <c r="AC72" s="165"/>
      <c r="AD72" s="165"/>
      <c r="AE72" s="165"/>
      <c r="AF72" s="165"/>
      <c r="AG72" s="165"/>
      <c r="AH72" s="167"/>
      <c r="AI72" s="167"/>
      <c r="AJ72" s="167"/>
      <c r="AK72" s="167"/>
      <c r="AL72" s="167"/>
    </row>
    <row r="73" spans="1:38" ht="19.5" customHeight="1">
      <c r="A73" s="165"/>
      <c r="B73" s="314"/>
      <c r="C73" s="165"/>
      <c r="D73" s="338"/>
      <c r="E73" s="192" t="str">
        <f>E55</f>
        <v>120</v>
      </c>
      <c r="F73" s="194"/>
      <c r="G73" s="195"/>
      <c r="H73" s="195"/>
      <c r="I73" s="193"/>
      <c r="J73" s="185"/>
      <c r="K73" s="165"/>
      <c r="L73" s="165"/>
      <c r="M73" s="165"/>
      <c r="N73" s="165"/>
      <c r="O73" s="165"/>
      <c r="P73" s="165"/>
      <c r="Q73" s="165"/>
      <c r="R73" s="165"/>
      <c r="S73" s="165"/>
      <c r="T73" s="183"/>
      <c r="U73" s="165"/>
      <c r="V73" s="165"/>
      <c r="W73" s="165"/>
      <c r="X73" s="165"/>
      <c r="Y73" s="165"/>
      <c r="Z73" s="165"/>
      <c r="AA73" s="165"/>
      <c r="AB73" s="165"/>
      <c r="AC73" s="165"/>
      <c r="AD73" s="165"/>
      <c r="AE73" s="165"/>
      <c r="AF73" s="165"/>
      <c r="AG73" s="165"/>
      <c r="AH73" s="167"/>
      <c r="AI73" s="167"/>
      <c r="AJ73" s="167"/>
      <c r="AK73" s="167"/>
      <c r="AL73" s="167"/>
    </row>
    <row r="74" spans="1:38" ht="19.5" customHeight="1">
      <c r="A74" s="165"/>
      <c r="B74" s="314"/>
      <c r="C74" s="165"/>
      <c r="D74" s="338"/>
      <c r="E74" s="192" t="str">
        <f>E56</f>
        <v>113</v>
      </c>
      <c r="F74" s="194"/>
      <c r="G74" s="195"/>
      <c r="H74" s="195"/>
      <c r="I74" s="193"/>
      <c r="J74" s="185"/>
      <c r="K74" s="165"/>
      <c r="L74" s="165"/>
      <c r="M74" s="165"/>
      <c r="N74" s="165"/>
      <c r="O74" s="165"/>
      <c r="P74" s="165"/>
      <c r="Q74" s="165"/>
      <c r="R74" s="165"/>
      <c r="S74" s="165"/>
      <c r="T74" s="183"/>
      <c r="U74" s="165"/>
      <c r="V74" s="165"/>
      <c r="W74" s="165"/>
      <c r="X74" s="165"/>
      <c r="Y74" s="165"/>
      <c r="Z74" s="165"/>
      <c r="AA74" s="165"/>
      <c r="AB74" s="165"/>
      <c r="AC74" s="165"/>
      <c r="AD74" s="165"/>
      <c r="AE74" s="165"/>
      <c r="AF74" s="165"/>
      <c r="AG74" s="165"/>
      <c r="AH74" s="167"/>
      <c r="AI74" s="167"/>
      <c r="AJ74" s="167"/>
      <c r="AK74" s="167"/>
      <c r="AL74" s="167"/>
    </row>
    <row r="75" spans="1:38" ht="19.5" customHeight="1">
      <c r="A75" s="165"/>
      <c r="B75" s="314"/>
      <c r="C75" s="165"/>
      <c r="D75" s="338"/>
      <c r="E75" s="192">
        <f>E57</f>
        <v>0</v>
      </c>
      <c r="F75" s="194"/>
      <c r="G75" s="194"/>
      <c r="H75" s="194"/>
      <c r="I75" s="185"/>
      <c r="J75" s="185"/>
      <c r="K75" s="165"/>
      <c r="L75" s="165"/>
      <c r="M75" s="165"/>
      <c r="N75" s="165"/>
      <c r="O75" s="165"/>
      <c r="P75" s="165"/>
      <c r="Q75" s="165"/>
      <c r="R75" s="165"/>
      <c r="S75" s="165"/>
      <c r="T75" s="183"/>
      <c r="U75" s="165"/>
      <c r="V75" s="165"/>
      <c r="W75" s="165"/>
      <c r="X75" s="165"/>
      <c r="Y75" s="165"/>
      <c r="Z75" s="165"/>
      <c r="AA75" s="165"/>
      <c r="AB75" s="165"/>
      <c r="AC75" s="165"/>
      <c r="AD75" s="165"/>
      <c r="AE75" s="165"/>
      <c r="AF75" s="165"/>
      <c r="AG75" s="165"/>
      <c r="AH75" s="167"/>
      <c r="AI75" s="167"/>
      <c r="AJ75" s="167"/>
      <c r="AK75" s="167"/>
      <c r="AL75" s="167"/>
    </row>
    <row r="76" spans="1:38" ht="19.5" customHeight="1">
      <c r="A76" s="165"/>
      <c r="B76" s="314"/>
      <c r="C76" s="165"/>
      <c r="D76" s="165"/>
      <c r="E76" s="165"/>
      <c r="F76" s="165"/>
      <c r="G76" s="165"/>
      <c r="H76" s="165"/>
      <c r="I76" s="165"/>
      <c r="J76" s="165"/>
      <c r="K76" s="165"/>
      <c r="L76" s="165"/>
      <c r="M76" s="165"/>
      <c r="N76" s="165"/>
      <c r="O76" s="165"/>
      <c r="P76" s="165"/>
      <c r="Q76" s="165"/>
      <c r="R76" s="165"/>
      <c r="S76" s="165"/>
      <c r="T76" s="183"/>
      <c r="U76" s="165"/>
      <c r="V76" s="165"/>
      <c r="W76" s="165"/>
      <c r="X76" s="165"/>
      <c r="Y76" s="165"/>
      <c r="Z76" s="165"/>
      <c r="AA76" s="165"/>
      <c r="AB76" s="165"/>
      <c r="AC76" s="165"/>
      <c r="AD76" s="165"/>
      <c r="AE76" s="165"/>
      <c r="AF76" s="165"/>
      <c r="AG76" s="165"/>
      <c r="AH76" s="167"/>
      <c r="AI76" s="167"/>
      <c r="AJ76" s="167"/>
      <c r="AK76" s="167"/>
      <c r="AL76" s="167"/>
    </row>
    <row r="77" spans="1:38" ht="19.5" customHeight="1">
      <c r="A77" s="165"/>
      <c r="B77" s="314"/>
      <c r="C77" s="184" t="s">
        <v>349</v>
      </c>
      <c r="D77" s="165"/>
      <c r="E77" s="165"/>
      <c r="F77" s="165"/>
      <c r="G77" s="165"/>
      <c r="H77" s="165"/>
      <c r="I77" s="165"/>
      <c r="J77" s="165"/>
      <c r="K77" s="165"/>
      <c r="L77" s="165"/>
      <c r="M77" s="165"/>
      <c r="N77" s="165"/>
      <c r="O77" s="165"/>
      <c r="P77" s="165"/>
      <c r="Q77" s="165"/>
      <c r="R77" s="165"/>
      <c r="S77" s="165"/>
      <c r="T77" s="183"/>
      <c r="U77" s="165"/>
      <c r="V77" s="165"/>
      <c r="W77" s="165"/>
      <c r="X77" s="165"/>
      <c r="Y77" s="165"/>
      <c r="Z77" s="165"/>
      <c r="AA77" s="165"/>
      <c r="AB77" s="165"/>
      <c r="AC77" s="165"/>
      <c r="AD77" s="165"/>
      <c r="AE77" s="165"/>
      <c r="AF77" s="165"/>
      <c r="AG77" s="165"/>
      <c r="AH77" s="167"/>
      <c r="AI77" s="167"/>
      <c r="AJ77" s="167"/>
      <c r="AK77" s="167"/>
      <c r="AL77" s="167"/>
    </row>
    <row r="78" spans="1:38" ht="19.5" customHeight="1">
      <c r="A78" s="165"/>
      <c r="B78" s="314"/>
      <c r="C78" s="165" t="s">
        <v>350</v>
      </c>
      <c r="D78" s="165"/>
      <c r="E78" s="165"/>
      <c r="F78" s="325" t="str">
        <f>IF(AND(C6="HH2",C5="Line4"),"0.8 KgF/15mm or more",IF(AND(C6="HH2",C5="Line5"),"0.8 KgF/15mm or more",IF(C6="CAMO","0.8 KgF/15mm or more",IF(C6="Turbo","0.8 KgF/15mm or more",IF(C6="HH1 ADH","5.0N/15mm or more (0.5 kgf)",IF(C6="CuraHeat","5.0N/15mm or more (0.5 kgf)",IF(C6="HH1","5.0N/15mm or more (0.5 kgf)",IF(C6="Slick Back","5.0N/15mm or more (0.5 kgf)",IF(C6="Direct Skin","5.0N/15mm or more (0.5 kgf)",IF(C6="Lap Warmer","0.8 KgF/15mm or more",IF(C6="TW","5.0N/15mm or more (0.5 kgf)")))))))))))</f>
        <v>5.0N/15mm or more (0.5 kgf)</v>
      </c>
      <c r="G78" s="325"/>
      <c r="H78" s="325"/>
      <c r="I78" s="325"/>
      <c r="J78" s="325"/>
      <c r="K78" s="165"/>
      <c r="L78" s="165"/>
      <c r="M78" s="165"/>
      <c r="N78" s="165"/>
      <c r="O78" s="165"/>
      <c r="P78" s="165"/>
      <c r="Q78" s="165"/>
      <c r="R78" s="165"/>
      <c r="S78" s="165"/>
      <c r="T78" s="183"/>
      <c r="U78" s="165"/>
      <c r="V78" s="165"/>
      <c r="W78" s="165"/>
      <c r="X78" s="165"/>
      <c r="Y78" s="165"/>
      <c r="Z78" s="165"/>
      <c r="AA78" s="165"/>
      <c r="AB78" s="165"/>
      <c r="AC78" s="165"/>
      <c r="AD78" s="165"/>
      <c r="AE78" s="165"/>
      <c r="AF78" s="165"/>
      <c r="AG78" s="165"/>
      <c r="AH78" s="167"/>
      <c r="AI78" s="167"/>
      <c r="AJ78" s="167"/>
      <c r="AK78" s="167"/>
      <c r="AL78" s="167"/>
    </row>
    <row r="79" spans="1:38" ht="19.5" customHeight="1">
      <c r="A79" s="165"/>
      <c r="B79" s="314"/>
      <c r="C79" s="165"/>
      <c r="D79" s="165"/>
      <c r="E79" s="165"/>
      <c r="F79" s="165"/>
      <c r="G79" s="165"/>
      <c r="H79" s="165"/>
      <c r="I79" s="165"/>
      <c r="J79" s="165"/>
      <c r="K79" s="165"/>
      <c r="L79" s="165"/>
      <c r="M79" s="165"/>
      <c r="N79" s="165"/>
      <c r="O79" s="165"/>
      <c r="P79" s="165"/>
      <c r="Q79" s="165"/>
      <c r="R79" s="165"/>
      <c r="S79" s="165"/>
      <c r="T79" s="183"/>
      <c r="U79" s="165"/>
      <c r="V79" s="165"/>
      <c r="W79" s="165"/>
      <c r="X79" s="165"/>
      <c r="Y79" s="165"/>
      <c r="Z79" s="165"/>
      <c r="AA79" s="165"/>
      <c r="AB79" s="165"/>
      <c r="AC79" s="165"/>
      <c r="AD79" s="165"/>
      <c r="AE79" s="165"/>
      <c r="AF79" s="165"/>
      <c r="AG79" s="165"/>
      <c r="AH79" s="167"/>
      <c r="AI79" s="167"/>
      <c r="AJ79" s="167"/>
      <c r="AK79" s="167"/>
      <c r="AL79" s="167"/>
    </row>
    <row r="80" spans="1:38" ht="19.5" customHeight="1">
      <c r="A80" s="165"/>
      <c r="B80" s="314"/>
      <c r="C80" s="165"/>
      <c r="D80" s="165"/>
      <c r="E80" s="330" t="s">
        <v>340</v>
      </c>
      <c r="F80" s="331"/>
      <c r="G80" s="331"/>
      <c r="H80" s="332"/>
      <c r="I80" s="330" t="s">
        <v>341</v>
      </c>
      <c r="J80" s="331"/>
      <c r="K80" s="331"/>
      <c r="L80" s="332"/>
      <c r="M80" s="336" t="s">
        <v>342</v>
      </c>
      <c r="N80" s="336"/>
      <c r="O80" s="336"/>
      <c r="P80" s="336"/>
      <c r="Q80" s="165"/>
      <c r="R80" s="165"/>
      <c r="S80" s="165"/>
      <c r="T80" s="183"/>
      <c r="U80" s="165"/>
      <c r="V80" s="165"/>
      <c r="W80" s="165"/>
      <c r="X80" s="165"/>
      <c r="Y80" s="165"/>
      <c r="Z80" s="165"/>
      <c r="AA80" s="165"/>
      <c r="AB80" s="165"/>
      <c r="AC80" s="165"/>
      <c r="AD80" s="165"/>
      <c r="AE80" s="165"/>
      <c r="AF80" s="165"/>
      <c r="AG80" s="165"/>
      <c r="AH80" s="167"/>
      <c r="AI80" s="167"/>
      <c r="AJ80" s="167"/>
      <c r="AK80" s="167"/>
      <c r="AL80" s="167"/>
    </row>
    <row r="81" spans="1:38" ht="19.5" customHeight="1">
      <c r="A81" s="165"/>
      <c r="B81" s="314"/>
      <c r="C81" s="165"/>
      <c r="D81" s="185"/>
      <c r="E81" s="186"/>
      <c r="F81" s="186"/>
      <c r="G81" s="186"/>
      <c r="H81" s="186"/>
      <c r="I81" s="186"/>
      <c r="J81" s="186"/>
      <c r="K81" s="186"/>
      <c r="L81" s="186"/>
      <c r="M81" s="186"/>
      <c r="N81" s="186"/>
      <c r="O81" s="186"/>
      <c r="P81" s="186"/>
      <c r="Q81" s="165"/>
      <c r="R81" s="165"/>
      <c r="S81" s="165"/>
      <c r="T81" s="183"/>
      <c r="U81" s="165"/>
      <c r="V81" s="165"/>
      <c r="W81" s="165"/>
      <c r="X81" s="165"/>
      <c r="Y81" s="165"/>
      <c r="Z81" s="165"/>
      <c r="AA81" s="165"/>
      <c r="AB81" s="165"/>
      <c r="AC81" s="165"/>
      <c r="AD81" s="165"/>
      <c r="AE81" s="165"/>
      <c r="AF81" s="165"/>
      <c r="AG81" s="165"/>
      <c r="AH81" s="167"/>
      <c r="AI81" s="167"/>
      <c r="AJ81" s="167"/>
      <c r="AK81" s="167"/>
      <c r="AL81" s="167"/>
    </row>
    <row r="82" spans="1:38" ht="19.5" customHeight="1">
      <c r="A82" s="165"/>
      <c r="B82" s="314"/>
      <c r="C82" s="165"/>
      <c r="D82" s="186">
        <v>1</v>
      </c>
      <c r="E82" s="185"/>
      <c r="F82" s="185"/>
      <c r="G82" s="185"/>
      <c r="H82" s="185"/>
      <c r="I82" s="185"/>
      <c r="J82" s="185"/>
      <c r="K82" s="185"/>
      <c r="L82" s="185"/>
      <c r="M82" s="185"/>
      <c r="N82" s="185"/>
      <c r="O82" s="185"/>
      <c r="P82" s="185"/>
      <c r="Q82" s="165"/>
      <c r="R82" s="165"/>
      <c r="S82" s="165"/>
      <c r="T82" s="183"/>
      <c r="U82" s="165"/>
      <c r="V82" s="165"/>
      <c r="W82" s="165"/>
      <c r="X82" s="165"/>
      <c r="Y82" s="165"/>
      <c r="Z82" s="165"/>
      <c r="AA82" s="165"/>
      <c r="AB82" s="165"/>
      <c r="AC82" s="165"/>
      <c r="AD82" s="165"/>
      <c r="AE82" s="165"/>
      <c r="AF82" s="165"/>
      <c r="AG82" s="165"/>
      <c r="AH82" s="167"/>
      <c r="AI82" s="167"/>
      <c r="AJ82" s="167"/>
      <c r="AK82" s="167"/>
      <c r="AL82" s="167"/>
    </row>
    <row r="83" spans="1:38" ht="19.5" customHeight="1">
      <c r="A83" s="165"/>
      <c r="B83" s="314"/>
      <c r="C83" s="165"/>
      <c r="D83" s="186">
        <v>2</v>
      </c>
      <c r="E83" s="185"/>
      <c r="F83" s="185"/>
      <c r="G83" s="185"/>
      <c r="H83" s="185"/>
      <c r="I83" s="185"/>
      <c r="J83" s="185"/>
      <c r="K83" s="185"/>
      <c r="L83" s="185"/>
      <c r="M83" s="185"/>
      <c r="N83" s="185"/>
      <c r="O83" s="185"/>
      <c r="P83" s="185"/>
      <c r="Q83" s="165"/>
      <c r="R83" s="165"/>
      <c r="S83" s="165"/>
      <c r="T83" s="183"/>
      <c r="U83" s="165"/>
      <c r="V83" s="165"/>
      <c r="W83" s="165"/>
      <c r="X83" s="165"/>
      <c r="Y83" s="165"/>
      <c r="Z83" s="165"/>
      <c r="AA83" s="165"/>
      <c r="AB83" s="165"/>
      <c r="AC83" s="165"/>
      <c r="AD83" s="165"/>
      <c r="AE83" s="165"/>
      <c r="AF83" s="165"/>
      <c r="AG83" s="165"/>
      <c r="AH83" s="167"/>
      <c r="AI83" s="167"/>
      <c r="AJ83" s="167"/>
      <c r="AK83" s="167"/>
      <c r="AL83" s="167"/>
    </row>
    <row r="84" spans="1:38" ht="19.5" customHeight="1">
      <c r="A84" s="165"/>
      <c r="B84" s="314"/>
      <c r="C84" s="165"/>
      <c r="D84" s="186">
        <v>3</v>
      </c>
      <c r="E84" s="185"/>
      <c r="F84" s="185"/>
      <c r="G84" s="185"/>
      <c r="H84" s="185"/>
      <c r="I84" s="185"/>
      <c r="J84" s="185"/>
      <c r="K84" s="185"/>
      <c r="L84" s="185"/>
      <c r="M84" s="185"/>
      <c r="N84" s="185"/>
      <c r="O84" s="185"/>
      <c r="P84" s="185"/>
      <c r="Q84" s="165"/>
      <c r="R84" s="165"/>
      <c r="S84" s="165"/>
      <c r="T84" s="183"/>
      <c r="U84" s="165"/>
      <c r="V84" s="165"/>
      <c r="W84" s="165"/>
      <c r="X84" s="165"/>
      <c r="Y84" s="165"/>
      <c r="Z84" s="165"/>
      <c r="AA84" s="165"/>
      <c r="AB84" s="165"/>
      <c r="AC84" s="165"/>
      <c r="AD84" s="165"/>
      <c r="AE84" s="165"/>
      <c r="AF84" s="165"/>
      <c r="AG84" s="165"/>
      <c r="AH84" s="167"/>
      <c r="AI84" s="167"/>
      <c r="AJ84" s="167"/>
      <c r="AK84" s="167"/>
      <c r="AL84" s="167"/>
    </row>
    <row r="85" spans="1:38" ht="19.5" customHeight="1">
      <c r="A85" s="165"/>
      <c r="B85" s="314"/>
      <c r="C85" s="165"/>
      <c r="D85" s="186">
        <v>4</v>
      </c>
      <c r="E85" s="185"/>
      <c r="F85" s="185"/>
      <c r="G85" s="185"/>
      <c r="H85" s="185"/>
      <c r="I85" s="185"/>
      <c r="J85" s="185"/>
      <c r="K85" s="185"/>
      <c r="L85" s="185"/>
      <c r="M85" s="185"/>
      <c r="N85" s="185"/>
      <c r="O85" s="185"/>
      <c r="P85" s="185"/>
      <c r="Q85" s="165"/>
      <c r="R85" s="165"/>
      <c r="S85" s="165"/>
      <c r="T85" s="183"/>
      <c r="U85" s="165"/>
      <c r="V85" s="165"/>
      <c r="W85" s="165"/>
      <c r="X85" s="165"/>
      <c r="Y85" s="165"/>
      <c r="Z85" s="165"/>
      <c r="AA85" s="165"/>
      <c r="AB85" s="165"/>
      <c r="AC85" s="165"/>
      <c r="AD85" s="165"/>
      <c r="AE85" s="165"/>
      <c r="AF85" s="165"/>
      <c r="AG85" s="165"/>
      <c r="AH85" s="167"/>
      <c r="AI85" s="167"/>
      <c r="AJ85" s="167"/>
      <c r="AK85" s="167"/>
      <c r="AL85" s="167"/>
    </row>
    <row r="86" spans="1:38" ht="19.5" customHeight="1">
      <c r="A86" s="165"/>
      <c r="B86" s="314"/>
      <c r="C86" s="165"/>
      <c r="D86" s="186">
        <v>5</v>
      </c>
      <c r="E86" s="185"/>
      <c r="F86" s="185"/>
      <c r="G86" s="185"/>
      <c r="H86" s="185"/>
      <c r="I86" s="185"/>
      <c r="J86" s="185"/>
      <c r="K86" s="185"/>
      <c r="L86" s="185"/>
      <c r="M86" s="185"/>
      <c r="N86" s="185"/>
      <c r="O86" s="185"/>
      <c r="P86" s="185"/>
      <c r="Q86" s="165"/>
      <c r="R86" s="165"/>
      <c r="S86" s="165"/>
      <c r="T86" s="183"/>
      <c r="U86" s="165"/>
      <c r="V86" s="165"/>
      <c r="W86" s="165"/>
      <c r="X86" s="165"/>
      <c r="Y86" s="165"/>
      <c r="Z86" s="165"/>
      <c r="AA86" s="165"/>
      <c r="AB86" s="165"/>
      <c r="AC86" s="165"/>
      <c r="AD86" s="165"/>
      <c r="AE86" s="165"/>
      <c r="AF86" s="165"/>
      <c r="AG86" s="165"/>
      <c r="AH86" s="167"/>
      <c r="AI86" s="167"/>
      <c r="AJ86" s="167"/>
      <c r="AK86" s="167"/>
      <c r="AL86" s="167"/>
    </row>
    <row r="87" spans="1:38" ht="19.5" customHeight="1">
      <c r="A87" s="165"/>
      <c r="B87" s="314"/>
      <c r="C87" s="165"/>
      <c r="D87" s="186">
        <v>6</v>
      </c>
      <c r="E87" s="185"/>
      <c r="F87" s="185"/>
      <c r="G87" s="185"/>
      <c r="H87" s="185"/>
      <c r="I87" s="185"/>
      <c r="J87" s="185"/>
      <c r="K87" s="185"/>
      <c r="L87" s="185"/>
      <c r="M87" s="185"/>
      <c r="N87" s="185"/>
      <c r="O87" s="185"/>
      <c r="P87" s="185"/>
      <c r="Q87" s="165"/>
      <c r="R87" s="165"/>
      <c r="S87" s="165"/>
      <c r="T87" s="183"/>
      <c r="U87" s="165"/>
      <c r="V87" s="165"/>
      <c r="W87" s="165"/>
      <c r="X87" s="165"/>
      <c r="Y87" s="165"/>
      <c r="Z87" s="165"/>
      <c r="AA87" s="165"/>
      <c r="AB87" s="165"/>
      <c r="AC87" s="165"/>
      <c r="AD87" s="165"/>
      <c r="AE87" s="165"/>
      <c r="AF87" s="165"/>
      <c r="AG87" s="165"/>
      <c r="AH87" s="167"/>
      <c r="AI87" s="167"/>
      <c r="AJ87" s="167"/>
      <c r="AK87" s="167"/>
      <c r="AL87" s="167"/>
    </row>
    <row r="88" spans="1:38" ht="19.5" customHeight="1">
      <c r="A88" s="165"/>
      <c r="B88" s="314"/>
      <c r="C88" s="165"/>
      <c r="D88" s="186" t="s">
        <v>343</v>
      </c>
      <c r="E88" s="185"/>
      <c r="F88" s="185"/>
      <c r="G88" s="185"/>
      <c r="H88" s="185"/>
      <c r="I88" s="185"/>
      <c r="J88" s="185"/>
      <c r="K88" s="185"/>
      <c r="L88" s="185"/>
      <c r="M88" s="185"/>
      <c r="N88" s="185"/>
      <c r="O88" s="185"/>
      <c r="P88" s="185"/>
      <c r="Q88" s="165"/>
      <c r="R88" s="165"/>
      <c r="S88" s="165"/>
      <c r="T88" s="183"/>
      <c r="U88" s="165"/>
      <c r="V88" s="165"/>
      <c r="W88" s="165"/>
      <c r="X88" s="165"/>
      <c r="Y88" s="165"/>
      <c r="Z88" s="165"/>
      <c r="AA88" s="165"/>
      <c r="AB88" s="165"/>
      <c r="AC88" s="165"/>
      <c r="AD88" s="165"/>
      <c r="AE88" s="165"/>
      <c r="AF88" s="165"/>
      <c r="AG88" s="165"/>
      <c r="AH88" s="167"/>
      <c r="AI88" s="167"/>
      <c r="AJ88" s="167"/>
      <c r="AK88" s="167"/>
      <c r="AL88" s="167"/>
    </row>
    <row r="89" spans="1:38" ht="19.5" customHeight="1">
      <c r="A89" s="165"/>
      <c r="B89" s="314"/>
      <c r="C89" s="165"/>
      <c r="D89" s="186" t="s">
        <v>344</v>
      </c>
      <c r="E89" s="185"/>
      <c r="F89" s="185"/>
      <c r="G89" s="185"/>
      <c r="H89" s="185"/>
      <c r="I89" s="185"/>
      <c r="J89" s="185"/>
      <c r="K89" s="185"/>
      <c r="L89" s="185"/>
      <c r="M89" s="185"/>
      <c r="N89" s="185"/>
      <c r="O89" s="185"/>
      <c r="P89" s="185"/>
      <c r="Q89" s="165"/>
      <c r="R89" s="165"/>
      <c r="S89" s="165"/>
      <c r="T89" s="183"/>
      <c r="U89" s="165"/>
      <c r="V89" s="165"/>
      <c r="W89" s="165"/>
      <c r="X89" s="165"/>
      <c r="Y89" s="165"/>
      <c r="Z89" s="165"/>
      <c r="AA89" s="165"/>
      <c r="AB89" s="165"/>
      <c r="AC89" s="165"/>
      <c r="AD89" s="165"/>
      <c r="AE89" s="165"/>
      <c r="AF89" s="165"/>
      <c r="AG89" s="165"/>
      <c r="AH89" s="167"/>
      <c r="AI89" s="167"/>
      <c r="AJ89" s="167"/>
      <c r="AK89" s="167"/>
      <c r="AL89" s="167"/>
    </row>
    <row r="90" spans="1:38" ht="19.5" customHeight="1">
      <c r="A90" s="165"/>
      <c r="B90" s="314"/>
      <c r="C90" s="165"/>
      <c r="D90" s="186" t="s">
        <v>345</v>
      </c>
      <c r="E90" s="185"/>
      <c r="F90" s="185"/>
      <c r="G90" s="185"/>
      <c r="H90" s="185"/>
      <c r="I90" s="185"/>
      <c r="J90" s="185"/>
      <c r="K90" s="185"/>
      <c r="L90" s="185"/>
      <c r="M90" s="185"/>
      <c r="N90" s="185"/>
      <c r="O90" s="185"/>
      <c r="P90" s="185"/>
      <c r="Q90" s="165"/>
      <c r="R90" s="165"/>
      <c r="S90" s="165"/>
      <c r="T90" s="183"/>
      <c r="U90" s="165"/>
      <c r="V90" s="165"/>
      <c r="W90" s="165"/>
      <c r="X90" s="165"/>
      <c r="Y90" s="165"/>
      <c r="Z90" s="165"/>
      <c r="AA90" s="165"/>
      <c r="AB90" s="165"/>
      <c r="AC90" s="165"/>
      <c r="AD90" s="165"/>
      <c r="AE90" s="165"/>
      <c r="AF90" s="165"/>
      <c r="AG90" s="165"/>
      <c r="AH90" s="167"/>
      <c r="AI90" s="167"/>
      <c r="AJ90" s="167"/>
      <c r="AK90" s="167"/>
      <c r="AL90" s="167"/>
    </row>
    <row r="91" spans="1:38" ht="19.5" customHeight="1">
      <c r="A91" s="165"/>
      <c r="B91" s="314"/>
      <c r="C91" s="165"/>
      <c r="D91" s="187"/>
      <c r="E91" s="165"/>
      <c r="F91" s="165"/>
      <c r="G91" s="165"/>
      <c r="H91" s="165"/>
      <c r="I91" s="165"/>
      <c r="J91" s="165"/>
      <c r="K91" s="165"/>
      <c r="L91" s="165"/>
      <c r="M91" s="165"/>
      <c r="N91" s="165"/>
      <c r="O91" s="165"/>
      <c r="P91" s="165"/>
      <c r="Q91" s="165"/>
      <c r="R91" s="165"/>
      <c r="S91" s="165"/>
      <c r="T91" s="183"/>
      <c r="U91" s="165"/>
      <c r="V91" s="165"/>
      <c r="W91" s="165"/>
      <c r="X91" s="165"/>
      <c r="Y91" s="165"/>
      <c r="Z91" s="165"/>
      <c r="AA91" s="165"/>
      <c r="AB91" s="165"/>
      <c r="AC91" s="165"/>
      <c r="AD91" s="165"/>
      <c r="AE91" s="165"/>
      <c r="AF91" s="165"/>
      <c r="AG91" s="165"/>
      <c r="AH91" s="167"/>
      <c r="AI91" s="167"/>
      <c r="AJ91" s="167"/>
      <c r="AK91" s="167"/>
      <c r="AL91" s="167"/>
    </row>
    <row r="92" spans="1:38" ht="19.5" customHeight="1">
      <c r="A92" s="165"/>
      <c r="B92" s="314"/>
      <c r="C92" s="165"/>
      <c r="D92" s="165" t="s">
        <v>351</v>
      </c>
      <c r="E92" s="165"/>
      <c r="F92" s="165"/>
      <c r="G92" s="165"/>
      <c r="H92" s="165"/>
      <c r="I92" s="165"/>
      <c r="J92" s="165"/>
      <c r="K92" s="165"/>
      <c r="L92" s="165"/>
      <c r="M92" s="165"/>
      <c r="N92" s="165"/>
      <c r="O92" s="165"/>
      <c r="P92" s="165"/>
      <c r="Q92" s="165"/>
      <c r="R92" s="165"/>
      <c r="S92" s="165"/>
      <c r="T92" s="183"/>
      <c r="U92" s="165"/>
      <c r="V92" s="165"/>
      <c r="W92" s="165"/>
      <c r="X92" s="165"/>
      <c r="Y92" s="165"/>
      <c r="Z92" s="165"/>
      <c r="AA92" s="165"/>
      <c r="AB92" s="165"/>
      <c r="AC92" s="165"/>
      <c r="AD92" s="165"/>
      <c r="AE92" s="165"/>
      <c r="AF92" s="165"/>
      <c r="AG92" s="165"/>
      <c r="AH92" s="167"/>
      <c r="AI92" s="167"/>
      <c r="AJ92" s="167"/>
      <c r="AK92" s="167"/>
      <c r="AL92" s="167"/>
    </row>
    <row r="93" spans="1:38" ht="19.5" customHeight="1">
      <c r="A93" s="165"/>
      <c r="B93" s="314"/>
      <c r="C93" s="165"/>
      <c r="D93" s="165" t="s">
        <v>352</v>
      </c>
      <c r="E93" s="165"/>
      <c r="F93" s="165"/>
      <c r="G93" s="165"/>
      <c r="H93" s="165"/>
      <c r="I93" s="165"/>
      <c r="J93" s="165"/>
      <c r="K93" s="165"/>
      <c r="L93" s="165"/>
      <c r="M93" s="165"/>
      <c r="N93" s="165"/>
      <c r="O93" s="165"/>
      <c r="P93" s="165"/>
      <c r="Q93" s="165"/>
      <c r="R93" s="165"/>
      <c r="S93" s="165"/>
      <c r="T93" s="183"/>
      <c r="U93" s="165"/>
      <c r="V93" s="165"/>
      <c r="W93" s="165"/>
      <c r="X93" s="165"/>
      <c r="Y93" s="165"/>
      <c r="Z93" s="165"/>
      <c r="AA93" s="165"/>
      <c r="AB93" s="165"/>
      <c r="AC93" s="165"/>
      <c r="AD93" s="165"/>
      <c r="AE93" s="165"/>
      <c r="AF93" s="165"/>
      <c r="AG93" s="165"/>
      <c r="AH93" s="167"/>
      <c r="AI93" s="167"/>
      <c r="AJ93" s="167"/>
      <c r="AK93" s="167"/>
      <c r="AL93" s="167"/>
    </row>
    <row r="94" spans="1:38" ht="19.5" customHeight="1">
      <c r="A94" s="165"/>
      <c r="B94" s="314"/>
      <c r="C94" s="165"/>
      <c r="D94" s="165"/>
      <c r="E94" s="165"/>
      <c r="F94" s="165"/>
      <c r="G94" s="165"/>
      <c r="H94" s="165"/>
      <c r="I94" s="165"/>
      <c r="J94" s="165"/>
      <c r="K94" s="165"/>
      <c r="L94" s="165"/>
      <c r="M94" s="165"/>
      <c r="N94" s="165"/>
      <c r="O94" s="165"/>
      <c r="P94" s="165"/>
      <c r="Q94" s="165"/>
      <c r="R94" s="165"/>
      <c r="S94" s="165"/>
      <c r="T94" s="183"/>
      <c r="U94" s="165"/>
      <c r="V94" s="165"/>
      <c r="W94" s="165"/>
      <c r="X94" s="165"/>
      <c r="Y94" s="165"/>
      <c r="Z94" s="165"/>
      <c r="AA94" s="165"/>
      <c r="AB94" s="165"/>
      <c r="AC94" s="165"/>
      <c r="AD94" s="165"/>
      <c r="AE94" s="165"/>
      <c r="AF94" s="165"/>
      <c r="AG94" s="165"/>
      <c r="AH94" s="167"/>
      <c r="AI94" s="167"/>
      <c r="AJ94" s="167"/>
      <c r="AK94" s="167"/>
      <c r="AL94" s="167"/>
    </row>
    <row r="95" spans="1:38" ht="19.5" customHeight="1">
      <c r="A95" s="165"/>
      <c r="B95" s="314"/>
      <c r="C95" s="322" t="s">
        <v>59</v>
      </c>
      <c r="D95" s="323"/>
      <c r="E95" s="323"/>
      <c r="F95" s="323"/>
      <c r="G95" s="323"/>
      <c r="H95" s="323"/>
      <c r="I95" s="323"/>
      <c r="J95" s="323"/>
      <c r="K95" s="323"/>
      <c r="L95" s="323"/>
      <c r="M95" s="323"/>
      <c r="N95" s="323"/>
      <c r="O95" s="323"/>
      <c r="P95" s="323"/>
      <c r="Q95" s="323"/>
      <c r="R95" s="323"/>
      <c r="S95" s="323"/>
      <c r="T95" s="324"/>
      <c r="U95" s="165"/>
      <c r="V95" s="165"/>
      <c r="W95" s="165"/>
      <c r="X95" s="165"/>
      <c r="Y95" s="165"/>
      <c r="Z95" s="165"/>
      <c r="AA95" s="165"/>
      <c r="AB95" s="165"/>
      <c r="AC95" s="165"/>
      <c r="AD95" s="165"/>
      <c r="AE95" s="165"/>
      <c r="AF95" s="165"/>
      <c r="AG95" s="165"/>
      <c r="AH95" s="167"/>
      <c r="AI95" s="167"/>
      <c r="AJ95" s="167"/>
      <c r="AK95" s="167"/>
      <c r="AL95" s="167"/>
    </row>
    <row r="96" spans="1:38" ht="19.5" customHeight="1">
      <c r="A96" s="165"/>
      <c r="B96" s="314"/>
      <c r="C96" s="184" t="s">
        <v>353</v>
      </c>
      <c r="D96" s="165"/>
      <c r="E96" s="165"/>
      <c r="K96" s="165"/>
      <c r="L96" s="165"/>
      <c r="M96" s="165"/>
      <c r="N96" s="165"/>
      <c r="O96" s="165"/>
      <c r="P96" s="165"/>
      <c r="Q96" s="165"/>
      <c r="R96" s="165"/>
      <c r="S96" s="165"/>
      <c r="T96" s="183"/>
      <c r="U96" s="165"/>
      <c r="V96" s="165"/>
      <c r="W96" s="165"/>
      <c r="X96" s="165"/>
      <c r="Y96" s="165"/>
      <c r="Z96" s="165"/>
      <c r="AA96" s="165"/>
      <c r="AB96" s="165"/>
      <c r="AC96" s="165"/>
      <c r="AD96" s="165"/>
      <c r="AE96" s="165"/>
      <c r="AF96" s="165"/>
      <c r="AG96" s="165"/>
      <c r="AH96" s="167"/>
      <c r="AI96" s="167"/>
      <c r="AJ96" s="167"/>
      <c r="AK96" s="167"/>
      <c r="AL96" s="167"/>
    </row>
    <row r="97" spans="1:38" ht="19.5" customHeight="1">
      <c r="A97" s="165"/>
      <c r="B97" s="314"/>
      <c r="C97" s="165" t="s">
        <v>340</v>
      </c>
      <c r="D97" s="165"/>
      <c r="E97" s="165"/>
      <c r="F97" s="165"/>
      <c r="G97" s="165"/>
      <c r="H97" s="165"/>
      <c r="I97" s="165"/>
      <c r="J97" s="165"/>
      <c r="K97" s="165"/>
      <c r="L97" s="165"/>
      <c r="M97" s="165"/>
      <c r="N97" s="165"/>
      <c r="O97" s="165"/>
      <c r="P97" s="165"/>
      <c r="Q97" s="165"/>
      <c r="R97" s="165"/>
      <c r="S97" s="165"/>
      <c r="T97" s="183"/>
      <c r="U97" s="165"/>
      <c r="V97" s="165"/>
      <c r="W97" s="165"/>
      <c r="X97" s="165"/>
      <c r="Y97" s="165"/>
      <c r="Z97" s="165"/>
      <c r="AA97" s="165"/>
      <c r="AB97" s="165"/>
      <c r="AC97" s="165"/>
      <c r="AD97" s="165"/>
      <c r="AE97" s="165"/>
      <c r="AF97" s="165"/>
      <c r="AG97" s="165"/>
      <c r="AH97" s="167"/>
      <c r="AI97" s="167"/>
      <c r="AJ97" s="167"/>
      <c r="AK97" s="167"/>
      <c r="AL97" s="167"/>
    </row>
    <row r="98" spans="1:38" ht="19.5" customHeight="1">
      <c r="A98" s="165"/>
      <c r="B98" s="314"/>
      <c r="C98" s="189"/>
      <c r="D98" s="337"/>
      <c r="E98" s="337"/>
      <c r="F98" s="336" t="str">
        <f>IF(AND(C6="HH2",C5="Line4"),"No.1 Seal Roll",IF(AND(C6="HH2",C5="Line5"),"No.1 Seal Roll",IF(C6="CAMO","No.1 Seal Roll",IF(C6="Turbo","No.1 Seal Roll",IF(C6="HH1 ADH","Vertical Seal Roll",IF(C6="CuraHeat","Vertical Seal Roll",IF(C6="HH1","Vertical Seal Roll",IF(C6="Slick Back","Vertical Seal Roll",IF(C6="Direct Skin","Vertical Seal Roll",IF(C6="Lap Warmer","Vertical Seal Roll",IF(C6="TW","Vertical Seal Roll")))))))))))</f>
        <v>Vertical Seal Roll</v>
      </c>
      <c r="G98" s="336"/>
      <c r="H98" s="336"/>
      <c r="I98" s="336"/>
      <c r="J98" s="336"/>
      <c r="K98" s="165"/>
      <c r="L98" s="165"/>
      <c r="M98" s="165"/>
      <c r="N98" s="165"/>
      <c r="O98" s="165"/>
      <c r="P98" s="165"/>
      <c r="Q98" s="165"/>
      <c r="R98" s="165"/>
      <c r="S98" s="165"/>
      <c r="T98" s="183"/>
      <c r="U98" s="165"/>
      <c r="V98" s="165"/>
      <c r="W98" s="165"/>
      <c r="X98" s="165"/>
      <c r="Y98" s="165"/>
      <c r="Z98" s="165"/>
      <c r="AA98" s="165"/>
      <c r="AB98" s="165"/>
      <c r="AC98" s="165"/>
      <c r="AD98" s="165"/>
      <c r="AE98" s="165"/>
      <c r="AF98" s="165"/>
      <c r="AG98" s="165"/>
      <c r="AH98" s="167"/>
      <c r="AI98" s="167"/>
      <c r="AJ98" s="167"/>
      <c r="AK98" s="167"/>
      <c r="AL98" s="167"/>
    </row>
    <row r="99" spans="1:38" ht="19.5" customHeight="1">
      <c r="A99" s="165"/>
      <c r="B99" s="314"/>
      <c r="C99" s="189"/>
      <c r="D99" s="337"/>
      <c r="E99" s="337"/>
      <c r="F99" s="191"/>
      <c r="G99" s="192" t="str">
        <f>IF(AND(C6="HH2",C5="Line4"),"125",IF(AND(C6="HH2",C5="Line5"),"100",IF(C6="CAMO","100",IF(C6="Turbo","100",IF(C6="HH1 ADH","105",IF(C6="CuraHeat","105",IF(C6="HH1","105",IF(C6="Slick Back","105",IF(C6="Direct Skin","105",IF(C6="Lap Warmer","105",IF(C6="TW","105")))))))))))</f>
        <v>105</v>
      </c>
      <c r="H99" s="192" t="str">
        <f>IF(AND(C6="HH2",C5="Line4"),"135",IF(AND(C6="HH2",C5="Line5"),"110",IF(C6="CAMO","110",IF(C6="Turbo","110",IF(C6="HH1 ADH","110",IF(C6="CuraHeat","110",IF(C6="HH1","110",IF(C6="Slick Back","110",IF(C6="Direct Skin","110",IF(C6="Lap Warmer","110",IF(C6="TW","110")))))))))))</f>
        <v>110</v>
      </c>
      <c r="I99" s="192" t="str">
        <f>IF(AND(C6="HH2",C5="Line4"),"145",IF(AND(C6="HH2",C5="Line5"),"120",IF(C6="CAMO","120",IF(C6="Turbo","120",IF(C6="HH1 ADH","110",IF(C6="CuraHeat","115",IF(C6="HH1","115",IF(C6="Slick Back","115",IF(C6="Direct Skin","115",IF(C6="Lap Warmer","115",IF(C6="TW","115")))))))))))</f>
        <v>115</v>
      </c>
      <c r="J99" s="192"/>
      <c r="K99" s="165"/>
      <c r="L99" s="165"/>
      <c r="M99" s="165"/>
      <c r="N99" s="165"/>
      <c r="O99" s="165"/>
      <c r="P99" s="165"/>
      <c r="Q99" s="165"/>
      <c r="R99" s="165"/>
      <c r="S99" s="165"/>
      <c r="T99" s="183"/>
      <c r="U99" s="165"/>
      <c r="V99" s="165"/>
      <c r="W99" s="165"/>
      <c r="X99" s="165"/>
      <c r="Y99" s="165"/>
      <c r="Z99" s="165"/>
      <c r="AA99" s="165"/>
      <c r="AB99" s="165"/>
      <c r="AC99" s="165"/>
      <c r="AD99" s="165"/>
      <c r="AE99" s="165"/>
      <c r="AF99" s="165"/>
      <c r="AG99" s="165"/>
      <c r="AH99" s="167"/>
      <c r="AI99" s="167"/>
      <c r="AJ99" s="167"/>
      <c r="AK99" s="167"/>
      <c r="AL99" s="167"/>
    </row>
    <row r="100" spans="1:38" ht="19.5" customHeight="1">
      <c r="A100" s="165"/>
      <c r="B100" s="314"/>
      <c r="C100" s="189"/>
      <c r="D100" s="338" t="str">
        <f>IF(AND(C6="HH2",C5="Line4"),"No.2 Seal Roll",IF(AND(C6="HH2",C5="Line5"),"No.2 Seal Roll",IF(C6="CAMO","No.2 Seal Roll",IF(C6="Turbo","No.2 Seal Roll",IF(C6="HH1 ADH","Horizontal Seal Roll",IF(C6="CuraHeat","Horizontal Seal Roll",IF(C6="HH1","Horizontal Seal Roll",IF(C6="Slick Back","Horizontal Seal Roll",IF(C6="Direct Skin","Horizontal Seal Roll",IF(C6="Lap Warmer","Horizontal Seal Roll",IF(C6="TW","Horizontal Seal Roll")))))))))))</f>
        <v>Horizontal Seal Roll</v>
      </c>
      <c r="E100" s="192"/>
      <c r="F100" s="185"/>
      <c r="G100" s="185"/>
      <c r="H100" s="185"/>
      <c r="I100" s="185"/>
      <c r="J100" s="185"/>
      <c r="K100" s="165"/>
      <c r="L100" s="165"/>
      <c r="M100" s="165"/>
      <c r="N100" s="165"/>
      <c r="O100" s="165"/>
      <c r="P100" s="165"/>
      <c r="Q100" s="165"/>
      <c r="R100" s="165"/>
      <c r="S100" s="165"/>
      <c r="T100" s="183"/>
      <c r="U100" s="165"/>
      <c r="V100" s="165"/>
      <c r="W100" s="165"/>
      <c r="X100" s="165"/>
      <c r="Y100" s="165"/>
      <c r="Z100" s="165"/>
      <c r="AA100" s="165"/>
      <c r="AB100" s="165"/>
      <c r="AC100" s="165"/>
      <c r="AD100" s="165"/>
      <c r="AE100" s="165"/>
      <c r="AF100" s="165"/>
      <c r="AG100" s="165"/>
      <c r="AH100" s="167"/>
      <c r="AI100" s="167"/>
      <c r="AJ100" s="167"/>
      <c r="AK100" s="167"/>
      <c r="AL100" s="167"/>
    </row>
    <row r="101" spans="1:38" ht="19.5" customHeight="1">
      <c r="A101" s="165"/>
      <c r="B101" s="314"/>
      <c r="C101" s="189"/>
      <c r="D101" s="338"/>
      <c r="E101" s="192" t="str">
        <f>IF(AND(C6="HH2",C5="Line4"),"125",IF(AND(C6="HH2",C5="Line5"),"90",IF(C6="CAMO","90",IF(C6="Turbo","90",IF(C6="HH1 ADH","105",IF(C6="CuraHeat","105",IF(C6="HH1","105",IF(C6="Slick Back","105",IF(C6="Direct Skin","105",IF(C6="Lap Warmer","105",IF(C6="TW","105")))))))))))</f>
        <v>105</v>
      </c>
      <c r="F101" s="185"/>
      <c r="G101" s="193"/>
      <c r="H101" s="193"/>
      <c r="I101" s="193"/>
      <c r="J101" s="185"/>
      <c r="K101" s="165"/>
      <c r="L101" s="165"/>
      <c r="M101" s="165"/>
      <c r="N101" s="165"/>
      <c r="O101" s="165"/>
      <c r="P101" s="165"/>
      <c r="Q101" s="165"/>
      <c r="R101" s="165"/>
      <c r="S101" s="165"/>
      <c r="T101" s="183"/>
      <c r="U101" s="165"/>
      <c r="V101" s="165"/>
      <c r="W101" s="165"/>
      <c r="X101" s="165"/>
      <c r="Y101" s="165"/>
      <c r="Z101" s="165"/>
      <c r="AA101" s="165"/>
      <c r="AB101" s="165"/>
      <c r="AC101" s="165"/>
      <c r="AD101" s="165"/>
      <c r="AE101" s="165"/>
      <c r="AF101" s="165"/>
      <c r="AG101" s="165"/>
      <c r="AH101" s="167"/>
      <c r="AI101" s="167"/>
      <c r="AJ101" s="167"/>
      <c r="AK101" s="167"/>
      <c r="AL101" s="167"/>
    </row>
    <row r="102" spans="1:38" ht="19.5" customHeight="1">
      <c r="A102" s="165"/>
      <c r="B102" s="314"/>
      <c r="C102" s="189"/>
      <c r="D102" s="338"/>
      <c r="E102" s="192" t="str">
        <f>IF(AND(C6="HH2",C5="Line4"),"135",IF(AND(C6="HH2",C5="Line5"),"100",IF(C6="CAMO","100",IF(C6="Turbo","100",IF(C6="HH1 ADH","110",IF(C6="CuraHeat","110",IF(C6="HH1","110",IF(C6="Slick Back","110",IF(C6="Direct Skin","110",IF(C6="Lap Warmer","110",IF(C6="TW","110")))))))))))</f>
        <v>110</v>
      </c>
      <c r="F102" s="185"/>
      <c r="G102" s="193"/>
      <c r="H102" s="193"/>
      <c r="I102" s="193"/>
      <c r="J102" s="185"/>
      <c r="K102" s="165"/>
      <c r="L102" s="165"/>
      <c r="M102" s="165"/>
      <c r="N102" s="165"/>
      <c r="O102" s="165"/>
      <c r="P102" s="165"/>
      <c r="Q102" s="165"/>
      <c r="R102" s="165"/>
      <c r="S102" s="165"/>
      <c r="T102" s="183"/>
      <c r="U102" s="165"/>
      <c r="V102" s="165"/>
      <c r="W102" s="165"/>
      <c r="X102" s="165"/>
      <c r="Y102" s="165"/>
      <c r="Z102" s="165"/>
      <c r="AA102" s="165"/>
      <c r="AB102" s="165"/>
      <c r="AC102" s="165"/>
      <c r="AD102" s="165"/>
      <c r="AE102" s="165"/>
      <c r="AF102" s="165"/>
      <c r="AG102" s="165"/>
      <c r="AH102" s="167"/>
      <c r="AI102" s="167"/>
      <c r="AJ102" s="167"/>
      <c r="AK102" s="167"/>
      <c r="AL102" s="167"/>
    </row>
    <row r="103" spans="1:38" ht="19.5" customHeight="1">
      <c r="A103" s="165"/>
      <c r="B103" s="314"/>
      <c r="C103" s="189"/>
      <c r="D103" s="338"/>
      <c r="E103" s="192" t="str">
        <f>IF(AND(C6="HH2",C5="Line4"),"145",IF(AND(C6="HH2",C5="Line5"),"110",IF(C6="CAMO","110",IF(C6="Turbo","110",IF(C6="HH1 ADH","115",IF(C6="CuraHeat","115",IF(C6="HH1","115",IF(C6="Slick Back","115",IF(C6="Direct Skin","115",IF(C6="Lap Warmer","115",IF(C6="TW","115")))))))))))</f>
        <v>115</v>
      </c>
      <c r="F103" s="185"/>
      <c r="G103" s="193"/>
      <c r="H103" s="193"/>
      <c r="I103" s="193"/>
      <c r="J103" s="185"/>
      <c r="K103" s="165"/>
      <c r="L103" s="165"/>
      <c r="M103" s="165"/>
      <c r="N103" s="165"/>
      <c r="O103" s="165"/>
      <c r="P103" s="165"/>
      <c r="Q103" s="165"/>
      <c r="R103" s="165"/>
      <c r="S103" s="165"/>
      <c r="T103" s="183"/>
      <c r="U103" s="165"/>
      <c r="V103" s="165"/>
      <c r="W103" s="165"/>
      <c r="X103" s="165"/>
      <c r="Y103" s="165"/>
      <c r="Z103" s="165"/>
      <c r="AA103" s="165"/>
      <c r="AB103" s="165"/>
      <c r="AC103" s="165"/>
      <c r="AD103" s="165"/>
      <c r="AE103" s="165"/>
      <c r="AF103" s="165"/>
      <c r="AG103" s="165"/>
      <c r="AH103" s="167"/>
      <c r="AI103" s="167"/>
      <c r="AJ103" s="167"/>
      <c r="AK103" s="167"/>
      <c r="AL103" s="167"/>
    </row>
    <row r="104" spans="1:38" ht="19.5" customHeight="1">
      <c r="A104" s="165"/>
      <c r="B104" s="314"/>
      <c r="C104" s="189"/>
      <c r="D104" s="338"/>
      <c r="E104" s="192"/>
      <c r="F104" s="185"/>
      <c r="G104" s="185"/>
      <c r="H104" s="185"/>
      <c r="I104" s="185"/>
      <c r="J104" s="185"/>
      <c r="K104" s="165"/>
      <c r="L104" s="165"/>
      <c r="M104" s="165"/>
      <c r="N104" s="165"/>
      <c r="O104" s="165"/>
      <c r="P104" s="165"/>
      <c r="Q104" s="165"/>
      <c r="R104" s="165"/>
      <c r="S104" s="165"/>
      <c r="T104" s="183"/>
      <c r="U104" s="165"/>
      <c r="V104" s="165"/>
      <c r="W104" s="165"/>
      <c r="X104" s="165"/>
      <c r="Y104" s="165"/>
      <c r="Z104" s="165"/>
      <c r="AA104" s="165"/>
      <c r="AB104" s="165"/>
      <c r="AC104" s="165"/>
      <c r="AD104" s="165"/>
      <c r="AE104" s="165"/>
      <c r="AF104" s="165"/>
      <c r="AG104" s="165"/>
      <c r="AH104" s="167"/>
      <c r="AI104" s="167"/>
      <c r="AJ104" s="167"/>
      <c r="AK104" s="167"/>
      <c r="AL104" s="167"/>
    </row>
    <row r="105" spans="1:38" ht="19.5" customHeight="1">
      <c r="A105" s="165"/>
      <c r="B105" s="314"/>
      <c r="C105" s="165"/>
      <c r="D105" s="165"/>
      <c r="E105" s="165"/>
      <c r="F105" s="165"/>
      <c r="G105" s="165"/>
      <c r="H105" s="165"/>
      <c r="I105" s="165"/>
      <c r="J105" s="165"/>
      <c r="K105" s="165"/>
      <c r="L105" s="165"/>
      <c r="M105" s="165"/>
      <c r="N105" s="165"/>
      <c r="O105" s="165"/>
      <c r="P105" s="165"/>
      <c r="Q105" s="165"/>
      <c r="R105" s="165"/>
      <c r="S105" s="165"/>
      <c r="T105" s="183"/>
      <c r="U105" s="165"/>
      <c r="V105" s="165"/>
      <c r="W105" s="165"/>
      <c r="X105" s="165"/>
      <c r="Y105" s="165"/>
      <c r="Z105" s="165"/>
      <c r="AA105" s="165"/>
      <c r="AB105" s="165"/>
      <c r="AC105" s="165"/>
      <c r="AD105" s="165"/>
      <c r="AE105" s="165"/>
      <c r="AF105" s="165"/>
      <c r="AG105" s="165"/>
      <c r="AH105" s="167"/>
      <c r="AI105" s="167"/>
      <c r="AJ105" s="167"/>
      <c r="AK105" s="167"/>
      <c r="AL105" s="167"/>
    </row>
    <row r="106" spans="1:38" ht="19.5" customHeight="1">
      <c r="A106" s="165"/>
      <c r="B106" s="314"/>
      <c r="C106" s="190" t="s">
        <v>341</v>
      </c>
      <c r="D106" s="165"/>
      <c r="E106" s="165"/>
      <c r="F106" s="165"/>
      <c r="G106" s="165"/>
      <c r="H106" s="165"/>
      <c r="I106" s="165"/>
      <c r="J106" s="165"/>
      <c r="K106" s="165"/>
      <c r="L106" s="165"/>
      <c r="M106" s="165"/>
      <c r="N106" s="165"/>
      <c r="O106" s="165"/>
      <c r="P106" s="165"/>
      <c r="Q106" s="165"/>
      <c r="R106" s="165"/>
      <c r="S106" s="165"/>
      <c r="T106" s="183"/>
      <c r="U106" s="165"/>
      <c r="V106" s="165"/>
      <c r="W106" s="165"/>
      <c r="X106" s="165"/>
      <c r="Y106" s="165"/>
      <c r="Z106" s="165"/>
      <c r="AA106" s="165"/>
      <c r="AB106" s="165"/>
      <c r="AC106" s="165"/>
      <c r="AD106" s="165"/>
      <c r="AE106" s="165"/>
      <c r="AF106" s="165"/>
      <c r="AG106" s="165"/>
      <c r="AH106" s="167"/>
      <c r="AI106" s="167"/>
      <c r="AJ106" s="167"/>
      <c r="AK106" s="167"/>
      <c r="AL106" s="167"/>
    </row>
    <row r="107" spans="1:38" ht="19.5" customHeight="1">
      <c r="A107" s="165"/>
      <c r="B107" s="314"/>
      <c r="C107" s="189"/>
      <c r="D107" s="337"/>
      <c r="E107" s="337"/>
      <c r="F107" s="336" t="str">
        <f>F98</f>
        <v>Vertical Seal Roll</v>
      </c>
      <c r="G107" s="336"/>
      <c r="H107" s="336"/>
      <c r="I107" s="336"/>
      <c r="J107" s="336"/>
      <c r="K107" s="165"/>
      <c r="L107" s="165"/>
      <c r="M107" s="165"/>
      <c r="N107" s="165"/>
      <c r="O107" s="165"/>
      <c r="P107" s="165"/>
      <c r="Q107" s="165"/>
      <c r="R107" s="165"/>
      <c r="S107" s="165"/>
      <c r="T107" s="183"/>
      <c r="U107" s="165"/>
      <c r="V107" s="165"/>
      <c r="W107" s="165"/>
      <c r="X107" s="165"/>
      <c r="Y107" s="165"/>
      <c r="Z107" s="165"/>
      <c r="AA107" s="165"/>
      <c r="AB107" s="165"/>
      <c r="AC107" s="165"/>
      <c r="AD107" s="165"/>
      <c r="AE107" s="165"/>
      <c r="AF107" s="165"/>
      <c r="AG107" s="165"/>
      <c r="AH107" s="167"/>
      <c r="AI107" s="167"/>
      <c r="AJ107" s="167"/>
      <c r="AK107" s="167"/>
      <c r="AL107" s="167"/>
    </row>
    <row r="108" spans="1:38" ht="19.5" customHeight="1">
      <c r="A108" s="165"/>
      <c r="B108" s="314"/>
      <c r="C108" s="189"/>
      <c r="D108" s="337"/>
      <c r="E108" s="337"/>
      <c r="F108" s="192">
        <f>F99</f>
        <v>0</v>
      </c>
      <c r="G108" s="192" t="str">
        <f t="shared" ref="G108:J108" si="0">G99</f>
        <v>105</v>
      </c>
      <c r="H108" s="192" t="str">
        <f t="shared" si="0"/>
        <v>110</v>
      </c>
      <c r="I108" s="192" t="str">
        <f t="shared" si="0"/>
        <v>115</v>
      </c>
      <c r="J108" s="192">
        <f t="shared" si="0"/>
        <v>0</v>
      </c>
      <c r="K108" s="165"/>
      <c r="L108" s="165"/>
      <c r="M108" s="165"/>
      <c r="N108" s="165"/>
      <c r="O108" s="165"/>
      <c r="P108" s="165"/>
      <c r="Q108" s="165"/>
      <c r="R108" s="165"/>
      <c r="S108" s="165"/>
      <c r="T108" s="183"/>
      <c r="U108" s="165"/>
      <c r="V108" s="165"/>
      <c r="W108" s="165"/>
      <c r="X108" s="165"/>
      <c r="Y108" s="165"/>
      <c r="Z108" s="165"/>
      <c r="AA108" s="165"/>
      <c r="AB108" s="165"/>
      <c r="AC108" s="165"/>
      <c r="AD108" s="165"/>
      <c r="AE108" s="165"/>
      <c r="AF108" s="165"/>
      <c r="AG108" s="165"/>
      <c r="AH108" s="167"/>
      <c r="AI108" s="167"/>
      <c r="AJ108" s="167"/>
      <c r="AK108" s="167"/>
      <c r="AL108" s="167"/>
    </row>
    <row r="109" spans="1:38" ht="19.5" customHeight="1">
      <c r="A109" s="165"/>
      <c r="B109" s="314"/>
      <c r="C109" s="189"/>
      <c r="D109" s="338" t="str">
        <f>D100</f>
        <v>Horizontal Seal Roll</v>
      </c>
      <c r="E109" s="192">
        <f>E100</f>
        <v>0</v>
      </c>
      <c r="F109" s="185"/>
      <c r="G109" s="185"/>
      <c r="H109" s="185"/>
      <c r="I109" s="185"/>
      <c r="J109" s="185"/>
      <c r="K109" s="165"/>
      <c r="L109" s="165"/>
      <c r="M109" s="165"/>
      <c r="N109" s="165"/>
      <c r="O109" s="165"/>
      <c r="P109" s="165"/>
      <c r="Q109" s="165"/>
      <c r="R109" s="165"/>
      <c r="S109" s="165"/>
      <c r="T109" s="183"/>
      <c r="U109" s="165"/>
      <c r="V109" s="165"/>
      <c r="W109" s="165"/>
      <c r="X109" s="165"/>
      <c r="Y109" s="165"/>
      <c r="Z109" s="165"/>
      <c r="AA109" s="165"/>
      <c r="AB109" s="165"/>
      <c r="AC109" s="165"/>
      <c r="AD109" s="165"/>
      <c r="AE109" s="165"/>
      <c r="AF109" s="165"/>
      <c r="AG109" s="165"/>
      <c r="AH109" s="167"/>
      <c r="AI109" s="167"/>
      <c r="AJ109" s="167"/>
      <c r="AK109" s="167"/>
      <c r="AL109" s="167"/>
    </row>
    <row r="110" spans="1:38" ht="19.5" customHeight="1">
      <c r="A110" s="165"/>
      <c r="B110" s="314"/>
      <c r="C110" s="189"/>
      <c r="D110" s="338"/>
      <c r="E110" s="192" t="str">
        <f t="shared" ref="E110:E113" si="1">E101</f>
        <v>105</v>
      </c>
      <c r="F110" s="185"/>
      <c r="G110" s="193"/>
      <c r="H110" s="193"/>
      <c r="I110" s="193"/>
      <c r="J110" s="185"/>
      <c r="K110" s="165"/>
      <c r="L110" s="165"/>
      <c r="M110" s="165"/>
      <c r="N110" s="165"/>
      <c r="O110" s="165"/>
      <c r="P110" s="165"/>
      <c r="Q110" s="165"/>
      <c r="R110" s="165"/>
      <c r="S110" s="165"/>
      <c r="T110" s="183"/>
      <c r="U110" s="165"/>
      <c r="V110" s="165"/>
      <c r="W110" s="165"/>
      <c r="X110" s="165"/>
      <c r="Y110" s="165"/>
      <c r="Z110" s="165"/>
      <c r="AA110" s="165"/>
      <c r="AB110" s="165"/>
      <c r="AC110" s="165"/>
      <c r="AD110" s="165"/>
      <c r="AE110" s="165"/>
      <c r="AF110" s="165"/>
      <c r="AG110" s="165"/>
      <c r="AH110" s="167"/>
      <c r="AI110" s="167"/>
      <c r="AJ110" s="167"/>
      <c r="AK110" s="167"/>
      <c r="AL110" s="167"/>
    </row>
    <row r="111" spans="1:38" ht="19.5" customHeight="1">
      <c r="A111" s="165"/>
      <c r="B111" s="314"/>
      <c r="C111" s="189"/>
      <c r="D111" s="338"/>
      <c r="E111" s="192" t="str">
        <f t="shared" si="1"/>
        <v>110</v>
      </c>
      <c r="F111" s="185"/>
      <c r="G111" s="193"/>
      <c r="H111" s="193"/>
      <c r="I111" s="193"/>
      <c r="J111" s="185"/>
      <c r="K111" s="165"/>
      <c r="L111" s="165"/>
      <c r="M111" s="165"/>
      <c r="N111" s="165"/>
      <c r="O111" s="165"/>
      <c r="P111" s="165"/>
      <c r="Q111" s="165"/>
      <c r="R111" s="165"/>
      <c r="S111" s="165"/>
      <c r="T111" s="183"/>
      <c r="U111" s="165"/>
      <c r="V111" s="165"/>
      <c r="W111" s="165"/>
      <c r="X111" s="165"/>
      <c r="Y111" s="165"/>
      <c r="Z111" s="165"/>
      <c r="AA111" s="165"/>
      <c r="AB111" s="165"/>
      <c r="AC111" s="165"/>
      <c r="AD111" s="165"/>
      <c r="AE111" s="165"/>
      <c r="AF111" s="165"/>
      <c r="AG111" s="165"/>
      <c r="AH111" s="167"/>
      <c r="AI111" s="167"/>
      <c r="AJ111" s="167"/>
      <c r="AK111" s="167"/>
      <c r="AL111" s="167"/>
    </row>
    <row r="112" spans="1:38" ht="19.5" customHeight="1">
      <c r="A112" s="165"/>
      <c r="B112" s="314"/>
      <c r="C112" s="189"/>
      <c r="D112" s="338"/>
      <c r="E112" s="192" t="str">
        <f t="shared" si="1"/>
        <v>115</v>
      </c>
      <c r="F112" s="185"/>
      <c r="G112" s="193"/>
      <c r="H112" s="193"/>
      <c r="I112" s="193"/>
      <c r="J112" s="185"/>
      <c r="K112" s="165"/>
      <c r="L112" s="165"/>
      <c r="M112" s="165"/>
      <c r="N112" s="165"/>
      <c r="O112" s="165"/>
      <c r="P112" s="165"/>
      <c r="Q112" s="165"/>
      <c r="R112" s="165"/>
      <c r="S112" s="165"/>
      <c r="T112" s="183"/>
      <c r="U112" s="165"/>
      <c r="V112" s="165"/>
      <c r="W112" s="165"/>
      <c r="X112" s="165"/>
      <c r="Y112" s="165"/>
      <c r="Z112" s="165"/>
      <c r="AA112" s="165"/>
      <c r="AB112" s="165"/>
      <c r="AC112" s="165"/>
      <c r="AD112" s="165"/>
      <c r="AE112" s="165"/>
      <c r="AF112" s="165"/>
      <c r="AG112" s="165"/>
      <c r="AH112" s="167"/>
      <c r="AI112" s="167"/>
      <c r="AJ112" s="167"/>
      <c r="AK112" s="167"/>
      <c r="AL112" s="167"/>
    </row>
    <row r="113" spans="1:38" ht="19.5" customHeight="1">
      <c r="A113" s="165"/>
      <c r="B113" s="314"/>
      <c r="C113" s="189"/>
      <c r="D113" s="338"/>
      <c r="E113" s="192">
        <f t="shared" si="1"/>
        <v>0</v>
      </c>
      <c r="F113" s="185"/>
      <c r="G113" s="185"/>
      <c r="H113" s="185"/>
      <c r="I113" s="185"/>
      <c r="J113" s="185"/>
      <c r="K113" s="165"/>
      <c r="L113" s="165"/>
      <c r="M113" s="165"/>
      <c r="N113" s="165"/>
      <c r="O113" s="165"/>
      <c r="P113" s="165"/>
      <c r="Q113" s="165"/>
      <c r="R113" s="165"/>
      <c r="S113" s="165"/>
      <c r="T113" s="183"/>
      <c r="U113" s="165"/>
      <c r="V113" s="165"/>
      <c r="W113" s="165"/>
      <c r="X113" s="165"/>
      <c r="Y113" s="165"/>
      <c r="Z113" s="165"/>
      <c r="AA113" s="165"/>
      <c r="AB113" s="165"/>
      <c r="AC113" s="165"/>
      <c r="AD113" s="165"/>
      <c r="AE113" s="165"/>
      <c r="AF113" s="165"/>
      <c r="AG113" s="165"/>
      <c r="AH113" s="167"/>
      <c r="AI113" s="167"/>
      <c r="AJ113" s="167"/>
      <c r="AK113" s="167"/>
      <c r="AL113" s="167"/>
    </row>
    <row r="114" spans="1:38" ht="19.5" customHeight="1">
      <c r="A114" s="165"/>
      <c r="B114" s="314"/>
      <c r="C114" s="165"/>
      <c r="D114" s="165"/>
      <c r="E114" s="165"/>
      <c r="F114" s="165"/>
      <c r="G114" s="165"/>
      <c r="H114" s="165"/>
      <c r="I114" s="165"/>
      <c r="J114" s="165"/>
      <c r="K114" s="165"/>
      <c r="L114" s="165"/>
      <c r="M114" s="165"/>
      <c r="N114" s="165"/>
      <c r="O114" s="165"/>
      <c r="P114" s="165"/>
      <c r="Q114" s="165"/>
      <c r="R114" s="165"/>
      <c r="S114" s="165"/>
      <c r="T114" s="183"/>
      <c r="U114" s="165"/>
      <c r="V114" s="165"/>
      <c r="W114" s="165"/>
      <c r="X114" s="165"/>
      <c r="Y114" s="165"/>
      <c r="Z114" s="165"/>
      <c r="AA114" s="165"/>
      <c r="AB114" s="165"/>
      <c r="AC114" s="165"/>
      <c r="AD114" s="165"/>
      <c r="AE114" s="165"/>
      <c r="AF114" s="165"/>
      <c r="AG114" s="165"/>
      <c r="AH114" s="167"/>
      <c r="AI114" s="167"/>
      <c r="AJ114" s="167"/>
      <c r="AK114" s="167"/>
      <c r="AL114" s="167"/>
    </row>
    <row r="115" spans="1:38" ht="19.5" customHeight="1">
      <c r="A115" s="165"/>
      <c r="B115" s="314"/>
      <c r="C115" s="190" t="s">
        <v>342</v>
      </c>
      <c r="D115" s="165"/>
      <c r="E115" s="165"/>
      <c r="F115" s="165"/>
      <c r="G115" s="165"/>
      <c r="H115" s="165"/>
      <c r="I115" s="165"/>
      <c r="J115" s="165"/>
      <c r="K115" s="165"/>
      <c r="L115" s="165"/>
      <c r="M115" s="165"/>
      <c r="N115" s="165"/>
      <c r="O115" s="165"/>
      <c r="P115" s="165"/>
      <c r="Q115" s="165"/>
      <c r="R115" s="165"/>
      <c r="S115" s="165"/>
      <c r="T115" s="183"/>
      <c r="U115" s="165"/>
      <c r="V115" s="165"/>
      <c r="W115" s="165"/>
      <c r="X115" s="165"/>
      <c r="Y115" s="165"/>
      <c r="Z115" s="165"/>
      <c r="AA115" s="165"/>
      <c r="AB115" s="165"/>
      <c r="AC115" s="165"/>
      <c r="AD115" s="165"/>
      <c r="AE115" s="165"/>
      <c r="AF115" s="165"/>
      <c r="AG115" s="165"/>
      <c r="AH115" s="167"/>
      <c r="AI115" s="167"/>
      <c r="AJ115" s="167"/>
      <c r="AK115" s="167"/>
      <c r="AL115" s="167"/>
    </row>
    <row r="116" spans="1:38" ht="19.5" customHeight="1">
      <c r="A116" s="165"/>
      <c r="B116" s="314"/>
      <c r="C116" s="165"/>
      <c r="D116" s="337"/>
      <c r="E116" s="337"/>
      <c r="F116" s="336" t="str">
        <f>F98</f>
        <v>Vertical Seal Roll</v>
      </c>
      <c r="G116" s="336"/>
      <c r="H116" s="336"/>
      <c r="I116" s="336"/>
      <c r="J116" s="336"/>
      <c r="K116" s="165"/>
      <c r="L116" s="165"/>
      <c r="M116" s="165"/>
      <c r="N116" s="165"/>
      <c r="O116" s="165"/>
      <c r="P116" s="165"/>
      <c r="Q116" s="165"/>
      <c r="R116" s="165"/>
      <c r="S116" s="165"/>
      <c r="T116" s="183"/>
      <c r="U116" s="165"/>
      <c r="V116" s="165"/>
      <c r="W116" s="165"/>
      <c r="X116" s="165"/>
      <c r="Y116" s="165"/>
      <c r="Z116" s="165"/>
      <c r="AA116" s="165"/>
      <c r="AB116" s="165"/>
      <c r="AC116" s="165"/>
      <c r="AD116" s="165"/>
      <c r="AE116" s="165"/>
      <c r="AF116" s="165"/>
      <c r="AG116" s="165"/>
      <c r="AH116" s="167"/>
      <c r="AI116" s="167"/>
      <c r="AJ116" s="167"/>
      <c r="AK116" s="167"/>
      <c r="AL116" s="167"/>
    </row>
    <row r="117" spans="1:38" ht="19.5" customHeight="1">
      <c r="A117" s="165"/>
      <c r="B117" s="314"/>
      <c r="C117" s="165"/>
      <c r="D117" s="337"/>
      <c r="E117" s="337"/>
      <c r="F117" s="192">
        <f>F99</f>
        <v>0</v>
      </c>
      <c r="G117" s="192" t="str">
        <f t="shared" ref="G117:J117" si="2">G99</f>
        <v>105</v>
      </c>
      <c r="H117" s="192" t="str">
        <f t="shared" si="2"/>
        <v>110</v>
      </c>
      <c r="I117" s="192" t="str">
        <f t="shared" si="2"/>
        <v>115</v>
      </c>
      <c r="J117" s="192">
        <f t="shared" si="2"/>
        <v>0</v>
      </c>
      <c r="K117" s="165"/>
      <c r="L117" s="165"/>
      <c r="M117" s="165"/>
      <c r="N117" s="165"/>
      <c r="O117" s="165"/>
      <c r="P117" s="165"/>
      <c r="Q117" s="165"/>
      <c r="R117" s="165"/>
      <c r="S117" s="165"/>
      <c r="T117" s="183"/>
      <c r="U117" s="165"/>
      <c r="V117" s="165"/>
      <c r="W117" s="165"/>
      <c r="X117" s="165"/>
      <c r="Y117" s="165"/>
      <c r="Z117" s="165"/>
      <c r="AA117" s="165"/>
      <c r="AB117" s="165"/>
      <c r="AC117" s="165"/>
      <c r="AD117" s="165"/>
      <c r="AE117" s="165"/>
      <c r="AF117" s="165"/>
      <c r="AG117" s="165"/>
      <c r="AH117" s="167"/>
      <c r="AI117" s="167"/>
      <c r="AJ117" s="167"/>
      <c r="AK117" s="167"/>
      <c r="AL117" s="167"/>
    </row>
    <row r="118" spans="1:38" ht="19.5" customHeight="1">
      <c r="A118" s="165"/>
      <c r="B118" s="314"/>
      <c r="C118" s="165"/>
      <c r="D118" s="338" t="str">
        <f>D109</f>
        <v>Horizontal Seal Roll</v>
      </c>
      <c r="E118" s="192">
        <f>E100</f>
        <v>0</v>
      </c>
      <c r="F118" s="185"/>
      <c r="G118" s="185"/>
      <c r="H118" s="185"/>
      <c r="I118" s="185"/>
      <c r="J118" s="185"/>
      <c r="K118" s="165"/>
      <c r="L118" s="165"/>
      <c r="M118" s="165"/>
      <c r="N118" s="165"/>
      <c r="O118" s="165"/>
      <c r="P118" s="165"/>
      <c r="Q118" s="165"/>
      <c r="R118" s="165"/>
      <c r="S118" s="165"/>
      <c r="T118" s="183"/>
      <c r="U118" s="165"/>
      <c r="V118" s="165"/>
      <c r="W118" s="165"/>
      <c r="X118" s="165"/>
      <c r="Y118" s="165"/>
      <c r="Z118" s="165"/>
      <c r="AA118" s="165"/>
      <c r="AB118" s="165"/>
      <c r="AC118" s="165"/>
      <c r="AD118" s="165"/>
      <c r="AE118" s="165"/>
      <c r="AF118" s="165"/>
      <c r="AG118" s="165"/>
      <c r="AH118" s="167"/>
      <c r="AI118" s="167"/>
      <c r="AJ118" s="167"/>
      <c r="AK118" s="167"/>
      <c r="AL118" s="167"/>
    </row>
    <row r="119" spans="1:38" ht="19.5" customHeight="1">
      <c r="A119" s="165"/>
      <c r="B119" s="314"/>
      <c r="C119" s="165"/>
      <c r="D119" s="338"/>
      <c r="E119" s="192" t="str">
        <f t="shared" ref="E119:E122" si="3">E101</f>
        <v>105</v>
      </c>
      <c r="F119" s="185"/>
      <c r="G119" s="193"/>
      <c r="H119" s="193"/>
      <c r="I119" s="193"/>
      <c r="J119" s="185"/>
      <c r="K119" s="165"/>
      <c r="L119" s="165"/>
      <c r="M119" s="165"/>
      <c r="N119" s="165"/>
      <c r="O119" s="165"/>
      <c r="P119" s="165"/>
      <c r="Q119" s="165"/>
      <c r="R119" s="165"/>
      <c r="S119" s="165"/>
      <c r="T119" s="183"/>
      <c r="U119" s="165"/>
      <c r="V119" s="165"/>
      <c r="W119" s="165"/>
      <c r="X119" s="165"/>
      <c r="Y119" s="165"/>
      <c r="Z119" s="165"/>
      <c r="AA119" s="165"/>
      <c r="AB119" s="165"/>
      <c r="AC119" s="165"/>
      <c r="AD119" s="165"/>
      <c r="AE119" s="165"/>
      <c r="AF119" s="165"/>
      <c r="AG119" s="165"/>
      <c r="AH119" s="167"/>
      <c r="AI119" s="167"/>
      <c r="AJ119" s="167"/>
      <c r="AK119" s="167"/>
      <c r="AL119" s="167"/>
    </row>
    <row r="120" spans="1:38" ht="19.5" customHeight="1">
      <c r="A120" s="165"/>
      <c r="B120" s="314"/>
      <c r="C120" s="165"/>
      <c r="D120" s="338"/>
      <c r="E120" s="192" t="str">
        <f t="shared" si="3"/>
        <v>110</v>
      </c>
      <c r="F120" s="185"/>
      <c r="G120" s="193"/>
      <c r="H120" s="193"/>
      <c r="I120" s="193"/>
      <c r="J120" s="185"/>
      <c r="K120" s="165"/>
      <c r="L120" s="165"/>
      <c r="M120" s="165"/>
      <c r="N120" s="165"/>
      <c r="O120" s="165"/>
      <c r="P120" s="165"/>
      <c r="Q120" s="165"/>
      <c r="R120" s="165"/>
      <c r="S120" s="165"/>
      <c r="T120" s="183"/>
      <c r="U120" s="165"/>
      <c r="V120" s="165"/>
      <c r="W120" s="165"/>
      <c r="X120" s="165"/>
      <c r="Y120" s="165"/>
      <c r="Z120" s="165"/>
      <c r="AA120" s="165"/>
      <c r="AB120" s="165"/>
      <c r="AC120" s="165"/>
      <c r="AD120" s="165"/>
      <c r="AE120" s="165"/>
      <c r="AF120" s="165"/>
      <c r="AG120" s="165"/>
      <c r="AH120" s="167"/>
      <c r="AI120" s="167"/>
      <c r="AJ120" s="167"/>
      <c r="AK120" s="167"/>
      <c r="AL120" s="167"/>
    </row>
    <row r="121" spans="1:38" ht="19.5" customHeight="1">
      <c r="A121" s="165"/>
      <c r="B121" s="314"/>
      <c r="D121" s="338"/>
      <c r="E121" s="192" t="str">
        <f t="shared" si="3"/>
        <v>115</v>
      </c>
      <c r="F121" s="185"/>
      <c r="G121" s="193"/>
      <c r="H121" s="193"/>
      <c r="I121" s="193"/>
      <c r="J121" s="185"/>
      <c r="K121" s="165"/>
      <c r="L121" s="165"/>
      <c r="M121" s="165"/>
      <c r="N121" s="165"/>
      <c r="O121" s="165"/>
      <c r="P121" s="165"/>
      <c r="Q121" s="165"/>
      <c r="R121" s="165"/>
      <c r="S121" s="165"/>
      <c r="T121" s="183"/>
      <c r="U121" s="165"/>
      <c r="V121" s="165"/>
      <c r="W121" s="165"/>
      <c r="X121" s="165"/>
      <c r="Y121" s="165"/>
      <c r="Z121" s="165"/>
      <c r="AA121" s="165"/>
      <c r="AB121" s="165"/>
      <c r="AC121" s="165"/>
      <c r="AD121" s="165"/>
      <c r="AE121" s="165"/>
      <c r="AF121" s="165"/>
      <c r="AG121" s="165"/>
      <c r="AH121" s="167"/>
      <c r="AI121" s="167"/>
      <c r="AJ121" s="167"/>
      <c r="AK121" s="167"/>
      <c r="AL121" s="167"/>
    </row>
    <row r="122" spans="1:38" ht="19.5" customHeight="1">
      <c r="A122" s="165"/>
      <c r="B122" s="314"/>
      <c r="C122" s="165"/>
      <c r="D122" s="338"/>
      <c r="E122" s="192">
        <f t="shared" si="3"/>
        <v>0</v>
      </c>
      <c r="F122" s="185"/>
      <c r="G122" s="185"/>
      <c r="H122" s="185"/>
      <c r="I122" s="185"/>
      <c r="J122" s="185"/>
      <c r="K122" s="165"/>
      <c r="L122" s="165"/>
      <c r="M122" s="165"/>
      <c r="N122" s="165"/>
      <c r="O122" s="165"/>
      <c r="P122" s="165"/>
      <c r="Q122" s="165"/>
      <c r="R122" s="165"/>
      <c r="S122" s="165"/>
      <c r="T122" s="183"/>
      <c r="U122" s="165"/>
      <c r="V122" s="165"/>
      <c r="W122" s="165"/>
      <c r="X122" s="165"/>
      <c r="Y122" s="165"/>
      <c r="Z122" s="165"/>
      <c r="AA122" s="165"/>
      <c r="AB122" s="165"/>
      <c r="AC122" s="165"/>
      <c r="AD122" s="165"/>
      <c r="AE122" s="165"/>
      <c r="AF122" s="165"/>
      <c r="AG122" s="165"/>
      <c r="AH122" s="167"/>
      <c r="AI122" s="167"/>
      <c r="AJ122" s="167"/>
      <c r="AK122" s="167"/>
      <c r="AL122" s="167"/>
    </row>
    <row r="123" spans="1:38" ht="19.5" customHeight="1">
      <c r="A123" s="165"/>
      <c r="B123" s="314"/>
      <c r="C123" s="165"/>
      <c r="D123" s="165"/>
      <c r="E123" s="165"/>
      <c r="F123" s="165"/>
      <c r="G123" s="165"/>
      <c r="H123" s="165"/>
      <c r="I123" s="165"/>
      <c r="J123" s="165"/>
      <c r="K123" s="165"/>
      <c r="L123" s="165"/>
      <c r="M123" s="165"/>
      <c r="N123" s="165"/>
      <c r="O123" s="165"/>
      <c r="P123" s="165"/>
      <c r="Q123" s="165"/>
      <c r="R123" s="165"/>
      <c r="S123" s="165"/>
      <c r="T123" s="183"/>
      <c r="U123" s="165"/>
      <c r="V123" s="165"/>
      <c r="W123" s="165"/>
      <c r="X123" s="165"/>
      <c r="Y123" s="165"/>
      <c r="Z123" s="165"/>
      <c r="AA123" s="165"/>
      <c r="AB123" s="165"/>
      <c r="AC123" s="165"/>
      <c r="AD123" s="165"/>
      <c r="AE123" s="165"/>
      <c r="AF123" s="165"/>
      <c r="AG123" s="165"/>
      <c r="AH123" s="167"/>
      <c r="AI123" s="167"/>
      <c r="AJ123" s="167"/>
      <c r="AK123" s="167"/>
      <c r="AL123" s="167"/>
    </row>
    <row r="124" spans="1:38" ht="19.5" customHeight="1">
      <c r="A124" s="165"/>
      <c r="B124" s="314"/>
      <c r="C124" s="184" t="s">
        <v>354</v>
      </c>
      <c r="D124" s="165"/>
      <c r="E124" s="165"/>
      <c r="F124" s="165"/>
      <c r="G124" s="165"/>
      <c r="H124" s="165"/>
      <c r="I124" s="165"/>
      <c r="J124" s="165"/>
      <c r="K124" s="165"/>
      <c r="L124" s="165"/>
      <c r="M124" s="165"/>
      <c r="N124" s="165"/>
      <c r="O124" s="165"/>
      <c r="P124" s="165"/>
      <c r="Q124" s="165"/>
      <c r="R124" s="165"/>
      <c r="S124" s="165"/>
      <c r="T124" s="183"/>
      <c r="U124" s="165"/>
      <c r="V124" s="165"/>
      <c r="W124" s="165"/>
      <c r="X124" s="165"/>
      <c r="Y124" s="165"/>
      <c r="Z124" s="165"/>
      <c r="AA124" s="165"/>
      <c r="AB124" s="165"/>
      <c r="AC124" s="165"/>
      <c r="AD124" s="165"/>
      <c r="AE124" s="165"/>
      <c r="AF124" s="165"/>
      <c r="AG124" s="165"/>
      <c r="AH124" s="167"/>
      <c r="AI124" s="167"/>
      <c r="AJ124" s="167"/>
      <c r="AK124" s="167"/>
      <c r="AL124" s="167"/>
    </row>
    <row r="125" spans="1:38" ht="19.5" customHeight="1">
      <c r="A125" s="165"/>
      <c r="B125" s="314"/>
      <c r="C125" s="165" t="s">
        <v>350</v>
      </c>
      <c r="D125" s="165"/>
      <c r="E125" s="165"/>
      <c r="F125" s="325" t="str">
        <f>IF(AND(C6="HH2",C5="Line4"),"0.3 psi or less",IF(AND(C6="HH2",C5="Line5"),"0.3 psi or less",IF(C6="CAMO","0.3 psi or less",IF(C6="Turbo","0.3 psi or less",IF(C6="HH1 ADH","0.2 psi or less",IF(C6="CuraHeat","0.2 psi or less",IF(C6="HH1","0.2 psi or less",IF(C6="Slick Back","0.2 psi or less",IF(C6="Direct Skin","0.2 psi or less",IF(C6="Lap Warmer","0.3 psi or less",IF(C6="TW","0.3 psi or less")))))))))))</f>
        <v>0.2 psi or less</v>
      </c>
      <c r="G125" s="325"/>
      <c r="H125" s="325"/>
      <c r="I125" s="325"/>
      <c r="J125" s="325"/>
      <c r="K125" s="165"/>
      <c r="L125" s="165"/>
      <c r="M125" s="165"/>
      <c r="N125" s="165"/>
      <c r="O125" s="165"/>
      <c r="P125" s="165"/>
      <c r="Q125" s="165"/>
      <c r="R125" s="165"/>
      <c r="S125" s="165"/>
      <c r="T125" s="183"/>
      <c r="U125" s="165"/>
      <c r="V125" s="165"/>
      <c r="W125" s="165"/>
      <c r="X125" s="165"/>
      <c r="Y125" s="165"/>
      <c r="Z125" s="165"/>
      <c r="AA125" s="165"/>
      <c r="AB125" s="165"/>
      <c r="AC125" s="165"/>
      <c r="AD125" s="165"/>
      <c r="AE125" s="165"/>
      <c r="AF125" s="165"/>
      <c r="AG125" s="165"/>
      <c r="AH125" s="167"/>
      <c r="AI125" s="167"/>
      <c r="AJ125" s="167"/>
      <c r="AK125" s="167"/>
      <c r="AL125" s="167"/>
    </row>
    <row r="126" spans="1:38" ht="19.5" customHeight="1">
      <c r="A126" s="165"/>
      <c r="B126" s="314"/>
      <c r="C126" s="165"/>
      <c r="D126" s="165"/>
      <c r="E126" s="165"/>
      <c r="F126" s="165"/>
      <c r="G126" s="165"/>
      <c r="H126" s="165"/>
      <c r="I126" s="165"/>
      <c r="J126" s="165"/>
      <c r="K126" s="165"/>
      <c r="L126" s="165"/>
      <c r="M126" s="165"/>
      <c r="N126" s="165"/>
      <c r="O126" s="165"/>
      <c r="P126" s="165"/>
      <c r="Q126" s="165"/>
      <c r="R126" s="165"/>
      <c r="S126" s="165"/>
      <c r="T126" s="183"/>
      <c r="U126" s="165"/>
      <c r="V126" s="165"/>
      <c r="W126" s="165"/>
      <c r="X126" s="165"/>
      <c r="Y126" s="165"/>
      <c r="Z126" s="165"/>
      <c r="AA126" s="165"/>
      <c r="AB126" s="165"/>
      <c r="AC126" s="165"/>
      <c r="AD126" s="165"/>
      <c r="AE126" s="165"/>
      <c r="AF126" s="165"/>
      <c r="AG126" s="165"/>
      <c r="AH126" s="167"/>
      <c r="AI126" s="167"/>
      <c r="AJ126" s="167"/>
      <c r="AK126" s="167"/>
      <c r="AL126" s="167"/>
    </row>
    <row r="127" spans="1:38" ht="19.5" customHeight="1">
      <c r="A127" s="165"/>
      <c r="B127" s="314"/>
      <c r="C127" s="165"/>
      <c r="D127" s="165"/>
      <c r="E127" s="330" t="s">
        <v>340</v>
      </c>
      <c r="F127" s="331"/>
      <c r="G127" s="331"/>
      <c r="H127" s="332"/>
      <c r="I127" s="330" t="s">
        <v>341</v>
      </c>
      <c r="J127" s="331"/>
      <c r="K127" s="331"/>
      <c r="L127" s="332"/>
      <c r="M127" s="336" t="s">
        <v>342</v>
      </c>
      <c r="N127" s="336"/>
      <c r="O127" s="336"/>
      <c r="P127" s="336"/>
      <c r="Q127" s="165"/>
      <c r="R127" s="165"/>
      <c r="S127" s="165"/>
      <c r="T127" s="183"/>
      <c r="U127" s="165"/>
      <c r="V127" s="165"/>
      <c r="W127" s="165"/>
      <c r="X127" s="165"/>
      <c r="Y127" s="165"/>
      <c r="Z127" s="165"/>
      <c r="AA127" s="165"/>
      <c r="AB127" s="165"/>
      <c r="AC127" s="165"/>
      <c r="AD127" s="165"/>
      <c r="AE127" s="165"/>
      <c r="AF127" s="165"/>
      <c r="AG127" s="165"/>
      <c r="AH127" s="167"/>
      <c r="AI127" s="167"/>
      <c r="AJ127" s="167"/>
      <c r="AK127" s="167"/>
      <c r="AL127" s="167"/>
    </row>
    <row r="128" spans="1:38" ht="19.5" customHeight="1">
      <c r="A128" s="165"/>
      <c r="B128" s="314"/>
      <c r="C128" s="165"/>
      <c r="D128" s="185"/>
      <c r="E128" s="186"/>
      <c r="F128" s="186"/>
      <c r="G128" s="186"/>
      <c r="H128" s="186"/>
      <c r="I128" s="186"/>
      <c r="J128" s="186"/>
      <c r="K128" s="186"/>
      <c r="L128" s="186"/>
      <c r="M128" s="186"/>
      <c r="N128" s="186"/>
      <c r="O128" s="186"/>
      <c r="P128" s="186"/>
      <c r="Q128" s="165"/>
      <c r="R128" s="165"/>
      <c r="S128" s="165"/>
      <c r="T128" s="183"/>
      <c r="U128" s="165"/>
      <c r="V128" s="165"/>
      <c r="W128" s="165"/>
      <c r="X128" s="165"/>
      <c r="Y128" s="165"/>
      <c r="Z128" s="165"/>
      <c r="AA128" s="165"/>
      <c r="AB128" s="165"/>
      <c r="AC128" s="165"/>
      <c r="AD128" s="165"/>
      <c r="AE128" s="165"/>
      <c r="AF128" s="165"/>
      <c r="AG128" s="165"/>
      <c r="AH128" s="167"/>
      <c r="AI128" s="167"/>
      <c r="AJ128" s="167"/>
      <c r="AK128" s="167"/>
      <c r="AL128" s="167"/>
    </row>
    <row r="129" spans="1:38" ht="19.5" customHeight="1">
      <c r="A129" s="165"/>
      <c r="B129" s="314"/>
      <c r="C129" s="165"/>
      <c r="D129" s="186">
        <v>1</v>
      </c>
      <c r="E129" s="185"/>
      <c r="F129" s="185"/>
      <c r="G129" s="185"/>
      <c r="H129" s="185"/>
      <c r="I129" s="185"/>
      <c r="J129" s="185"/>
      <c r="K129" s="185"/>
      <c r="L129" s="185"/>
      <c r="M129" s="185"/>
      <c r="N129" s="185"/>
      <c r="O129" s="185"/>
      <c r="P129" s="185"/>
      <c r="Q129" s="165"/>
      <c r="R129" s="165"/>
      <c r="S129" s="165"/>
      <c r="T129" s="183"/>
      <c r="U129" s="165"/>
      <c r="V129" s="165"/>
      <c r="W129" s="165"/>
      <c r="X129" s="165"/>
      <c r="Y129" s="165"/>
      <c r="Z129" s="165"/>
      <c r="AA129" s="165"/>
      <c r="AB129" s="165"/>
      <c r="AC129" s="165"/>
      <c r="AD129" s="165"/>
      <c r="AE129" s="165"/>
      <c r="AF129" s="165"/>
      <c r="AG129" s="165"/>
      <c r="AH129" s="167"/>
      <c r="AI129" s="167"/>
      <c r="AJ129" s="167"/>
      <c r="AK129" s="167"/>
      <c r="AL129" s="167"/>
    </row>
    <row r="130" spans="1:38" ht="19.5" customHeight="1">
      <c r="A130" s="165"/>
      <c r="B130" s="314"/>
      <c r="C130" s="165"/>
      <c r="D130" s="186">
        <v>2</v>
      </c>
      <c r="E130" s="185"/>
      <c r="F130" s="185"/>
      <c r="G130" s="185"/>
      <c r="H130" s="185"/>
      <c r="I130" s="185"/>
      <c r="J130" s="185"/>
      <c r="K130" s="185"/>
      <c r="L130" s="185"/>
      <c r="M130" s="185"/>
      <c r="N130" s="185"/>
      <c r="O130" s="185"/>
      <c r="P130" s="185"/>
      <c r="Q130" s="165"/>
      <c r="R130" s="165"/>
      <c r="S130" s="165"/>
      <c r="T130" s="183"/>
      <c r="U130" s="165"/>
      <c r="V130" s="165"/>
      <c r="W130" s="165"/>
      <c r="X130" s="165"/>
      <c r="Y130" s="165"/>
      <c r="Z130" s="165"/>
      <c r="AA130" s="165"/>
      <c r="AB130" s="165"/>
      <c r="AC130" s="165"/>
      <c r="AD130" s="165"/>
      <c r="AE130" s="165"/>
      <c r="AF130" s="165"/>
      <c r="AG130" s="165"/>
      <c r="AH130" s="167"/>
      <c r="AI130" s="167"/>
      <c r="AJ130" s="167"/>
      <c r="AK130" s="167"/>
      <c r="AL130" s="167"/>
    </row>
    <row r="131" spans="1:38" ht="19.5" customHeight="1">
      <c r="A131" s="165"/>
      <c r="B131" s="314"/>
      <c r="C131" s="165"/>
      <c r="D131" s="186">
        <v>3</v>
      </c>
      <c r="E131" s="185"/>
      <c r="F131" s="185"/>
      <c r="G131" s="185"/>
      <c r="H131" s="185"/>
      <c r="I131" s="185"/>
      <c r="J131" s="185"/>
      <c r="K131" s="185"/>
      <c r="L131" s="185"/>
      <c r="M131" s="185"/>
      <c r="N131" s="185"/>
      <c r="O131" s="185"/>
      <c r="P131" s="185"/>
      <c r="Q131" s="165"/>
      <c r="R131" s="165"/>
      <c r="S131" s="165"/>
      <c r="T131" s="183"/>
      <c r="U131" s="165"/>
      <c r="V131" s="165"/>
      <c r="W131" s="165"/>
      <c r="X131" s="165"/>
      <c r="Y131" s="165"/>
      <c r="Z131" s="165"/>
      <c r="AA131" s="165"/>
      <c r="AB131" s="165"/>
      <c r="AC131" s="165"/>
      <c r="AD131" s="165"/>
      <c r="AE131" s="165"/>
      <c r="AF131" s="165"/>
      <c r="AG131" s="165"/>
      <c r="AH131" s="167"/>
      <c r="AI131" s="167"/>
      <c r="AJ131" s="167"/>
      <c r="AK131" s="167"/>
      <c r="AL131" s="167"/>
    </row>
    <row r="132" spans="1:38" ht="19.5" customHeight="1">
      <c r="A132" s="165"/>
      <c r="B132" s="314"/>
      <c r="C132" s="165"/>
      <c r="D132" s="186">
        <v>4</v>
      </c>
      <c r="E132" s="185"/>
      <c r="F132" s="185"/>
      <c r="G132" s="185"/>
      <c r="H132" s="185"/>
      <c r="I132" s="185"/>
      <c r="J132" s="185"/>
      <c r="K132" s="185"/>
      <c r="L132" s="185"/>
      <c r="M132" s="185"/>
      <c r="N132" s="185"/>
      <c r="O132" s="185"/>
      <c r="P132" s="185"/>
      <c r="Q132" s="165"/>
      <c r="R132" s="165"/>
      <c r="S132" s="165"/>
      <c r="T132" s="183"/>
      <c r="U132" s="165"/>
      <c r="V132" s="165"/>
      <c r="W132" s="165"/>
      <c r="X132" s="165"/>
      <c r="Y132" s="165"/>
      <c r="Z132" s="165"/>
      <c r="AA132" s="165"/>
      <c r="AB132" s="165"/>
      <c r="AC132" s="165"/>
      <c r="AD132" s="165"/>
      <c r="AE132" s="165"/>
      <c r="AF132" s="165"/>
      <c r="AG132" s="165"/>
      <c r="AH132" s="167"/>
      <c r="AI132" s="167"/>
      <c r="AJ132" s="167"/>
      <c r="AK132" s="167"/>
      <c r="AL132" s="167"/>
    </row>
    <row r="133" spans="1:38" ht="19.5" customHeight="1">
      <c r="A133" s="165"/>
      <c r="B133" s="314"/>
      <c r="C133" s="165"/>
      <c r="D133" s="186">
        <v>5</v>
      </c>
      <c r="E133" s="185"/>
      <c r="F133" s="185"/>
      <c r="G133" s="185"/>
      <c r="H133" s="185"/>
      <c r="I133" s="185"/>
      <c r="J133" s="185"/>
      <c r="K133" s="185"/>
      <c r="L133" s="185"/>
      <c r="M133" s="185"/>
      <c r="N133" s="185"/>
      <c r="O133" s="185"/>
      <c r="P133" s="185"/>
      <c r="Q133" s="165"/>
      <c r="R133" s="165"/>
      <c r="S133" s="165"/>
      <c r="T133" s="183"/>
      <c r="U133" s="165"/>
      <c r="V133" s="165"/>
      <c r="W133" s="165"/>
      <c r="X133" s="165"/>
      <c r="Y133" s="165"/>
      <c r="Z133" s="165"/>
      <c r="AA133" s="165"/>
      <c r="AB133" s="165"/>
      <c r="AC133" s="165"/>
      <c r="AD133" s="165"/>
      <c r="AE133" s="165"/>
      <c r="AF133" s="165"/>
      <c r="AG133" s="165"/>
      <c r="AH133" s="167"/>
      <c r="AI133" s="167"/>
      <c r="AJ133" s="167"/>
      <c r="AK133" s="167"/>
      <c r="AL133" s="167"/>
    </row>
    <row r="134" spans="1:38" ht="19.5" customHeight="1">
      <c r="A134" s="165"/>
      <c r="B134" s="314"/>
      <c r="C134" s="165"/>
      <c r="D134" s="186">
        <v>6</v>
      </c>
      <c r="E134" s="185"/>
      <c r="F134" s="185"/>
      <c r="G134" s="185"/>
      <c r="H134" s="185"/>
      <c r="I134" s="185"/>
      <c r="J134" s="185"/>
      <c r="K134" s="185"/>
      <c r="L134" s="185"/>
      <c r="M134" s="185"/>
      <c r="N134" s="185"/>
      <c r="O134" s="185"/>
      <c r="P134" s="185"/>
      <c r="Q134" s="165"/>
      <c r="R134" s="165"/>
      <c r="S134" s="165"/>
      <c r="T134" s="183"/>
      <c r="U134" s="165"/>
      <c r="V134" s="165"/>
      <c r="W134" s="165"/>
      <c r="X134" s="165"/>
      <c r="Y134" s="165"/>
      <c r="Z134" s="165"/>
      <c r="AA134" s="165"/>
      <c r="AB134" s="165"/>
      <c r="AC134" s="165"/>
      <c r="AD134" s="165"/>
      <c r="AE134" s="165"/>
      <c r="AF134" s="165"/>
      <c r="AG134" s="165"/>
      <c r="AH134" s="167"/>
      <c r="AI134" s="167"/>
      <c r="AJ134" s="167"/>
      <c r="AK134" s="167"/>
      <c r="AL134" s="167"/>
    </row>
    <row r="135" spans="1:38" ht="19.5" customHeight="1">
      <c r="A135" s="165"/>
      <c r="B135" s="314"/>
      <c r="C135" s="165"/>
      <c r="D135" s="186" t="s">
        <v>343</v>
      </c>
      <c r="E135" s="185"/>
      <c r="F135" s="185"/>
      <c r="G135" s="185"/>
      <c r="H135" s="185"/>
      <c r="I135" s="185"/>
      <c r="J135" s="185"/>
      <c r="K135" s="185"/>
      <c r="L135" s="185"/>
      <c r="M135" s="185"/>
      <c r="N135" s="185"/>
      <c r="O135" s="185"/>
      <c r="P135" s="185"/>
      <c r="Q135" s="165"/>
      <c r="R135" s="165"/>
      <c r="S135" s="165"/>
      <c r="T135" s="183"/>
      <c r="U135" s="165"/>
      <c r="V135" s="165"/>
      <c r="W135" s="165"/>
      <c r="X135" s="165"/>
      <c r="Y135" s="165"/>
      <c r="Z135" s="165"/>
      <c r="AA135" s="165"/>
      <c r="AB135" s="165"/>
      <c r="AC135" s="165"/>
      <c r="AD135" s="165"/>
      <c r="AE135" s="165"/>
      <c r="AF135" s="165"/>
      <c r="AG135" s="165"/>
      <c r="AH135" s="167"/>
      <c r="AI135" s="167"/>
      <c r="AJ135" s="167"/>
      <c r="AK135" s="167"/>
      <c r="AL135" s="167"/>
    </row>
    <row r="136" spans="1:38" ht="19.5" customHeight="1">
      <c r="A136" s="165"/>
      <c r="B136" s="314"/>
      <c r="C136" s="165"/>
      <c r="D136" s="186" t="s">
        <v>344</v>
      </c>
      <c r="E136" s="185"/>
      <c r="F136" s="185"/>
      <c r="G136" s="185"/>
      <c r="H136" s="185"/>
      <c r="I136" s="185"/>
      <c r="J136" s="185"/>
      <c r="K136" s="185"/>
      <c r="L136" s="185"/>
      <c r="M136" s="185"/>
      <c r="N136" s="185"/>
      <c r="O136" s="185"/>
      <c r="P136" s="185"/>
      <c r="Q136" s="165"/>
      <c r="R136" s="165"/>
      <c r="S136" s="165"/>
      <c r="T136" s="183"/>
      <c r="U136" s="165"/>
      <c r="V136" s="165"/>
      <c r="W136" s="165"/>
      <c r="X136" s="165"/>
      <c r="Y136" s="165"/>
      <c r="Z136" s="165"/>
      <c r="AA136" s="165"/>
      <c r="AB136" s="165"/>
      <c r="AC136" s="165"/>
      <c r="AD136" s="165"/>
      <c r="AE136" s="165"/>
      <c r="AF136" s="165"/>
      <c r="AG136" s="165"/>
      <c r="AH136" s="167"/>
      <c r="AI136" s="167"/>
      <c r="AJ136" s="167"/>
      <c r="AK136" s="167"/>
      <c r="AL136" s="167"/>
    </row>
    <row r="137" spans="1:38" ht="19.5" customHeight="1">
      <c r="A137" s="165"/>
      <c r="B137" s="314"/>
      <c r="C137" s="165"/>
      <c r="D137" s="186" t="s">
        <v>345</v>
      </c>
      <c r="E137" s="185"/>
      <c r="F137" s="185"/>
      <c r="G137" s="185"/>
      <c r="H137" s="185"/>
      <c r="I137" s="185"/>
      <c r="J137" s="185"/>
      <c r="K137" s="185"/>
      <c r="L137" s="185"/>
      <c r="M137" s="185"/>
      <c r="N137" s="185"/>
      <c r="O137" s="185"/>
      <c r="P137" s="185"/>
      <c r="Q137" s="165"/>
      <c r="R137" s="165"/>
      <c r="S137" s="165"/>
      <c r="T137" s="183"/>
      <c r="U137" s="165"/>
      <c r="V137" s="165"/>
      <c r="W137" s="165"/>
      <c r="X137" s="165"/>
      <c r="Y137" s="165"/>
      <c r="Z137" s="165"/>
      <c r="AA137" s="165"/>
      <c r="AB137" s="165"/>
      <c r="AC137" s="165"/>
      <c r="AD137" s="165"/>
      <c r="AE137" s="165"/>
      <c r="AF137" s="165"/>
      <c r="AG137" s="165"/>
      <c r="AH137" s="167"/>
      <c r="AI137" s="167"/>
      <c r="AJ137" s="167"/>
      <c r="AK137" s="167"/>
      <c r="AL137" s="167"/>
    </row>
    <row r="138" spans="1:38" ht="19.5" customHeight="1">
      <c r="A138" s="165"/>
      <c r="B138" s="314"/>
      <c r="C138" s="165"/>
      <c r="D138" s="196"/>
      <c r="E138" s="165"/>
      <c r="F138" s="165"/>
      <c r="G138" s="165"/>
      <c r="H138" s="165"/>
      <c r="I138" s="165"/>
      <c r="J138" s="165"/>
      <c r="K138" s="165"/>
      <c r="L138" s="165"/>
      <c r="M138" s="165"/>
      <c r="N138" s="165"/>
      <c r="O138" s="165"/>
      <c r="P138" s="165"/>
      <c r="Q138" s="165"/>
      <c r="R138" s="165"/>
      <c r="S138" s="165"/>
      <c r="T138" s="183"/>
      <c r="U138" s="165"/>
      <c r="V138" s="165"/>
      <c r="W138" s="165"/>
      <c r="X138" s="165"/>
      <c r="Y138" s="165"/>
      <c r="Z138" s="165"/>
      <c r="AA138" s="165"/>
      <c r="AB138" s="165"/>
      <c r="AC138" s="165"/>
      <c r="AD138" s="165"/>
      <c r="AE138" s="165"/>
      <c r="AF138" s="165"/>
      <c r="AG138" s="165"/>
      <c r="AH138" s="167"/>
      <c r="AI138" s="167"/>
      <c r="AJ138" s="167"/>
      <c r="AK138" s="167"/>
      <c r="AL138" s="167"/>
    </row>
    <row r="139" spans="1:38" ht="19.5" customHeight="1">
      <c r="A139" s="165"/>
      <c r="B139" s="314"/>
      <c r="C139" s="184"/>
      <c r="D139" s="165" t="s">
        <v>351</v>
      </c>
      <c r="E139" s="165"/>
      <c r="F139" s="165"/>
      <c r="G139" s="165"/>
      <c r="H139" s="165"/>
      <c r="I139" s="165"/>
      <c r="J139" s="165"/>
      <c r="K139" s="165"/>
      <c r="L139" s="165"/>
      <c r="M139" s="165"/>
      <c r="N139" s="165"/>
      <c r="O139" s="165"/>
      <c r="P139" s="165"/>
      <c r="Q139" s="165"/>
      <c r="R139" s="165"/>
      <c r="S139" s="165"/>
      <c r="T139" s="183"/>
      <c r="U139" s="165"/>
      <c r="V139" s="165"/>
      <c r="W139" s="165"/>
      <c r="X139" s="165"/>
      <c r="Y139" s="165"/>
      <c r="Z139" s="165"/>
      <c r="AA139" s="165"/>
      <c r="AB139" s="165"/>
      <c r="AC139" s="165"/>
      <c r="AD139" s="165"/>
      <c r="AE139" s="165"/>
      <c r="AF139" s="165"/>
      <c r="AG139" s="165"/>
      <c r="AH139" s="167"/>
      <c r="AI139" s="167"/>
      <c r="AJ139" s="167"/>
      <c r="AK139" s="167"/>
      <c r="AL139" s="167"/>
    </row>
    <row r="140" spans="1:38" ht="19.5" customHeight="1">
      <c r="A140" s="165"/>
      <c r="B140" s="314"/>
      <c r="C140" s="165"/>
      <c r="D140" s="165" t="s">
        <v>352</v>
      </c>
      <c r="E140" s="165"/>
      <c r="F140" s="165"/>
      <c r="G140" s="165"/>
      <c r="H140" s="165"/>
      <c r="I140" s="165"/>
      <c r="J140" s="165"/>
      <c r="K140" s="165"/>
      <c r="L140" s="165"/>
      <c r="M140" s="165"/>
      <c r="N140" s="165"/>
      <c r="O140" s="165"/>
      <c r="P140" s="165"/>
      <c r="Q140" s="165"/>
      <c r="R140" s="165"/>
      <c r="S140" s="165"/>
      <c r="T140" s="183"/>
      <c r="U140" s="165"/>
      <c r="V140" s="165"/>
      <c r="W140" s="165"/>
      <c r="X140" s="165"/>
      <c r="Y140" s="165"/>
      <c r="Z140" s="165"/>
      <c r="AA140" s="165"/>
      <c r="AB140" s="165"/>
      <c r="AC140" s="165"/>
      <c r="AD140" s="165"/>
      <c r="AE140" s="165"/>
      <c r="AF140" s="165"/>
      <c r="AG140" s="165"/>
      <c r="AH140" s="167"/>
      <c r="AI140" s="167"/>
      <c r="AJ140" s="167"/>
      <c r="AK140" s="167"/>
      <c r="AL140" s="167"/>
    </row>
    <row r="141" spans="1:38" ht="19.5" customHeight="1">
      <c r="A141" s="165"/>
      <c r="B141" s="314"/>
      <c r="C141" s="165"/>
      <c r="D141" s="165"/>
      <c r="E141" s="165"/>
      <c r="F141" s="165"/>
      <c r="G141" s="165"/>
      <c r="H141" s="165"/>
      <c r="I141" s="165"/>
      <c r="J141" s="165"/>
      <c r="K141" s="165"/>
      <c r="L141" s="165"/>
      <c r="M141" s="165"/>
      <c r="N141" s="165"/>
      <c r="O141" s="165"/>
      <c r="P141" s="165"/>
      <c r="Q141" s="165"/>
      <c r="R141" s="165"/>
      <c r="S141" s="165"/>
      <c r="T141" s="183"/>
      <c r="U141" s="165"/>
      <c r="V141" s="165"/>
      <c r="W141" s="165"/>
      <c r="X141" s="165"/>
      <c r="Y141" s="165"/>
      <c r="Z141" s="165"/>
      <c r="AA141" s="165"/>
      <c r="AB141" s="165"/>
      <c r="AC141" s="165"/>
      <c r="AD141" s="165"/>
      <c r="AE141" s="165"/>
      <c r="AF141" s="165"/>
      <c r="AG141" s="165"/>
      <c r="AH141" s="167"/>
      <c r="AI141" s="167"/>
      <c r="AJ141" s="167"/>
      <c r="AK141" s="167"/>
      <c r="AL141" s="167"/>
    </row>
    <row r="142" spans="1:38" ht="19.5" customHeight="1">
      <c r="A142" s="165"/>
      <c r="B142" s="314"/>
      <c r="C142" s="322" t="s">
        <v>355</v>
      </c>
      <c r="D142" s="323"/>
      <c r="E142" s="323"/>
      <c r="F142" s="323"/>
      <c r="G142" s="323"/>
      <c r="H142" s="323"/>
      <c r="I142" s="323"/>
      <c r="J142" s="323"/>
      <c r="K142" s="323"/>
      <c r="L142" s="323"/>
      <c r="M142" s="323"/>
      <c r="N142" s="323"/>
      <c r="O142" s="323"/>
      <c r="P142" s="323"/>
      <c r="Q142" s="323"/>
      <c r="R142" s="323"/>
      <c r="S142" s="323"/>
      <c r="T142" s="324"/>
      <c r="U142" s="165"/>
      <c r="V142" s="165"/>
      <c r="W142" s="165"/>
      <c r="X142" s="165"/>
      <c r="Y142" s="165"/>
      <c r="Z142" s="165"/>
      <c r="AA142" s="165"/>
      <c r="AB142" s="165"/>
      <c r="AC142" s="165"/>
      <c r="AD142" s="165"/>
      <c r="AE142" s="165"/>
      <c r="AF142" s="165"/>
      <c r="AG142" s="165"/>
      <c r="AH142" s="167"/>
      <c r="AI142" s="167"/>
      <c r="AJ142" s="167"/>
      <c r="AK142" s="167"/>
      <c r="AL142" s="167"/>
    </row>
    <row r="143" spans="1:38" ht="19.5" customHeight="1">
      <c r="A143" s="165"/>
      <c r="B143" s="314"/>
      <c r="C143" s="184" t="s">
        <v>356</v>
      </c>
      <c r="D143" s="165"/>
      <c r="E143" s="165"/>
      <c r="F143" s="165"/>
      <c r="G143" s="165"/>
      <c r="H143" s="165"/>
      <c r="I143" s="165"/>
      <c r="J143" s="165"/>
      <c r="K143" s="165"/>
      <c r="L143" s="165"/>
      <c r="M143" s="165"/>
      <c r="N143" s="165"/>
      <c r="O143" s="165"/>
      <c r="P143" s="165"/>
      <c r="Q143" s="165"/>
      <c r="R143" s="165"/>
      <c r="S143" s="165"/>
      <c r="T143" s="183"/>
      <c r="U143" s="165"/>
      <c r="V143" s="165"/>
      <c r="W143" s="165"/>
      <c r="X143" s="165"/>
      <c r="Y143" s="165"/>
      <c r="Z143" s="165"/>
      <c r="AA143" s="165"/>
      <c r="AB143" s="165"/>
      <c r="AC143" s="165"/>
      <c r="AD143" s="165"/>
      <c r="AE143" s="165"/>
      <c r="AF143" s="165"/>
      <c r="AG143" s="165"/>
      <c r="AH143" s="167"/>
      <c r="AI143" s="167"/>
      <c r="AJ143" s="167"/>
      <c r="AK143" s="167"/>
      <c r="AL143" s="167"/>
    </row>
    <row r="144" spans="1:38" ht="19.5" customHeight="1">
      <c r="A144" s="165"/>
      <c r="B144" s="314"/>
      <c r="C144" s="165" t="s">
        <v>357</v>
      </c>
      <c r="E144" s="325" t="str">
        <f>IF(C5="Line1","HH1, HH1ADH, Cura 3P",IF(C5="Line2","TW 2 PK",IF(C5="Line7","Hand warmer 2P / bag")))</f>
        <v>HH1, HH1ADH, Cura 3P</v>
      </c>
      <c r="F144" s="325"/>
      <c r="G144" s="325"/>
      <c r="H144" s="325"/>
      <c r="I144" s="325"/>
      <c r="J144" s="165"/>
      <c r="K144" s="165"/>
      <c r="L144" s="165"/>
      <c r="M144" s="165"/>
      <c r="N144" s="165"/>
      <c r="O144" s="165"/>
      <c r="P144" s="165"/>
      <c r="Q144" s="165"/>
      <c r="R144" s="165"/>
      <c r="S144" s="165"/>
      <c r="T144" s="183"/>
      <c r="U144" s="165"/>
      <c r="V144" s="165"/>
      <c r="W144" s="165"/>
      <c r="X144" s="165"/>
      <c r="Y144" s="165"/>
      <c r="Z144" s="165"/>
      <c r="AA144" s="165"/>
      <c r="AB144" s="165"/>
      <c r="AC144" s="165"/>
      <c r="AD144" s="165"/>
      <c r="AE144" s="165"/>
      <c r="AF144" s="165"/>
      <c r="AG144" s="165"/>
      <c r="AH144" s="167"/>
      <c r="AI144" s="167"/>
      <c r="AJ144" s="167"/>
      <c r="AK144" s="167"/>
      <c r="AL144" s="167"/>
    </row>
    <row r="145" spans="1:38" ht="19.5" customHeight="1">
      <c r="A145" s="165"/>
      <c r="B145" s="314"/>
      <c r="C145" s="165"/>
      <c r="E145" s="187"/>
      <c r="F145" s="187"/>
      <c r="G145" s="187"/>
      <c r="H145" s="187"/>
      <c r="I145" s="187"/>
      <c r="J145" s="165"/>
      <c r="K145" s="165"/>
      <c r="L145" s="165"/>
      <c r="M145" s="165"/>
      <c r="N145" s="165"/>
      <c r="O145" s="165"/>
      <c r="P145" s="165"/>
      <c r="Q145" s="165"/>
      <c r="R145" s="165"/>
      <c r="S145" s="165"/>
      <c r="T145" s="183"/>
      <c r="U145" s="165"/>
      <c r="V145" s="165"/>
      <c r="W145" s="165"/>
      <c r="X145" s="165"/>
      <c r="Y145" s="165"/>
      <c r="Z145" s="165"/>
      <c r="AA145" s="165"/>
      <c r="AB145" s="165"/>
      <c r="AC145" s="165"/>
      <c r="AD145" s="165"/>
      <c r="AE145" s="165"/>
      <c r="AF145" s="165"/>
      <c r="AG145" s="165"/>
      <c r="AH145" s="167"/>
      <c r="AI145" s="167"/>
      <c r="AJ145" s="167"/>
      <c r="AK145" s="167"/>
      <c r="AL145" s="167"/>
    </row>
    <row r="146" spans="1:38" ht="19.5" customHeight="1">
      <c r="A146" s="165"/>
      <c r="B146" s="314"/>
      <c r="C146" s="165"/>
      <c r="D146" s="337"/>
      <c r="E146" s="337"/>
      <c r="F146" s="330" t="s">
        <v>358</v>
      </c>
      <c r="G146" s="331"/>
      <c r="H146" s="331"/>
      <c r="I146" s="331"/>
      <c r="J146" s="332"/>
      <c r="K146" s="165"/>
      <c r="L146" s="165"/>
      <c r="M146" s="165"/>
      <c r="N146" s="165"/>
      <c r="O146" s="165"/>
      <c r="P146" s="165"/>
      <c r="Q146" s="165"/>
      <c r="R146" s="165"/>
      <c r="S146" s="165"/>
      <c r="T146" s="183"/>
      <c r="U146" s="165"/>
      <c r="V146" s="165"/>
      <c r="W146" s="165"/>
      <c r="X146" s="165"/>
      <c r="Y146" s="165"/>
      <c r="Z146" s="165"/>
      <c r="AA146" s="165"/>
      <c r="AB146" s="165"/>
      <c r="AC146" s="165"/>
      <c r="AD146" s="165"/>
      <c r="AE146" s="165"/>
      <c r="AF146" s="165"/>
      <c r="AG146" s="165"/>
      <c r="AH146" s="167"/>
      <c r="AI146" s="167"/>
      <c r="AJ146" s="167"/>
      <c r="AK146" s="167"/>
      <c r="AL146" s="167"/>
    </row>
    <row r="147" spans="1:38" ht="19.5" customHeight="1">
      <c r="A147" s="165"/>
      <c r="B147" s="314"/>
      <c r="C147" s="190"/>
      <c r="D147" s="337"/>
      <c r="E147" s="337"/>
      <c r="F147" s="192"/>
      <c r="G147" s="192" t="str">
        <f>IF(C5="Line1","160",IF(C5="Line2","155",IF(C5="Line7","160")))</f>
        <v>160</v>
      </c>
      <c r="H147" s="192" t="str">
        <f>IF(C5="Line1","170",IF(C5="Line2","160",IF(C5="Line7","165")))</f>
        <v>170</v>
      </c>
      <c r="I147" s="192" t="str">
        <f>IF(C5="Line1","180",IF(C5="Line2","165",IF(C5="Line7","170")))</f>
        <v>180</v>
      </c>
      <c r="J147" s="192"/>
      <c r="K147" s="165"/>
      <c r="L147" s="165"/>
      <c r="M147" s="165"/>
      <c r="N147" s="165"/>
      <c r="O147" s="165"/>
      <c r="P147" s="165"/>
      <c r="Q147" s="165"/>
      <c r="R147" s="165"/>
      <c r="S147" s="165"/>
      <c r="T147" s="183"/>
      <c r="U147" s="165"/>
      <c r="V147" s="165"/>
      <c r="W147" s="165"/>
      <c r="X147" s="165"/>
      <c r="Y147" s="165"/>
      <c r="Z147" s="165"/>
      <c r="AA147" s="165"/>
      <c r="AB147" s="165"/>
      <c r="AC147" s="165"/>
      <c r="AD147" s="165"/>
      <c r="AE147" s="165"/>
      <c r="AF147" s="165"/>
      <c r="AG147" s="165"/>
      <c r="AH147" s="167"/>
      <c r="AI147" s="167"/>
      <c r="AJ147" s="167"/>
      <c r="AK147" s="167"/>
      <c r="AL147" s="167"/>
    </row>
    <row r="148" spans="1:38" ht="19.5" customHeight="1">
      <c r="A148" s="165"/>
      <c r="B148" s="314"/>
      <c r="C148" s="190"/>
      <c r="D148" s="338" t="s">
        <v>359</v>
      </c>
      <c r="E148" s="192"/>
      <c r="F148" s="185"/>
      <c r="G148" s="185"/>
      <c r="H148" s="185"/>
      <c r="I148" s="185"/>
      <c r="J148" s="185"/>
      <c r="K148" s="165"/>
      <c r="L148" s="165"/>
      <c r="M148" s="165"/>
      <c r="N148" s="165"/>
      <c r="O148" s="165"/>
      <c r="P148" s="165"/>
      <c r="Q148" s="165"/>
      <c r="R148" s="165"/>
      <c r="S148" s="165"/>
      <c r="T148" s="183"/>
      <c r="U148" s="165"/>
      <c r="V148" s="165"/>
      <c r="W148" s="165"/>
      <c r="X148" s="165"/>
      <c r="Y148" s="165"/>
      <c r="Z148" s="165"/>
      <c r="AA148" s="165"/>
      <c r="AB148" s="165"/>
      <c r="AC148" s="165"/>
      <c r="AD148" s="165"/>
      <c r="AE148" s="165"/>
      <c r="AF148" s="165"/>
      <c r="AG148" s="165"/>
      <c r="AH148" s="167"/>
      <c r="AI148" s="167"/>
      <c r="AJ148" s="167"/>
      <c r="AK148" s="167"/>
      <c r="AL148" s="167"/>
    </row>
    <row r="149" spans="1:38" ht="19.5" customHeight="1">
      <c r="A149" s="165"/>
      <c r="B149" s="314"/>
      <c r="C149" s="190"/>
      <c r="D149" s="338"/>
      <c r="E149" s="192" t="str">
        <f>IF(C5="Line1","178",IF(C5="Line2","160",IF(C5="Line7","190")))</f>
        <v>178</v>
      </c>
      <c r="F149" s="185"/>
      <c r="G149" s="193"/>
      <c r="H149" s="193"/>
      <c r="I149" s="193"/>
      <c r="J149" s="185"/>
      <c r="K149" s="165"/>
      <c r="L149" s="165"/>
      <c r="M149" s="165"/>
      <c r="N149" s="165"/>
      <c r="O149" s="165"/>
      <c r="P149" s="165"/>
      <c r="Q149" s="165"/>
      <c r="R149" s="165"/>
      <c r="S149" s="165"/>
      <c r="T149" s="183"/>
      <c r="U149" s="165"/>
      <c r="V149" s="165"/>
      <c r="W149" s="165"/>
      <c r="X149" s="165"/>
      <c r="Y149" s="165"/>
      <c r="Z149" s="165"/>
      <c r="AA149" s="165"/>
      <c r="AB149" s="165"/>
      <c r="AC149" s="165"/>
      <c r="AD149" s="165"/>
      <c r="AE149" s="165"/>
      <c r="AF149" s="165"/>
      <c r="AG149" s="165"/>
      <c r="AH149" s="167"/>
      <c r="AI149" s="167"/>
      <c r="AJ149" s="167"/>
      <c r="AK149" s="167"/>
      <c r="AL149" s="167"/>
    </row>
    <row r="150" spans="1:38" ht="19.5" customHeight="1">
      <c r="A150" s="165"/>
      <c r="B150" s="314"/>
      <c r="C150" s="190"/>
      <c r="D150" s="338"/>
      <c r="E150" s="192" t="str">
        <f>IF(C5="Line1","168",IF(C5="Line2","155",IF(C5="Line7","185")))</f>
        <v>168</v>
      </c>
      <c r="F150" s="185"/>
      <c r="G150" s="193"/>
      <c r="H150" s="193"/>
      <c r="I150" s="193"/>
      <c r="J150" s="185"/>
      <c r="K150" s="165"/>
      <c r="L150" s="165"/>
      <c r="M150" s="165"/>
      <c r="N150" s="165"/>
      <c r="O150" s="165"/>
      <c r="P150" s="165"/>
      <c r="Q150" s="165"/>
      <c r="R150" s="165"/>
      <c r="S150" s="165"/>
      <c r="T150" s="183"/>
      <c r="U150" s="165"/>
      <c r="V150" s="165"/>
      <c r="W150" s="165"/>
      <c r="X150" s="165"/>
      <c r="Y150" s="165"/>
      <c r="Z150" s="165"/>
      <c r="AA150" s="165"/>
      <c r="AB150" s="165"/>
      <c r="AC150" s="165"/>
      <c r="AD150" s="165"/>
      <c r="AE150" s="165"/>
      <c r="AF150" s="165"/>
      <c r="AG150" s="165"/>
      <c r="AH150" s="167"/>
      <c r="AI150" s="167"/>
      <c r="AJ150" s="167"/>
      <c r="AK150" s="167"/>
      <c r="AL150" s="167"/>
    </row>
    <row r="151" spans="1:38" ht="19.5" customHeight="1">
      <c r="A151" s="165"/>
      <c r="B151" s="314"/>
      <c r="C151" s="190"/>
      <c r="D151" s="338"/>
      <c r="E151" s="192" t="str">
        <f>IF(C5="Line1","158",IF(C5="Line2","150",IF(C5="Line7","180")))</f>
        <v>158</v>
      </c>
      <c r="F151" s="185"/>
      <c r="G151" s="193"/>
      <c r="H151" s="193"/>
      <c r="I151" s="193"/>
      <c r="J151" s="185"/>
      <c r="K151" s="165"/>
      <c r="L151" s="165"/>
      <c r="M151" s="165"/>
      <c r="N151" s="165"/>
      <c r="O151" s="165"/>
      <c r="P151" s="165"/>
      <c r="Q151" s="165"/>
      <c r="R151" s="165"/>
      <c r="S151" s="165"/>
      <c r="T151" s="183"/>
      <c r="U151" s="165"/>
      <c r="V151" s="165"/>
      <c r="W151" s="165"/>
      <c r="X151" s="165"/>
      <c r="Y151" s="165"/>
      <c r="Z151" s="165"/>
      <c r="AA151" s="165"/>
      <c r="AB151" s="165"/>
      <c r="AC151" s="165"/>
      <c r="AD151" s="165"/>
      <c r="AE151" s="165"/>
      <c r="AF151" s="165"/>
      <c r="AG151" s="165"/>
      <c r="AH151" s="167"/>
      <c r="AI151" s="167"/>
      <c r="AJ151" s="167"/>
      <c r="AK151" s="167"/>
      <c r="AL151" s="167"/>
    </row>
    <row r="152" spans="1:38" ht="19.5" customHeight="1">
      <c r="A152" s="165"/>
      <c r="B152" s="314"/>
      <c r="C152" s="190"/>
      <c r="D152" s="338"/>
      <c r="E152" s="192"/>
      <c r="F152" s="185"/>
      <c r="G152" s="185"/>
      <c r="H152" s="185"/>
      <c r="I152" s="185"/>
      <c r="J152" s="185"/>
      <c r="K152" s="165"/>
      <c r="L152" s="165"/>
      <c r="M152" s="165"/>
      <c r="N152" s="165"/>
      <c r="O152" s="165"/>
      <c r="P152" s="165"/>
      <c r="Q152" s="165"/>
      <c r="R152" s="165"/>
      <c r="S152" s="165"/>
      <c r="T152" s="183"/>
      <c r="U152" s="165"/>
      <c r="V152" s="165"/>
      <c r="W152" s="165"/>
      <c r="X152" s="165"/>
      <c r="Y152" s="165"/>
      <c r="Z152" s="165"/>
      <c r="AA152" s="165"/>
      <c r="AB152" s="165"/>
      <c r="AC152" s="165"/>
      <c r="AD152" s="165"/>
      <c r="AE152" s="165"/>
      <c r="AF152" s="165"/>
      <c r="AG152" s="165"/>
      <c r="AH152" s="167"/>
      <c r="AI152" s="167"/>
      <c r="AJ152" s="167"/>
      <c r="AK152" s="167"/>
      <c r="AL152" s="167"/>
    </row>
    <row r="153" spans="1:38" ht="19.5" customHeight="1">
      <c r="A153" s="165"/>
      <c r="B153" s="314"/>
      <c r="C153" s="165"/>
      <c r="E153" s="165"/>
      <c r="F153" s="165"/>
      <c r="G153" s="165"/>
      <c r="H153" s="165"/>
      <c r="I153" s="165"/>
      <c r="J153" s="165"/>
      <c r="K153" s="165"/>
      <c r="L153" s="165"/>
      <c r="M153" s="165"/>
      <c r="N153" s="165"/>
      <c r="O153" s="165"/>
      <c r="P153" s="165"/>
      <c r="Q153" s="165"/>
      <c r="R153" s="165"/>
      <c r="S153" s="165"/>
      <c r="T153" s="183"/>
      <c r="U153" s="165"/>
      <c r="V153" s="165"/>
      <c r="W153" s="165"/>
      <c r="X153" s="165"/>
      <c r="Y153" s="165"/>
      <c r="Z153" s="165"/>
      <c r="AA153" s="165"/>
      <c r="AB153" s="165"/>
      <c r="AC153" s="165"/>
      <c r="AD153" s="165"/>
      <c r="AE153" s="165"/>
      <c r="AF153" s="165"/>
      <c r="AG153" s="165"/>
      <c r="AH153" s="167"/>
      <c r="AI153" s="167"/>
      <c r="AJ153" s="167"/>
      <c r="AK153" s="167"/>
      <c r="AL153" s="167"/>
    </row>
    <row r="154" spans="1:38" ht="19.5" customHeight="1">
      <c r="A154" s="165"/>
      <c r="B154" s="314"/>
      <c r="C154" s="165"/>
      <c r="D154" s="165" t="s">
        <v>360</v>
      </c>
      <c r="E154" s="165"/>
      <c r="F154" s="165"/>
      <c r="G154" s="165"/>
      <c r="H154" s="165"/>
      <c r="I154" s="165"/>
      <c r="J154" s="165"/>
      <c r="K154" s="165"/>
      <c r="L154" s="165"/>
      <c r="M154" s="165"/>
      <c r="N154" s="165"/>
      <c r="O154" s="165"/>
      <c r="P154" s="165"/>
      <c r="Q154" s="165"/>
      <c r="R154" s="165"/>
      <c r="S154" s="165"/>
      <c r="T154" s="183"/>
      <c r="U154" s="165"/>
      <c r="V154" s="165"/>
      <c r="W154" s="165"/>
      <c r="X154" s="165"/>
      <c r="Y154" s="165"/>
      <c r="Z154" s="165"/>
      <c r="AA154" s="165"/>
      <c r="AB154" s="165"/>
      <c r="AC154" s="165"/>
      <c r="AD154" s="165"/>
      <c r="AE154" s="165"/>
      <c r="AF154" s="165"/>
      <c r="AG154" s="165"/>
      <c r="AH154" s="167"/>
      <c r="AI154" s="167"/>
      <c r="AJ154" s="167"/>
      <c r="AK154" s="167"/>
      <c r="AL154" s="167"/>
    </row>
    <row r="155" spans="1:38" ht="19.5" customHeight="1">
      <c r="A155" s="165"/>
      <c r="B155" s="314"/>
      <c r="C155" s="165"/>
      <c r="D155" s="196"/>
      <c r="E155" s="165"/>
      <c r="F155" s="165"/>
      <c r="G155" s="165"/>
      <c r="H155" s="165"/>
      <c r="I155" s="165"/>
      <c r="J155" s="165"/>
      <c r="K155" s="165"/>
      <c r="L155" s="165"/>
      <c r="M155" s="165"/>
      <c r="N155" s="165"/>
      <c r="O155" s="165"/>
      <c r="P155" s="165"/>
      <c r="Q155" s="165"/>
      <c r="R155" s="165"/>
      <c r="S155" s="165"/>
      <c r="T155" s="183"/>
      <c r="U155" s="165"/>
      <c r="V155" s="165"/>
      <c r="W155" s="165"/>
      <c r="X155" s="165"/>
      <c r="Y155" s="165"/>
      <c r="Z155" s="165"/>
      <c r="AA155" s="165"/>
      <c r="AB155" s="165"/>
      <c r="AC155" s="165"/>
      <c r="AD155" s="165"/>
      <c r="AE155" s="165"/>
      <c r="AF155" s="165"/>
      <c r="AG155" s="165"/>
      <c r="AH155" s="167"/>
      <c r="AI155" s="167"/>
      <c r="AJ155" s="167"/>
      <c r="AK155" s="167"/>
      <c r="AL155" s="167"/>
    </row>
    <row r="156" spans="1:38" ht="19.5" customHeight="1">
      <c r="A156" s="165"/>
      <c r="B156" s="314"/>
      <c r="C156" s="165" t="s">
        <v>361</v>
      </c>
      <c r="E156" s="325" t="str">
        <f>IF(C5="Line1","Variety 12p, 13p / bag",IF(C5="Line2","TW 10 PK",IF(C5="Line7","Hand warmer 10P / bag")))</f>
        <v>Variety 12p, 13p / bag</v>
      </c>
      <c r="F156" s="325"/>
      <c r="G156" s="325"/>
      <c r="H156" s="325"/>
      <c r="I156" s="325"/>
      <c r="J156" s="165"/>
      <c r="K156" s="165"/>
      <c r="L156" s="165"/>
      <c r="M156" s="165"/>
      <c r="N156" s="165"/>
      <c r="O156" s="165"/>
      <c r="P156" s="165"/>
      <c r="Q156" s="165"/>
      <c r="R156" s="165"/>
      <c r="S156" s="165"/>
      <c r="T156" s="183"/>
      <c r="U156" s="165"/>
      <c r="V156" s="165"/>
      <c r="W156" s="165"/>
      <c r="X156" s="165"/>
      <c r="Y156" s="165"/>
      <c r="Z156" s="165"/>
      <c r="AA156" s="165"/>
      <c r="AB156" s="165"/>
      <c r="AC156" s="165"/>
      <c r="AD156" s="165"/>
      <c r="AE156" s="165"/>
      <c r="AF156" s="165"/>
      <c r="AG156" s="165"/>
      <c r="AH156" s="167"/>
      <c r="AI156" s="167"/>
      <c r="AJ156" s="167"/>
      <c r="AK156" s="167"/>
      <c r="AL156" s="167"/>
    </row>
    <row r="157" spans="1:38" ht="19.5" customHeight="1">
      <c r="A157" s="165"/>
      <c r="B157" s="314"/>
      <c r="C157" s="165"/>
      <c r="D157" s="165"/>
      <c r="E157" s="165"/>
      <c r="F157" s="165"/>
      <c r="G157" s="165"/>
      <c r="H157" s="165"/>
      <c r="I157" s="165"/>
      <c r="J157" s="165"/>
      <c r="K157" s="165"/>
      <c r="L157" s="165"/>
      <c r="M157" s="165"/>
      <c r="N157" s="165"/>
      <c r="O157" s="165"/>
      <c r="P157" s="165"/>
      <c r="Q157" s="165"/>
      <c r="R157" s="165"/>
      <c r="S157" s="165"/>
      <c r="T157" s="183"/>
      <c r="U157" s="165"/>
      <c r="V157" s="165"/>
      <c r="W157" s="165"/>
      <c r="X157" s="165"/>
      <c r="Y157" s="165"/>
      <c r="Z157" s="165"/>
      <c r="AA157" s="165"/>
      <c r="AB157" s="165"/>
      <c r="AC157" s="165"/>
      <c r="AD157" s="165"/>
      <c r="AE157" s="165"/>
      <c r="AF157" s="165"/>
      <c r="AG157" s="165"/>
      <c r="AH157" s="167"/>
      <c r="AI157" s="167"/>
      <c r="AJ157" s="167"/>
      <c r="AK157" s="167"/>
      <c r="AL157" s="167"/>
    </row>
    <row r="158" spans="1:38" ht="19.5" customHeight="1">
      <c r="A158" s="165"/>
      <c r="B158" s="314"/>
      <c r="C158" s="165"/>
      <c r="D158" s="337"/>
      <c r="E158" s="337"/>
      <c r="F158" s="330" t="s">
        <v>358</v>
      </c>
      <c r="G158" s="331"/>
      <c r="H158" s="331"/>
      <c r="I158" s="331"/>
      <c r="J158" s="332"/>
      <c r="K158" s="165"/>
      <c r="L158" s="165"/>
      <c r="M158" s="165"/>
      <c r="N158" s="165"/>
      <c r="O158" s="165"/>
      <c r="P158" s="165"/>
      <c r="Q158" s="165"/>
      <c r="R158" s="165"/>
      <c r="S158" s="165"/>
      <c r="T158" s="183"/>
      <c r="U158" s="165"/>
      <c r="V158" s="165"/>
      <c r="W158" s="165"/>
      <c r="X158" s="165"/>
      <c r="Y158" s="165"/>
      <c r="Z158" s="165"/>
      <c r="AA158" s="165"/>
      <c r="AB158" s="165"/>
      <c r="AC158" s="165"/>
      <c r="AD158" s="165"/>
      <c r="AE158" s="165"/>
      <c r="AF158" s="165"/>
      <c r="AG158" s="165"/>
      <c r="AH158" s="167"/>
      <c r="AI158" s="167"/>
      <c r="AJ158" s="167"/>
      <c r="AK158" s="167"/>
      <c r="AL158" s="167"/>
    </row>
    <row r="159" spans="1:38" ht="19.5" customHeight="1">
      <c r="A159" s="165"/>
      <c r="B159" s="314"/>
      <c r="C159" s="165"/>
      <c r="D159" s="337"/>
      <c r="E159" s="337"/>
      <c r="F159" s="192"/>
      <c r="G159" s="192" t="str">
        <f>IF(C5="Line1","115",IF(C5="Line2","105",IF(C5="Line7","115")))</f>
        <v>115</v>
      </c>
      <c r="H159" s="192" t="str">
        <f>IF(C5="Line1","120",IF(C5="Line2","110",IF(C5="Line7","120")))</f>
        <v>120</v>
      </c>
      <c r="I159" s="192" t="str">
        <f>IF(C5="Line1","125",IF(C5="Line2","115",IF(C5="Line7","125")))</f>
        <v>125</v>
      </c>
      <c r="J159" s="192"/>
      <c r="K159" s="165"/>
      <c r="L159" s="165"/>
      <c r="M159" s="165"/>
      <c r="N159" s="165"/>
      <c r="O159" s="165"/>
      <c r="P159" s="165"/>
      <c r="Q159" s="165"/>
      <c r="R159" s="165"/>
      <c r="S159" s="165"/>
      <c r="T159" s="183"/>
      <c r="U159" s="165"/>
      <c r="V159" s="165"/>
      <c r="W159" s="165"/>
      <c r="X159" s="165"/>
      <c r="Y159" s="165"/>
      <c r="Z159" s="165"/>
      <c r="AA159" s="165"/>
      <c r="AB159" s="165"/>
      <c r="AC159" s="165"/>
      <c r="AD159" s="165"/>
      <c r="AE159" s="165"/>
      <c r="AF159" s="165"/>
      <c r="AG159" s="165"/>
      <c r="AH159" s="167"/>
      <c r="AI159" s="167"/>
      <c r="AJ159" s="167"/>
      <c r="AK159" s="167"/>
      <c r="AL159" s="167"/>
    </row>
    <row r="160" spans="1:38" ht="19.5" customHeight="1">
      <c r="A160" s="165"/>
      <c r="B160" s="314"/>
      <c r="C160" s="165"/>
      <c r="D160" s="338" t="s">
        <v>359</v>
      </c>
      <c r="E160" s="192"/>
      <c r="F160" s="185"/>
      <c r="G160" s="185"/>
      <c r="H160" s="185"/>
      <c r="I160" s="185"/>
      <c r="J160" s="185"/>
      <c r="K160" s="165"/>
      <c r="L160" s="165"/>
      <c r="M160" s="165"/>
      <c r="N160" s="165"/>
      <c r="O160" s="165"/>
      <c r="P160" s="165"/>
      <c r="Q160" s="165"/>
      <c r="R160" s="165"/>
      <c r="S160" s="165"/>
      <c r="T160" s="183"/>
      <c r="U160" s="165"/>
      <c r="V160" s="165"/>
      <c r="W160" s="165"/>
      <c r="X160" s="165"/>
      <c r="Y160" s="165"/>
      <c r="Z160" s="165"/>
      <c r="AA160" s="165"/>
      <c r="AB160" s="165"/>
      <c r="AC160" s="165"/>
      <c r="AD160" s="165"/>
      <c r="AE160" s="165"/>
      <c r="AF160" s="165"/>
      <c r="AG160" s="165"/>
      <c r="AH160" s="167"/>
      <c r="AI160" s="167"/>
      <c r="AJ160" s="167"/>
      <c r="AK160" s="167"/>
      <c r="AL160" s="167"/>
    </row>
    <row r="161" spans="1:38" ht="19.5" customHeight="1">
      <c r="A161" s="165"/>
      <c r="B161" s="314"/>
      <c r="C161" s="165"/>
      <c r="D161" s="338"/>
      <c r="E161" s="192" t="str">
        <f>IF(C5="Line1","115",IF(C5="Line2","115",IF(C5="Line7","120")))</f>
        <v>115</v>
      </c>
      <c r="F161" s="185"/>
      <c r="G161" s="193"/>
      <c r="H161" s="193"/>
      <c r="I161" s="193"/>
      <c r="J161" s="185"/>
      <c r="K161" s="165"/>
      <c r="L161" s="165"/>
      <c r="M161" s="165"/>
      <c r="N161" s="165"/>
      <c r="O161" s="165"/>
      <c r="P161" s="165"/>
      <c r="Q161" s="165"/>
      <c r="R161" s="165"/>
      <c r="S161" s="165"/>
      <c r="T161" s="183"/>
      <c r="U161" s="165"/>
      <c r="V161" s="165"/>
      <c r="W161" s="165"/>
      <c r="X161" s="165"/>
      <c r="Y161" s="165"/>
      <c r="Z161" s="165"/>
      <c r="AA161" s="165"/>
      <c r="AB161" s="165"/>
      <c r="AC161" s="165"/>
      <c r="AD161" s="165"/>
      <c r="AE161" s="165"/>
      <c r="AF161" s="165"/>
      <c r="AG161" s="165"/>
      <c r="AH161" s="167"/>
      <c r="AI161" s="167"/>
      <c r="AJ161" s="167"/>
      <c r="AK161" s="167"/>
      <c r="AL161" s="167"/>
    </row>
    <row r="162" spans="1:38" ht="19.5" customHeight="1">
      <c r="A162" s="165"/>
      <c r="B162" s="314"/>
      <c r="C162" s="165"/>
      <c r="D162" s="338"/>
      <c r="E162" s="192" t="str">
        <f>IF(C5="Line1","120",IF(C5="Line2","120",IF(C5="Line7","125")))</f>
        <v>120</v>
      </c>
      <c r="F162" s="185"/>
      <c r="G162" s="193"/>
      <c r="H162" s="193"/>
      <c r="I162" s="193"/>
      <c r="J162" s="185"/>
      <c r="K162" s="165"/>
      <c r="L162" s="165"/>
      <c r="M162" s="165"/>
      <c r="N162" s="165"/>
      <c r="O162" s="165"/>
      <c r="P162" s="165"/>
      <c r="Q162" s="165"/>
      <c r="R162" s="165"/>
      <c r="S162" s="165"/>
      <c r="T162" s="183"/>
      <c r="U162" s="165"/>
      <c r="V162" s="165"/>
      <c r="W162" s="165"/>
      <c r="X162" s="165"/>
      <c r="Y162" s="165"/>
      <c r="Z162" s="165"/>
      <c r="AA162" s="165"/>
      <c r="AB162" s="165"/>
      <c r="AC162" s="165"/>
      <c r="AD162" s="165"/>
      <c r="AE162" s="165"/>
      <c r="AF162" s="165"/>
      <c r="AG162" s="165"/>
      <c r="AH162" s="167"/>
      <c r="AI162" s="167"/>
      <c r="AJ162" s="167"/>
      <c r="AK162" s="167"/>
      <c r="AL162" s="167"/>
    </row>
    <row r="163" spans="1:38" ht="19.5" customHeight="1">
      <c r="A163" s="165"/>
      <c r="B163" s="314"/>
      <c r="C163" s="165"/>
      <c r="D163" s="338"/>
      <c r="E163" s="192" t="str">
        <f>IF(C5="Line1","125",IF(C5="Line2","125",IF(C5="Line7","130")))</f>
        <v>125</v>
      </c>
      <c r="F163" s="185"/>
      <c r="G163" s="193"/>
      <c r="H163" s="193"/>
      <c r="I163" s="193"/>
      <c r="J163" s="185"/>
      <c r="K163" s="165"/>
      <c r="L163" s="165"/>
      <c r="M163" s="165"/>
      <c r="N163" s="165"/>
      <c r="O163" s="165"/>
      <c r="P163" s="165"/>
      <c r="Q163" s="165"/>
      <c r="R163" s="165"/>
      <c r="S163" s="165"/>
      <c r="T163" s="183"/>
      <c r="U163" s="165"/>
      <c r="V163" s="165"/>
      <c r="W163" s="165"/>
      <c r="X163" s="165"/>
      <c r="Y163" s="165"/>
      <c r="Z163" s="165"/>
      <c r="AA163" s="165"/>
      <c r="AB163" s="165"/>
      <c r="AC163" s="165"/>
      <c r="AD163" s="165"/>
      <c r="AE163" s="165"/>
      <c r="AF163" s="165"/>
      <c r="AG163" s="165"/>
      <c r="AH163" s="167"/>
      <c r="AI163" s="167"/>
      <c r="AJ163" s="167"/>
      <c r="AK163" s="167"/>
      <c r="AL163" s="167"/>
    </row>
    <row r="164" spans="1:38" ht="19.5" customHeight="1">
      <c r="A164" s="165"/>
      <c r="B164" s="314"/>
      <c r="C164" s="165"/>
      <c r="D164" s="338"/>
      <c r="E164" s="192"/>
      <c r="F164" s="185"/>
      <c r="G164" s="185"/>
      <c r="H164" s="185"/>
      <c r="I164" s="185"/>
      <c r="J164" s="185"/>
      <c r="K164" s="165"/>
      <c r="L164" s="165"/>
      <c r="M164" s="165"/>
      <c r="N164" s="165"/>
      <c r="O164" s="165"/>
      <c r="P164" s="165"/>
      <c r="Q164" s="165"/>
      <c r="R164" s="165"/>
      <c r="S164" s="165"/>
      <c r="T164" s="183"/>
      <c r="U164" s="165"/>
      <c r="V164" s="165"/>
      <c r="W164" s="165"/>
      <c r="X164" s="165"/>
      <c r="Y164" s="165"/>
      <c r="Z164" s="165"/>
      <c r="AA164" s="165"/>
      <c r="AB164" s="165"/>
      <c r="AC164" s="165"/>
      <c r="AD164" s="165"/>
      <c r="AE164" s="165"/>
      <c r="AF164" s="165"/>
      <c r="AG164" s="165"/>
      <c r="AH164" s="167"/>
      <c r="AI164" s="167"/>
      <c r="AJ164" s="167"/>
      <c r="AK164" s="167"/>
      <c r="AL164" s="167"/>
    </row>
    <row r="165" spans="1:38" ht="19.5" customHeight="1">
      <c r="A165" s="165"/>
      <c r="B165" s="314"/>
      <c r="C165" s="165"/>
      <c r="D165" s="165"/>
      <c r="E165" s="165"/>
      <c r="F165" s="165"/>
      <c r="G165" s="165"/>
      <c r="H165" s="165"/>
      <c r="I165" s="165"/>
      <c r="J165" s="165"/>
      <c r="K165" s="165"/>
      <c r="L165" s="165"/>
      <c r="M165" s="165"/>
      <c r="N165" s="165"/>
      <c r="O165" s="165"/>
      <c r="P165" s="165"/>
      <c r="Q165" s="165"/>
      <c r="R165" s="165"/>
      <c r="S165" s="165"/>
      <c r="T165" s="183"/>
      <c r="U165" s="165"/>
      <c r="V165" s="165"/>
      <c r="W165" s="165"/>
      <c r="X165" s="165"/>
      <c r="Y165" s="165"/>
      <c r="Z165" s="165"/>
      <c r="AA165" s="165"/>
      <c r="AB165" s="165"/>
      <c r="AC165" s="165"/>
      <c r="AD165" s="165"/>
      <c r="AE165" s="165"/>
      <c r="AF165" s="165"/>
      <c r="AG165" s="165"/>
      <c r="AH165" s="167"/>
      <c r="AI165" s="167"/>
      <c r="AJ165" s="167"/>
      <c r="AK165" s="167"/>
      <c r="AL165" s="167"/>
    </row>
    <row r="166" spans="1:38" ht="19.5" customHeight="1">
      <c r="A166" s="165"/>
      <c r="B166" s="314"/>
      <c r="C166" s="165"/>
      <c r="D166" s="165" t="s">
        <v>360</v>
      </c>
      <c r="E166" s="165"/>
      <c r="F166" s="165"/>
      <c r="G166" s="165"/>
      <c r="H166" s="165"/>
      <c r="I166" s="165"/>
      <c r="J166" s="165"/>
      <c r="K166" s="165"/>
      <c r="L166" s="165"/>
      <c r="M166" s="165"/>
      <c r="N166" s="165"/>
      <c r="O166" s="165"/>
      <c r="P166" s="165"/>
      <c r="Q166" s="165"/>
      <c r="R166" s="165"/>
      <c r="S166" s="165"/>
      <c r="T166" s="183"/>
      <c r="U166" s="165"/>
      <c r="V166" s="165"/>
      <c r="W166" s="165"/>
      <c r="X166" s="165"/>
      <c r="Y166" s="165"/>
      <c r="Z166" s="165"/>
      <c r="AA166" s="165"/>
      <c r="AB166" s="165"/>
      <c r="AC166" s="165"/>
      <c r="AD166" s="165"/>
      <c r="AE166" s="165"/>
      <c r="AF166" s="165"/>
      <c r="AG166" s="165"/>
      <c r="AH166" s="167"/>
      <c r="AI166" s="167"/>
      <c r="AJ166" s="167"/>
      <c r="AK166" s="167"/>
      <c r="AL166" s="167"/>
    </row>
    <row r="167" spans="1:38" ht="19.5" customHeight="1">
      <c r="A167" s="165"/>
      <c r="B167" s="314"/>
      <c r="C167" s="165"/>
      <c r="D167" s="165"/>
      <c r="E167" s="165"/>
      <c r="F167" s="165"/>
      <c r="G167" s="165"/>
      <c r="H167" s="165"/>
      <c r="I167" s="165"/>
      <c r="J167" s="165"/>
      <c r="K167" s="165"/>
      <c r="L167" s="165"/>
      <c r="M167" s="165"/>
      <c r="N167" s="165"/>
      <c r="O167" s="165"/>
      <c r="P167" s="165"/>
      <c r="Q167" s="165"/>
      <c r="R167" s="165"/>
      <c r="S167" s="165"/>
      <c r="T167" s="183"/>
      <c r="U167" s="165"/>
      <c r="V167" s="165"/>
      <c r="W167" s="165"/>
      <c r="X167" s="165"/>
      <c r="Y167" s="165"/>
      <c r="Z167" s="165"/>
      <c r="AA167" s="165"/>
      <c r="AB167" s="165"/>
      <c r="AC167" s="165"/>
      <c r="AD167" s="165"/>
      <c r="AE167" s="165"/>
      <c r="AF167" s="165"/>
      <c r="AG167" s="165"/>
      <c r="AH167" s="167"/>
      <c r="AI167" s="167"/>
      <c r="AJ167" s="167"/>
      <c r="AK167" s="167"/>
      <c r="AL167" s="167"/>
    </row>
    <row r="168" spans="1:38" ht="19.5" customHeight="1">
      <c r="A168" s="165"/>
      <c r="B168" s="314"/>
      <c r="C168" s="184" t="s">
        <v>362</v>
      </c>
      <c r="D168" s="196"/>
      <c r="E168" s="165"/>
      <c r="F168" s="165"/>
      <c r="G168" s="165"/>
      <c r="H168" s="165"/>
      <c r="I168" s="165"/>
      <c r="J168" s="165"/>
      <c r="K168" s="165"/>
      <c r="L168" s="165"/>
      <c r="M168" s="165"/>
      <c r="N168" s="165"/>
      <c r="O168" s="165"/>
      <c r="P168" s="165"/>
      <c r="Q168" s="165"/>
      <c r="R168" s="165"/>
      <c r="S168" s="165"/>
      <c r="T168" s="183"/>
      <c r="U168" s="165"/>
      <c r="V168" s="165"/>
      <c r="W168" s="165"/>
      <c r="X168" s="165"/>
      <c r="Y168" s="165"/>
      <c r="Z168" s="165"/>
      <c r="AA168" s="165"/>
      <c r="AB168" s="165"/>
      <c r="AC168" s="165"/>
      <c r="AD168" s="165"/>
      <c r="AE168" s="165"/>
      <c r="AF168" s="165"/>
      <c r="AG168" s="165"/>
      <c r="AH168" s="167"/>
      <c r="AI168" s="167"/>
      <c r="AJ168" s="167"/>
      <c r="AK168" s="167"/>
      <c r="AL168" s="167"/>
    </row>
    <row r="169" spans="1:38" ht="19.5" customHeight="1">
      <c r="A169" s="165"/>
      <c r="B169" s="314"/>
      <c r="C169" s="184"/>
      <c r="D169" s="196"/>
      <c r="E169" s="330" t="s">
        <v>363</v>
      </c>
      <c r="F169" s="331"/>
      <c r="G169" s="332"/>
      <c r="H169" s="330" t="s">
        <v>364</v>
      </c>
      <c r="I169" s="331"/>
      <c r="J169" s="332"/>
      <c r="K169" s="165"/>
      <c r="L169" s="165"/>
      <c r="M169" s="165"/>
      <c r="N169" s="165"/>
      <c r="O169" s="165"/>
      <c r="P169" s="165"/>
      <c r="Q169" s="165"/>
      <c r="R169" s="165"/>
      <c r="S169" s="165"/>
      <c r="T169" s="183"/>
      <c r="U169" s="165"/>
      <c r="V169" s="165"/>
      <c r="W169" s="165"/>
      <c r="X169" s="165"/>
      <c r="Y169" s="165"/>
      <c r="Z169" s="165"/>
      <c r="AA169" s="165"/>
      <c r="AB169" s="165"/>
      <c r="AC169" s="165"/>
      <c r="AD169" s="165"/>
      <c r="AE169" s="165"/>
      <c r="AF169" s="165"/>
      <c r="AG169" s="165"/>
      <c r="AH169" s="167"/>
      <c r="AI169" s="167"/>
      <c r="AJ169" s="167"/>
      <c r="AK169" s="167"/>
      <c r="AL169" s="167"/>
    </row>
    <row r="170" spans="1:38" ht="19.5" customHeight="1">
      <c r="A170" s="165"/>
      <c r="B170" s="314"/>
      <c r="C170" s="165"/>
      <c r="D170" s="185"/>
      <c r="E170" s="186" t="s">
        <v>365</v>
      </c>
      <c r="F170" s="186" t="s">
        <v>366</v>
      </c>
      <c r="G170" s="186" t="s">
        <v>367</v>
      </c>
      <c r="H170" s="186" t="s">
        <v>365</v>
      </c>
      <c r="I170" s="186" t="s">
        <v>366</v>
      </c>
      <c r="J170" s="186" t="s">
        <v>367</v>
      </c>
      <c r="K170" s="165"/>
      <c r="L170" s="165"/>
      <c r="M170" s="165"/>
      <c r="N170" s="165"/>
      <c r="O170" s="165"/>
      <c r="P170" s="165"/>
      <c r="Q170" s="165"/>
      <c r="R170" s="165"/>
      <c r="S170" s="165"/>
      <c r="T170" s="183"/>
      <c r="U170" s="165"/>
      <c r="V170" s="165"/>
      <c r="W170" s="165"/>
      <c r="X170" s="165"/>
      <c r="Y170" s="165"/>
      <c r="Z170" s="165"/>
      <c r="AA170" s="165"/>
      <c r="AB170" s="165"/>
      <c r="AC170" s="165"/>
      <c r="AD170" s="165"/>
      <c r="AE170" s="165"/>
      <c r="AF170" s="165"/>
      <c r="AG170" s="165"/>
      <c r="AH170" s="167"/>
      <c r="AI170" s="167"/>
      <c r="AJ170" s="167"/>
      <c r="AK170" s="167"/>
      <c r="AL170" s="167"/>
    </row>
    <row r="171" spans="1:38" ht="19.5" customHeight="1">
      <c r="A171" s="165"/>
      <c r="B171" s="314"/>
      <c r="C171" s="165"/>
      <c r="D171" s="186">
        <v>1</v>
      </c>
      <c r="E171" s="185"/>
      <c r="F171" s="185"/>
      <c r="G171" s="185"/>
      <c r="H171" s="185"/>
      <c r="I171" s="185"/>
      <c r="J171" s="185"/>
      <c r="K171" s="165"/>
      <c r="L171" s="165"/>
      <c r="M171" s="165"/>
      <c r="N171" s="165"/>
      <c r="O171" s="165"/>
      <c r="P171" s="165"/>
      <c r="Q171" s="165"/>
      <c r="R171" s="165"/>
      <c r="S171" s="165"/>
      <c r="T171" s="183"/>
      <c r="U171" s="165"/>
      <c r="V171" s="165"/>
      <c r="W171" s="165"/>
      <c r="X171" s="165"/>
      <c r="Y171" s="165"/>
      <c r="Z171" s="165"/>
      <c r="AA171" s="165"/>
      <c r="AB171" s="165"/>
      <c r="AC171" s="165"/>
      <c r="AD171" s="165"/>
      <c r="AE171" s="165"/>
      <c r="AF171" s="165"/>
      <c r="AG171" s="165"/>
      <c r="AH171" s="167"/>
      <c r="AI171" s="167"/>
      <c r="AJ171" s="167"/>
      <c r="AK171" s="167"/>
      <c r="AL171" s="167"/>
    </row>
    <row r="172" spans="1:38" ht="19.5" customHeight="1">
      <c r="A172" s="165"/>
      <c r="B172" s="314"/>
      <c r="C172" s="165"/>
      <c r="D172" s="186">
        <v>2</v>
      </c>
      <c r="E172" s="185"/>
      <c r="F172" s="185"/>
      <c r="G172" s="185"/>
      <c r="H172" s="185"/>
      <c r="I172" s="185"/>
      <c r="J172" s="185"/>
      <c r="K172" s="165"/>
      <c r="L172" s="165"/>
      <c r="M172" s="165"/>
      <c r="N172" s="165"/>
      <c r="O172" s="165"/>
      <c r="P172" s="165"/>
      <c r="Q172" s="165"/>
      <c r="R172" s="165"/>
      <c r="S172" s="165"/>
      <c r="T172" s="183"/>
      <c r="U172" s="165"/>
      <c r="V172" s="165"/>
      <c r="W172" s="165"/>
      <c r="X172" s="165"/>
      <c r="Y172" s="165"/>
      <c r="Z172" s="165"/>
      <c r="AA172" s="165"/>
      <c r="AB172" s="165"/>
      <c r="AC172" s="165"/>
      <c r="AD172" s="165"/>
      <c r="AE172" s="165"/>
      <c r="AF172" s="165"/>
      <c r="AG172" s="165"/>
      <c r="AH172" s="167"/>
      <c r="AI172" s="167"/>
      <c r="AJ172" s="167"/>
      <c r="AK172" s="167"/>
      <c r="AL172" s="167"/>
    </row>
    <row r="173" spans="1:38" ht="19.5" customHeight="1">
      <c r="A173" s="165"/>
      <c r="B173" s="314"/>
      <c r="C173" s="165"/>
      <c r="D173" s="186">
        <v>3</v>
      </c>
      <c r="E173" s="185"/>
      <c r="F173" s="185"/>
      <c r="G173" s="185"/>
      <c r="H173" s="185"/>
      <c r="I173" s="185"/>
      <c r="J173" s="185"/>
      <c r="K173" s="165"/>
      <c r="L173" s="165"/>
      <c r="M173" s="165"/>
      <c r="N173" s="165"/>
      <c r="O173" s="165"/>
      <c r="P173" s="165"/>
      <c r="Q173" s="165"/>
      <c r="R173" s="165"/>
      <c r="S173" s="165"/>
      <c r="T173" s="183"/>
      <c r="U173" s="165"/>
      <c r="V173" s="165"/>
      <c r="W173" s="165"/>
      <c r="X173" s="165"/>
      <c r="Y173" s="165"/>
      <c r="Z173" s="165"/>
      <c r="AA173" s="165"/>
      <c r="AB173" s="165"/>
      <c r="AC173" s="165"/>
      <c r="AD173" s="165"/>
      <c r="AE173" s="165"/>
      <c r="AF173" s="165"/>
      <c r="AG173" s="165"/>
      <c r="AH173" s="167"/>
      <c r="AI173" s="167"/>
      <c r="AJ173" s="167"/>
      <c r="AK173" s="167"/>
      <c r="AL173" s="167"/>
    </row>
    <row r="174" spans="1:38" ht="19.5" customHeight="1">
      <c r="A174" s="165"/>
      <c r="B174" s="314"/>
      <c r="C174" s="165"/>
      <c r="D174" s="186">
        <v>4</v>
      </c>
      <c r="E174" s="185"/>
      <c r="F174" s="185"/>
      <c r="G174" s="185"/>
      <c r="H174" s="185"/>
      <c r="I174" s="185"/>
      <c r="J174" s="185"/>
      <c r="K174" s="165"/>
      <c r="L174" s="165"/>
      <c r="M174" s="165"/>
      <c r="N174" s="165"/>
      <c r="O174" s="165"/>
      <c r="P174" s="165"/>
      <c r="Q174" s="165"/>
      <c r="R174" s="165"/>
      <c r="S174" s="165"/>
      <c r="T174" s="183"/>
      <c r="U174" s="165"/>
      <c r="V174" s="165"/>
      <c r="W174" s="165"/>
      <c r="X174" s="165"/>
      <c r="Y174" s="165"/>
      <c r="Z174" s="165"/>
      <c r="AA174" s="165"/>
      <c r="AB174" s="165"/>
      <c r="AC174" s="165"/>
      <c r="AD174" s="165"/>
      <c r="AE174" s="165"/>
      <c r="AF174" s="165"/>
      <c r="AG174" s="165"/>
      <c r="AH174" s="167"/>
      <c r="AI174" s="167"/>
      <c r="AJ174" s="167"/>
      <c r="AK174" s="167"/>
      <c r="AL174" s="167"/>
    </row>
    <row r="175" spans="1:38" ht="19.5" customHeight="1">
      <c r="A175" s="165"/>
      <c r="B175" s="314"/>
      <c r="C175" s="165"/>
      <c r="D175" s="186">
        <v>5</v>
      </c>
      <c r="E175" s="185"/>
      <c r="F175" s="185"/>
      <c r="G175" s="185"/>
      <c r="H175" s="185"/>
      <c r="I175" s="185"/>
      <c r="J175" s="185"/>
      <c r="K175" s="165"/>
      <c r="L175" s="165"/>
      <c r="M175" s="165"/>
      <c r="N175" s="165"/>
      <c r="O175" s="165"/>
      <c r="P175" s="165"/>
      <c r="Q175" s="165"/>
      <c r="R175" s="165"/>
      <c r="S175" s="165"/>
      <c r="T175" s="183"/>
      <c r="U175" s="165"/>
      <c r="V175" s="165"/>
      <c r="W175" s="165"/>
      <c r="X175" s="165"/>
      <c r="Y175" s="165"/>
      <c r="Z175" s="165"/>
      <c r="AA175" s="165"/>
      <c r="AB175" s="165"/>
      <c r="AC175" s="165"/>
      <c r="AD175" s="165"/>
      <c r="AE175" s="165"/>
      <c r="AF175" s="165"/>
      <c r="AG175" s="165"/>
      <c r="AH175" s="167"/>
      <c r="AI175" s="167"/>
      <c r="AJ175" s="167"/>
      <c r="AK175" s="167"/>
      <c r="AL175" s="167"/>
    </row>
    <row r="176" spans="1:38" ht="19.5" customHeight="1">
      <c r="A176" s="165"/>
      <c r="B176" s="314"/>
      <c r="C176" s="165"/>
      <c r="D176" s="186">
        <v>6</v>
      </c>
      <c r="E176" s="185"/>
      <c r="F176" s="185"/>
      <c r="G176" s="185"/>
      <c r="H176" s="185"/>
      <c r="I176" s="185"/>
      <c r="J176" s="185"/>
      <c r="K176" s="165"/>
      <c r="L176" s="165"/>
      <c r="M176" s="165"/>
      <c r="N176" s="165"/>
      <c r="O176" s="165"/>
      <c r="P176" s="165"/>
      <c r="Q176" s="165"/>
      <c r="R176" s="165"/>
      <c r="S176" s="165"/>
      <c r="T176" s="183"/>
      <c r="U176" s="165"/>
      <c r="V176" s="165"/>
      <c r="W176" s="165"/>
      <c r="X176" s="165"/>
      <c r="Y176" s="165"/>
      <c r="Z176" s="165"/>
      <c r="AA176" s="165"/>
      <c r="AB176" s="165"/>
      <c r="AC176" s="165"/>
      <c r="AD176" s="165"/>
      <c r="AE176" s="165"/>
      <c r="AF176" s="165"/>
      <c r="AG176" s="165"/>
      <c r="AH176" s="167"/>
      <c r="AI176" s="167"/>
      <c r="AJ176" s="167"/>
      <c r="AK176" s="167"/>
      <c r="AL176" s="167"/>
    </row>
    <row r="177" spans="1:38" ht="19.5" customHeight="1">
      <c r="A177" s="165"/>
      <c r="B177" s="314"/>
      <c r="C177" s="165"/>
      <c r="D177" s="186">
        <v>7</v>
      </c>
      <c r="E177" s="185"/>
      <c r="F177" s="185"/>
      <c r="G177" s="185"/>
      <c r="H177" s="185"/>
      <c r="I177" s="185"/>
      <c r="J177" s="185"/>
      <c r="K177" s="165"/>
      <c r="L177" s="165"/>
      <c r="M177" s="165"/>
      <c r="N177" s="165"/>
      <c r="O177" s="165"/>
      <c r="P177" s="165"/>
      <c r="Q177" s="165"/>
      <c r="R177" s="165"/>
      <c r="S177" s="165"/>
      <c r="T177" s="183"/>
      <c r="U177" s="165"/>
      <c r="V177" s="165"/>
      <c r="W177" s="165"/>
      <c r="X177" s="165"/>
      <c r="Y177" s="165"/>
      <c r="Z177" s="165"/>
      <c r="AA177" s="165"/>
      <c r="AB177" s="165"/>
      <c r="AC177" s="165"/>
      <c r="AD177" s="165"/>
      <c r="AE177" s="165"/>
      <c r="AF177" s="165"/>
      <c r="AG177" s="165"/>
      <c r="AH177" s="167"/>
      <c r="AI177" s="167"/>
      <c r="AJ177" s="167"/>
      <c r="AK177" s="167"/>
      <c r="AL177" s="167"/>
    </row>
    <row r="178" spans="1:38" ht="19.5" customHeight="1">
      <c r="A178" s="165"/>
      <c r="B178" s="314"/>
      <c r="C178" s="165"/>
      <c r="D178" s="186">
        <v>8</v>
      </c>
      <c r="E178" s="185"/>
      <c r="F178" s="185"/>
      <c r="G178" s="185"/>
      <c r="H178" s="185"/>
      <c r="I178" s="185"/>
      <c r="J178" s="185"/>
      <c r="K178" s="165"/>
      <c r="L178" s="165"/>
      <c r="M178" s="165"/>
      <c r="N178" s="165"/>
      <c r="O178" s="165"/>
      <c r="P178" s="165"/>
      <c r="Q178" s="165"/>
      <c r="R178" s="165"/>
      <c r="S178" s="165"/>
      <c r="T178" s="183"/>
      <c r="U178" s="165"/>
      <c r="V178" s="165"/>
      <c r="W178" s="165"/>
      <c r="X178" s="165"/>
      <c r="Y178" s="165"/>
      <c r="Z178" s="165"/>
      <c r="AA178" s="165"/>
      <c r="AB178" s="165"/>
      <c r="AC178" s="165"/>
      <c r="AD178" s="165"/>
      <c r="AE178" s="165"/>
      <c r="AF178" s="165"/>
      <c r="AG178" s="165"/>
      <c r="AH178" s="167"/>
      <c r="AI178" s="167"/>
      <c r="AJ178" s="167"/>
      <c r="AK178" s="167"/>
      <c r="AL178" s="167"/>
    </row>
    <row r="179" spans="1:38" ht="19.5" customHeight="1">
      <c r="A179" s="165"/>
      <c r="B179" s="314"/>
      <c r="C179" s="165"/>
      <c r="D179" s="186">
        <v>9</v>
      </c>
      <c r="E179" s="185"/>
      <c r="F179" s="185"/>
      <c r="G179" s="185"/>
      <c r="H179" s="185"/>
      <c r="I179" s="185"/>
      <c r="J179" s="185"/>
      <c r="K179" s="165"/>
      <c r="L179" s="165"/>
      <c r="M179" s="165"/>
      <c r="N179" s="165"/>
      <c r="O179" s="165"/>
      <c r="P179" s="165"/>
      <c r="Q179" s="165"/>
      <c r="R179" s="165"/>
      <c r="S179" s="165"/>
      <c r="T179" s="183"/>
      <c r="U179" s="165"/>
      <c r="V179" s="165"/>
      <c r="W179" s="165"/>
      <c r="X179" s="165"/>
      <c r="Y179" s="165"/>
      <c r="Z179" s="165"/>
      <c r="AA179" s="165"/>
      <c r="AB179" s="165"/>
      <c r="AC179" s="165"/>
      <c r="AD179" s="165"/>
      <c r="AE179" s="165"/>
      <c r="AF179" s="165"/>
      <c r="AG179" s="165"/>
      <c r="AH179" s="167"/>
      <c r="AI179" s="167"/>
      <c r="AJ179" s="167"/>
      <c r="AK179" s="167"/>
      <c r="AL179" s="167"/>
    </row>
    <row r="180" spans="1:38" ht="19.5" customHeight="1">
      <c r="A180" s="165"/>
      <c r="B180" s="314"/>
      <c r="C180" s="165"/>
      <c r="D180" s="186">
        <v>10</v>
      </c>
      <c r="E180" s="185"/>
      <c r="F180" s="185"/>
      <c r="G180" s="185"/>
      <c r="H180" s="185"/>
      <c r="I180" s="185"/>
      <c r="J180" s="185"/>
      <c r="K180" s="165"/>
      <c r="L180" s="165"/>
      <c r="M180" s="165"/>
      <c r="N180" s="165"/>
      <c r="O180" s="165"/>
      <c r="P180" s="165"/>
      <c r="Q180" s="165"/>
      <c r="R180" s="165"/>
      <c r="S180" s="165"/>
      <c r="T180" s="183"/>
      <c r="U180" s="165"/>
      <c r="V180" s="165"/>
      <c r="W180" s="165"/>
      <c r="X180" s="165"/>
      <c r="Y180" s="165"/>
      <c r="Z180" s="165"/>
      <c r="AA180" s="165"/>
      <c r="AB180" s="165"/>
      <c r="AC180" s="165"/>
      <c r="AD180" s="165"/>
      <c r="AE180" s="165"/>
      <c r="AF180" s="165"/>
      <c r="AG180" s="165"/>
      <c r="AH180" s="167"/>
      <c r="AI180" s="167"/>
      <c r="AJ180" s="167"/>
      <c r="AK180" s="167"/>
      <c r="AL180" s="167"/>
    </row>
    <row r="181" spans="1:38" ht="19.5" customHeight="1">
      <c r="A181" s="165"/>
      <c r="B181" s="314"/>
      <c r="C181" s="165"/>
      <c r="D181" s="186" t="s">
        <v>343</v>
      </c>
      <c r="E181" s="185"/>
      <c r="F181" s="185"/>
      <c r="G181" s="185"/>
      <c r="H181" s="185"/>
      <c r="I181" s="185"/>
      <c r="J181" s="185"/>
      <c r="K181" s="165"/>
      <c r="L181" s="165"/>
      <c r="M181" s="165"/>
      <c r="N181" s="165"/>
      <c r="O181" s="165"/>
      <c r="P181" s="165"/>
      <c r="Q181" s="165"/>
      <c r="R181" s="165"/>
      <c r="S181" s="165"/>
      <c r="T181" s="183"/>
      <c r="U181" s="165"/>
      <c r="V181" s="165"/>
      <c r="W181" s="165"/>
      <c r="X181" s="165"/>
      <c r="Y181" s="165"/>
      <c r="Z181" s="165"/>
      <c r="AA181" s="165"/>
      <c r="AB181" s="165"/>
      <c r="AC181" s="165"/>
      <c r="AD181" s="165"/>
      <c r="AE181" s="165"/>
      <c r="AF181" s="165"/>
      <c r="AG181" s="165"/>
      <c r="AH181" s="167"/>
      <c r="AI181" s="167"/>
      <c r="AJ181" s="167"/>
      <c r="AK181" s="167"/>
      <c r="AL181" s="167"/>
    </row>
    <row r="182" spans="1:38" ht="19.5" customHeight="1">
      <c r="A182" s="165"/>
      <c r="B182" s="314"/>
      <c r="C182" s="165"/>
      <c r="D182" s="186" t="s">
        <v>344</v>
      </c>
      <c r="E182" s="185"/>
      <c r="F182" s="185"/>
      <c r="G182" s="185"/>
      <c r="H182" s="185"/>
      <c r="I182" s="185"/>
      <c r="J182" s="185"/>
      <c r="K182" s="165"/>
      <c r="L182" s="165"/>
      <c r="M182" s="165"/>
      <c r="N182" s="165"/>
      <c r="O182" s="165"/>
      <c r="P182" s="165"/>
      <c r="Q182" s="165"/>
      <c r="R182" s="165"/>
      <c r="S182" s="165"/>
      <c r="T182" s="183"/>
      <c r="U182" s="165"/>
      <c r="V182" s="165"/>
      <c r="W182" s="165"/>
      <c r="X182" s="165"/>
      <c r="Y182" s="165"/>
      <c r="Z182" s="165"/>
      <c r="AA182" s="165"/>
      <c r="AB182" s="165"/>
      <c r="AC182" s="165"/>
      <c r="AD182" s="165"/>
      <c r="AE182" s="165"/>
      <c r="AF182" s="165"/>
      <c r="AG182" s="165"/>
      <c r="AH182" s="167"/>
      <c r="AI182" s="167"/>
      <c r="AJ182" s="167"/>
      <c r="AK182" s="167"/>
      <c r="AL182" s="167"/>
    </row>
    <row r="183" spans="1:38" ht="19.5" customHeight="1">
      <c r="A183" s="165"/>
      <c r="B183" s="314"/>
      <c r="C183" s="165"/>
      <c r="D183" s="186" t="s">
        <v>345</v>
      </c>
      <c r="E183" s="185"/>
      <c r="F183" s="185"/>
      <c r="G183" s="185"/>
      <c r="H183" s="185"/>
      <c r="I183" s="185"/>
      <c r="J183" s="185"/>
      <c r="K183" s="165"/>
      <c r="L183" s="165"/>
      <c r="M183" s="165"/>
      <c r="N183" s="165"/>
      <c r="O183" s="165"/>
      <c r="P183" s="165"/>
      <c r="Q183" s="165"/>
      <c r="R183" s="165"/>
      <c r="S183" s="165"/>
      <c r="T183" s="183"/>
      <c r="U183" s="165"/>
      <c r="V183" s="165"/>
      <c r="W183" s="165"/>
      <c r="X183" s="165"/>
      <c r="Y183" s="165"/>
      <c r="Z183" s="165"/>
      <c r="AA183" s="165"/>
      <c r="AB183" s="165"/>
      <c r="AC183" s="165"/>
      <c r="AD183" s="165"/>
      <c r="AE183" s="165"/>
      <c r="AF183" s="165"/>
      <c r="AG183" s="165"/>
      <c r="AH183" s="167"/>
      <c r="AI183" s="167"/>
      <c r="AJ183" s="167"/>
      <c r="AK183" s="167"/>
      <c r="AL183" s="167"/>
    </row>
    <row r="184" spans="1:38" ht="19.5" customHeight="1">
      <c r="A184" s="165"/>
      <c r="B184" s="314"/>
      <c r="C184" s="165"/>
      <c r="D184" s="165"/>
      <c r="E184" s="165"/>
      <c r="F184" s="165"/>
      <c r="G184" s="165"/>
      <c r="H184" s="165"/>
      <c r="I184" s="165"/>
      <c r="J184" s="165"/>
      <c r="K184" s="165"/>
      <c r="L184" s="165"/>
      <c r="M184" s="165"/>
      <c r="N184" s="165"/>
      <c r="O184" s="165"/>
      <c r="P184" s="165"/>
      <c r="Q184" s="165"/>
      <c r="R184" s="165"/>
      <c r="S184" s="165"/>
      <c r="T184" s="183"/>
      <c r="U184" s="165"/>
      <c r="V184" s="165"/>
      <c r="W184" s="165"/>
      <c r="X184" s="165"/>
      <c r="Y184" s="165"/>
      <c r="Z184" s="165"/>
      <c r="AA184" s="165"/>
      <c r="AB184" s="165"/>
      <c r="AC184" s="165"/>
      <c r="AD184" s="165"/>
      <c r="AE184" s="165"/>
      <c r="AF184" s="165"/>
      <c r="AG184" s="165"/>
      <c r="AH184" s="167"/>
      <c r="AI184" s="167"/>
      <c r="AJ184" s="167"/>
      <c r="AK184" s="167"/>
      <c r="AL184" s="167"/>
    </row>
    <row r="185" spans="1:38" ht="19.5" customHeight="1">
      <c r="A185" s="165"/>
      <c r="B185" s="314"/>
      <c r="C185" s="178" t="s">
        <v>368</v>
      </c>
      <c r="D185" s="165"/>
      <c r="E185" s="165"/>
      <c r="F185" s="165"/>
      <c r="G185" s="165"/>
      <c r="H185" s="165"/>
      <c r="I185" s="165"/>
      <c r="J185" s="165"/>
      <c r="K185" s="165"/>
      <c r="L185" s="165"/>
      <c r="M185" s="165"/>
      <c r="N185" s="165"/>
      <c r="O185" s="165"/>
      <c r="P185" s="165"/>
      <c r="Q185" s="165"/>
      <c r="R185" s="165"/>
      <c r="S185" s="165"/>
      <c r="T185" s="183"/>
      <c r="U185" s="165"/>
      <c r="V185" s="165"/>
      <c r="W185" s="165"/>
      <c r="X185" s="165"/>
      <c r="Y185" s="165"/>
      <c r="Z185" s="165"/>
      <c r="AA185" s="165"/>
      <c r="AB185" s="165"/>
      <c r="AC185" s="165"/>
      <c r="AD185" s="165"/>
      <c r="AE185" s="165"/>
      <c r="AF185" s="165"/>
      <c r="AG185" s="165"/>
      <c r="AH185" s="167"/>
      <c r="AI185" s="167"/>
      <c r="AJ185" s="167"/>
      <c r="AK185" s="167"/>
      <c r="AL185" s="167"/>
    </row>
    <row r="186" spans="1:38" ht="19.5" customHeight="1">
      <c r="A186" s="165"/>
      <c r="B186" s="315"/>
      <c r="C186" s="339" t="s">
        <v>369</v>
      </c>
      <c r="D186" s="340"/>
      <c r="E186" s="339" t="s">
        <v>370</v>
      </c>
      <c r="F186" s="341"/>
      <c r="G186" s="341"/>
      <c r="H186" s="340"/>
      <c r="I186" s="316" t="s">
        <v>335</v>
      </c>
      <c r="J186" s="316"/>
      <c r="K186" s="316"/>
      <c r="L186" s="316"/>
      <c r="M186" s="316" t="s">
        <v>371</v>
      </c>
      <c r="N186" s="316"/>
      <c r="O186" s="316"/>
      <c r="P186" s="316"/>
      <c r="Q186" s="316"/>
      <c r="R186" s="316"/>
      <c r="S186" s="316"/>
      <c r="T186" s="183"/>
      <c r="U186" s="165"/>
      <c r="V186" s="165"/>
      <c r="W186" s="165"/>
      <c r="X186" s="165"/>
      <c r="Y186" s="165"/>
      <c r="Z186" s="165"/>
      <c r="AA186" s="165"/>
      <c r="AB186" s="165"/>
      <c r="AC186" s="165"/>
      <c r="AD186" s="165"/>
      <c r="AE186" s="165"/>
      <c r="AF186" s="165"/>
      <c r="AG186" s="165"/>
      <c r="AH186" s="167"/>
      <c r="AI186" s="167"/>
      <c r="AJ186" s="167"/>
      <c r="AK186" s="167"/>
      <c r="AL186" s="167"/>
    </row>
    <row r="187" spans="1:38" ht="19.5" customHeight="1">
      <c r="A187" s="165"/>
      <c r="B187" s="315"/>
      <c r="C187" s="342"/>
      <c r="D187" s="343"/>
      <c r="E187" s="342"/>
      <c r="F187" s="344"/>
      <c r="G187" s="344"/>
      <c r="H187" s="343"/>
      <c r="I187" s="321"/>
      <c r="J187" s="321"/>
      <c r="K187" s="321"/>
      <c r="L187" s="321"/>
      <c r="M187" s="317"/>
      <c r="N187" s="317"/>
      <c r="O187" s="317"/>
      <c r="P187" s="317"/>
      <c r="Q187" s="317"/>
      <c r="R187" s="317"/>
      <c r="S187" s="317"/>
      <c r="T187" s="183"/>
      <c r="U187" s="165"/>
      <c r="V187" s="165"/>
      <c r="W187" s="165"/>
      <c r="X187" s="165"/>
      <c r="Y187" s="165"/>
      <c r="Z187" s="165"/>
      <c r="AA187" s="165"/>
      <c r="AB187" s="165"/>
      <c r="AC187" s="165"/>
      <c r="AD187" s="165"/>
      <c r="AE187" s="165"/>
      <c r="AF187" s="165"/>
      <c r="AG187" s="165"/>
      <c r="AH187" s="167"/>
      <c r="AI187" s="167"/>
      <c r="AJ187" s="167"/>
      <c r="AK187" s="167"/>
      <c r="AL187" s="167"/>
    </row>
    <row r="188" spans="1:38" ht="19.5" customHeight="1">
      <c r="A188" s="165"/>
      <c r="B188" s="315"/>
      <c r="C188" s="197"/>
      <c r="D188" s="198"/>
      <c r="E188" s="197"/>
      <c r="F188" s="199"/>
      <c r="G188" s="199"/>
      <c r="H188" s="198"/>
      <c r="I188" s="321"/>
      <c r="J188" s="321"/>
      <c r="K188" s="321"/>
      <c r="L188" s="321"/>
      <c r="M188" s="317"/>
      <c r="N188" s="317"/>
      <c r="O188" s="317"/>
      <c r="P188" s="317"/>
      <c r="Q188" s="317"/>
      <c r="R188" s="317"/>
      <c r="S188" s="317"/>
      <c r="T188" s="183"/>
      <c r="U188" s="165"/>
      <c r="V188" s="165"/>
      <c r="W188" s="165"/>
      <c r="X188" s="165"/>
      <c r="Y188" s="165"/>
      <c r="Z188" s="165"/>
      <c r="AA188" s="165"/>
      <c r="AB188" s="165"/>
      <c r="AC188" s="165"/>
      <c r="AD188" s="165"/>
      <c r="AE188" s="165"/>
      <c r="AF188" s="165"/>
      <c r="AG188" s="165"/>
      <c r="AH188" s="167"/>
      <c r="AI188" s="167"/>
      <c r="AJ188" s="167"/>
      <c r="AK188" s="167"/>
      <c r="AL188" s="167"/>
    </row>
    <row r="189" spans="1:38" ht="19.5" customHeight="1">
      <c r="A189" s="165"/>
      <c r="B189" s="315"/>
      <c r="C189" s="342"/>
      <c r="D189" s="343"/>
      <c r="E189" s="342"/>
      <c r="F189" s="344"/>
      <c r="G189" s="344"/>
      <c r="H189" s="343"/>
      <c r="I189" s="321"/>
      <c r="J189" s="321"/>
      <c r="K189" s="321"/>
      <c r="L189" s="321"/>
      <c r="M189" s="317"/>
      <c r="N189" s="317"/>
      <c r="O189" s="317"/>
      <c r="P189" s="317"/>
      <c r="Q189" s="317"/>
      <c r="R189" s="317"/>
      <c r="S189" s="317"/>
      <c r="T189" s="183"/>
      <c r="U189" s="165"/>
      <c r="V189" s="165"/>
      <c r="W189" s="165"/>
      <c r="X189" s="165"/>
      <c r="Y189" s="165"/>
      <c r="Z189" s="165"/>
      <c r="AA189" s="165"/>
      <c r="AB189" s="165"/>
      <c r="AC189" s="165"/>
      <c r="AD189" s="165"/>
      <c r="AE189" s="165"/>
      <c r="AF189" s="165"/>
      <c r="AG189" s="165"/>
      <c r="AH189" s="167"/>
      <c r="AI189" s="167"/>
      <c r="AJ189" s="167"/>
      <c r="AK189" s="167"/>
      <c r="AL189" s="167"/>
    </row>
    <row r="190" spans="1:38" ht="19.5" customHeight="1">
      <c r="A190" s="165"/>
      <c r="B190" s="315"/>
      <c r="C190" s="342"/>
      <c r="D190" s="343"/>
      <c r="E190" s="342"/>
      <c r="F190" s="344"/>
      <c r="G190" s="344"/>
      <c r="H190" s="343"/>
      <c r="I190" s="321"/>
      <c r="J190" s="321"/>
      <c r="K190" s="321"/>
      <c r="L190" s="321"/>
      <c r="M190" s="317"/>
      <c r="N190" s="317"/>
      <c r="O190" s="317"/>
      <c r="P190" s="317"/>
      <c r="Q190" s="317"/>
      <c r="R190" s="317"/>
      <c r="S190" s="317"/>
      <c r="T190" s="183"/>
      <c r="U190" s="165"/>
      <c r="V190" s="165"/>
      <c r="W190" s="165"/>
      <c r="X190" s="165"/>
      <c r="Y190" s="165"/>
      <c r="Z190" s="165"/>
      <c r="AA190" s="165"/>
      <c r="AB190" s="165"/>
      <c r="AC190" s="165"/>
      <c r="AD190" s="165"/>
      <c r="AE190" s="165"/>
      <c r="AF190" s="165"/>
      <c r="AG190" s="165"/>
      <c r="AH190" s="167"/>
      <c r="AI190" s="167"/>
      <c r="AJ190" s="167"/>
      <c r="AK190" s="167"/>
      <c r="AL190" s="167"/>
    </row>
    <row r="191" spans="1:38" ht="19.5" customHeight="1">
      <c r="A191" s="165"/>
      <c r="B191" s="315"/>
      <c r="C191" s="342"/>
      <c r="D191" s="343"/>
      <c r="E191" s="342"/>
      <c r="F191" s="344"/>
      <c r="G191" s="344"/>
      <c r="H191" s="343"/>
      <c r="I191" s="321"/>
      <c r="J191" s="321"/>
      <c r="K191" s="321"/>
      <c r="L191" s="321"/>
      <c r="M191" s="317"/>
      <c r="N191" s="317"/>
      <c r="O191" s="317"/>
      <c r="P191" s="317"/>
      <c r="Q191" s="317"/>
      <c r="R191" s="317"/>
      <c r="S191" s="317"/>
      <c r="T191" s="183"/>
      <c r="U191" s="165"/>
      <c r="V191" s="165"/>
      <c r="W191" s="165"/>
      <c r="X191" s="165"/>
      <c r="Y191" s="165"/>
      <c r="Z191" s="165"/>
      <c r="AA191" s="165"/>
      <c r="AB191" s="165"/>
      <c r="AC191" s="165"/>
      <c r="AD191" s="165"/>
      <c r="AE191" s="165"/>
      <c r="AF191" s="165"/>
      <c r="AG191" s="165"/>
      <c r="AH191" s="167"/>
      <c r="AI191" s="167"/>
      <c r="AJ191" s="167"/>
      <c r="AK191" s="167"/>
      <c r="AL191" s="167"/>
    </row>
    <row r="192" spans="1:38" ht="19.5" customHeight="1">
      <c r="A192" s="165"/>
      <c r="B192" s="315"/>
      <c r="C192" s="342"/>
      <c r="D192" s="343"/>
      <c r="E192" s="342"/>
      <c r="F192" s="344"/>
      <c r="G192" s="344"/>
      <c r="H192" s="343"/>
      <c r="I192" s="321"/>
      <c r="J192" s="321"/>
      <c r="K192" s="321"/>
      <c r="L192" s="321"/>
      <c r="M192" s="317"/>
      <c r="N192" s="317"/>
      <c r="O192" s="317"/>
      <c r="P192" s="317"/>
      <c r="Q192" s="317"/>
      <c r="R192" s="317"/>
      <c r="S192" s="317"/>
      <c r="T192" s="183"/>
      <c r="U192" s="165"/>
      <c r="V192" s="165"/>
      <c r="W192" s="165"/>
      <c r="X192" s="165"/>
      <c r="Y192" s="165"/>
      <c r="Z192" s="165"/>
      <c r="AA192" s="165"/>
      <c r="AB192" s="165"/>
      <c r="AC192" s="165"/>
      <c r="AD192" s="165"/>
      <c r="AE192" s="165"/>
      <c r="AF192" s="165"/>
      <c r="AG192" s="165"/>
      <c r="AH192" s="167"/>
      <c r="AI192" s="167"/>
      <c r="AJ192" s="167"/>
      <c r="AK192" s="167"/>
      <c r="AL192" s="167"/>
    </row>
    <row r="193" spans="1:38" ht="19.5" customHeight="1" thickBot="1">
      <c r="A193" s="165"/>
      <c r="B193" s="314"/>
      <c r="C193" s="165"/>
      <c r="D193" s="165"/>
      <c r="E193" s="165"/>
      <c r="F193" s="165"/>
      <c r="G193" s="165"/>
      <c r="H193" s="165"/>
      <c r="I193" s="165"/>
      <c r="J193" s="165"/>
      <c r="K193" s="165"/>
      <c r="L193" s="165"/>
      <c r="M193" s="165"/>
      <c r="N193" s="165"/>
      <c r="O193" s="165"/>
      <c r="P193" s="165"/>
      <c r="Q193" s="165"/>
      <c r="R193" s="165"/>
      <c r="S193" s="165"/>
      <c r="T193" s="183"/>
      <c r="U193" s="165"/>
      <c r="V193" s="165"/>
      <c r="W193" s="165"/>
      <c r="X193" s="165"/>
      <c r="Y193" s="165"/>
      <c r="Z193" s="165"/>
      <c r="AA193" s="165"/>
      <c r="AB193" s="165"/>
      <c r="AC193" s="165"/>
      <c r="AD193" s="165"/>
      <c r="AE193" s="165"/>
      <c r="AF193" s="165"/>
      <c r="AG193" s="165"/>
      <c r="AH193" s="165"/>
      <c r="AI193" s="165"/>
      <c r="AJ193" s="165"/>
      <c r="AK193" s="165"/>
      <c r="AL193" s="165"/>
    </row>
    <row r="194" spans="1:38" ht="19.5" customHeight="1">
      <c r="A194" s="165"/>
      <c r="B194" s="345" t="s">
        <v>372</v>
      </c>
      <c r="C194" s="347" t="s">
        <v>373</v>
      </c>
      <c r="D194" s="295"/>
      <c r="E194" s="295"/>
      <c r="F194" s="295"/>
      <c r="G194" s="295"/>
      <c r="H194" s="348"/>
      <c r="I194" s="347" t="s">
        <v>374</v>
      </c>
      <c r="J194" s="295"/>
      <c r="K194" s="295"/>
      <c r="L194" s="295"/>
      <c r="M194" s="348"/>
      <c r="N194" s="347" t="s">
        <v>375</v>
      </c>
      <c r="O194" s="295"/>
      <c r="P194" s="295"/>
      <c r="Q194" s="295"/>
      <c r="R194" s="295"/>
      <c r="S194" s="295"/>
      <c r="T194" s="200"/>
      <c r="U194" s="165"/>
      <c r="V194" s="165"/>
      <c r="W194" s="165"/>
      <c r="X194" s="165"/>
      <c r="Y194" s="165"/>
      <c r="Z194" s="165"/>
      <c r="AA194" s="165"/>
      <c r="AB194" s="165"/>
      <c r="AC194" s="165"/>
      <c r="AD194" s="165"/>
      <c r="AE194" s="165"/>
      <c r="AF194" s="165"/>
      <c r="AG194" s="165"/>
      <c r="AH194" s="165"/>
      <c r="AI194" s="165"/>
      <c r="AJ194" s="165"/>
      <c r="AK194" s="165"/>
      <c r="AL194" s="165"/>
    </row>
    <row r="195" spans="1:38" ht="19.5" customHeight="1">
      <c r="A195" s="165"/>
      <c r="B195" s="314"/>
      <c r="C195" s="201" t="s">
        <v>376</v>
      </c>
      <c r="D195" s="202"/>
      <c r="E195" s="202"/>
      <c r="F195" s="202"/>
      <c r="G195" s="202"/>
      <c r="H195" s="203"/>
      <c r="I195" s="201" t="s">
        <v>377</v>
      </c>
      <c r="J195" s="204"/>
      <c r="K195" s="204"/>
      <c r="L195" s="204"/>
      <c r="M195" s="205"/>
      <c r="N195" s="204"/>
      <c r="O195" s="204"/>
      <c r="P195" s="204"/>
      <c r="Q195" s="204"/>
      <c r="R195" s="204"/>
      <c r="S195" s="204"/>
      <c r="T195" s="206"/>
      <c r="U195" s="165"/>
      <c r="V195" s="165"/>
      <c r="W195" s="165"/>
      <c r="X195" s="165"/>
      <c r="Y195" s="165"/>
      <c r="Z195" s="165"/>
      <c r="AA195" s="165"/>
      <c r="AB195" s="165"/>
      <c r="AC195" s="165"/>
      <c r="AD195" s="165"/>
      <c r="AE195" s="165"/>
      <c r="AF195" s="165"/>
      <c r="AG195" s="165"/>
      <c r="AH195" s="165"/>
      <c r="AI195" s="165"/>
      <c r="AJ195" s="165"/>
      <c r="AK195" s="165"/>
      <c r="AL195" s="165"/>
    </row>
    <row r="196" spans="1:38" ht="19.5" customHeight="1">
      <c r="A196" s="165"/>
      <c r="B196" s="314"/>
      <c r="C196" s="201" t="s">
        <v>378</v>
      </c>
      <c r="D196" s="207"/>
      <c r="E196" s="207"/>
      <c r="F196" s="207"/>
      <c r="G196" s="207"/>
      <c r="H196" s="207"/>
      <c r="I196" s="201" t="s">
        <v>377</v>
      </c>
      <c r="J196" s="207"/>
      <c r="K196" s="207"/>
      <c r="L196" s="207"/>
      <c r="M196" s="208"/>
      <c r="N196" s="209" t="s">
        <v>379</v>
      </c>
      <c r="O196" s="207"/>
      <c r="P196" s="207"/>
      <c r="Q196" s="207"/>
      <c r="R196" s="207"/>
      <c r="S196" s="207"/>
      <c r="T196" s="210"/>
      <c r="U196" s="165"/>
      <c r="V196" s="165"/>
      <c r="W196" s="165"/>
      <c r="X196" s="165"/>
      <c r="Y196" s="165"/>
      <c r="Z196" s="165"/>
      <c r="AA196" s="165"/>
      <c r="AB196" s="165"/>
      <c r="AC196" s="165"/>
      <c r="AD196" s="165"/>
      <c r="AE196" s="165"/>
      <c r="AF196" s="165"/>
      <c r="AG196" s="165"/>
      <c r="AH196" s="165"/>
      <c r="AI196" s="165"/>
      <c r="AJ196" s="165"/>
      <c r="AK196" s="165"/>
      <c r="AL196" s="165"/>
    </row>
    <row r="197" spans="1:38" ht="19.5" customHeight="1">
      <c r="A197" s="165"/>
      <c r="B197" s="314"/>
      <c r="C197" s="201" t="s">
        <v>380</v>
      </c>
      <c r="D197" s="207"/>
      <c r="E197" s="207"/>
      <c r="F197" s="207"/>
      <c r="G197" s="207"/>
      <c r="H197" s="207"/>
      <c r="I197" s="201" t="s">
        <v>377</v>
      </c>
      <c r="J197" s="207"/>
      <c r="K197" s="207"/>
      <c r="L197" s="207"/>
      <c r="M197" s="208"/>
      <c r="N197" s="211" t="s">
        <v>381</v>
      </c>
      <c r="O197" s="211"/>
      <c r="P197" s="207"/>
      <c r="Q197" s="207"/>
      <c r="R197" s="207"/>
      <c r="S197" s="207"/>
      <c r="T197" s="210"/>
      <c r="U197" s="165"/>
      <c r="V197" s="165"/>
      <c r="W197" s="165"/>
      <c r="X197" s="165"/>
      <c r="Y197" s="165"/>
      <c r="Z197" s="165"/>
      <c r="AA197" s="165"/>
      <c r="AB197" s="165"/>
      <c r="AC197" s="165"/>
      <c r="AD197" s="165"/>
      <c r="AE197" s="165"/>
      <c r="AF197" s="165"/>
      <c r="AG197" s="165"/>
      <c r="AH197" s="165"/>
      <c r="AI197" s="165"/>
      <c r="AJ197" s="165"/>
      <c r="AK197" s="165"/>
      <c r="AL197" s="165"/>
    </row>
    <row r="198" spans="1:38" ht="19.5" customHeight="1">
      <c r="A198" s="165"/>
      <c r="B198" s="314"/>
      <c r="C198" s="201" t="s">
        <v>382</v>
      </c>
      <c r="D198" s="211"/>
      <c r="E198" s="211"/>
      <c r="F198" s="211"/>
      <c r="G198" s="211"/>
      <c r="H198" s="212"/>
      <c r="I198" s="213" t="s">
        <v>377</v>
      </c>
      <c r="J198" s="207"/>
      <c r="K198" s="207"/>
      <c r="L198" s="207"/>
      <c r="M198" s="212"/>
      <c r="N198" s="214" t="s">
        <v>383</v>
      </c>
      <c r="O198" s="207"/>
      <c r="P198" s="211"/>
      <c r="Q198" s="211"/>
      <c r="R198" s="211"/>
      <c r="S198" s="211"/>
      <c r="T198" s="215"/>
      <c r="U198" s="165"/>
      <c r="V198" s="165"/>
      <c r="W198" s="165"/>
      <c r="X198" s="165"/>
      <c r="Y198" s="165"/>
      <c r="Z198" s="165"/>
      <c r="AA198" s="165"/>
      <c r="AB198" s="165"/>
      <c r="AC198" s="165"/>
      <c r="AD198" s="165"/>
      <c r="AE198" s="165"/>
      <c r="AF198" s="165"/>
      <c r="AG198" s="165"/>
      <c r="AH198" s="165"/>
      <c r="AI198" s="165"/>
      <c r="AJ198" s="165"/>
      <c r="AK198" s="165"/>
      <c r="AL198" s="165"/>
    </row>
    <row r="199" spans="1:38" ht="19.5" customHeight="1">
      <c r="A199" s="165"/>
      <c r="B199" s="314"/>
      <c r="C199" s="201" t="s">
        <v>384</v>
      </c>
      <c r="D199" s="207"/>
      <c r="E199" s="207"/>
      <c r="F199" s="207"/>
      <c r="G199" s="207"/>
      <c r="H199" s="207"/>
      <c r="I199" s="201" t="s">
        <v>377</v>
      </c>
      <c r="J199" s="207"/>
      <c r="K199" s="207"/>
      <c r="L199" s="207"/>
      <c r="M199" s="208"/>
      <c r="N199" s="211"/>
      <c r="O199" s="211"/>
      <c r="P199" s="207"/>
      <c r="Q199" s="207"/>
      <c r="R199" s="207"/>
      <c r="S199" s="207"/>
      <c r="T199" s="210"/>
      <c r="U199" s="165"/>
      <c r="V199" s="165"/>
      <c r="W199" s="165"/>
      <c r="X199" s="165"/>
      <c r="Y199" s="165"/>
      <c r="Z199" s="165"/>
      <c r="AA199" s="165"/>
      <c r="AB199" s="165"/>
      <c r="AC199" s="165"/>
      <c r="AD199" s="165"/>
      <c r="AE199" s="165"/>
      <c r="AF199" s="165"/>
      <c r="AG199" s="165"/>
      <c r="AH199" s="165"/>
      <c r="AI199" s="165"/>
      <c r="AJ199" s="165"/>
      <c r="AK199" s="165"/>
      <c r="AL199" s="165"/>
    </row>
    <row r="200" spans="1:38" ht="19.5" customHeight="1">
      <c r="A200" s="165"/>
      <c r="B200" s="314"/>
      <c r="C200" s="201" t="s">
        <v>385</v>
      </c>
      <c r="D200" s="211"/>
      <c r="E200" s="211"/>
      <c r="F200" s="211"/>
      <c r="G200" s="211"/>
      <c r="H200" s="212"/>
      <c r="I200" s="213" t="s">
        <v>377</v>
      </c>
      <c r="J200" s="207"/>
      <c r="K200" s="207"/>
      <c r="L200" s="207"/>
      <c r="M200" s="212"/>
      <c r="N200" s="207"/>
      <c r="O200" s="207"/>
      <c r="P200" s="211"/>
      <c r="Q200" s="211"/>
      <c r="R200" s="211"/>
      <c r="S200" s="211"/>
      <c r="T200" s="215"/>
      <c r="U200" s="165"/>
      <c r="V200" s="165"/>
      <c r="W200" s="165"/>
      <c r="X200" s="165"/>
      <c r="Y200" s="165"/>
      <c r="Z200" s="165"/>
      <c r="AA200" s="165"/>
      <c r="AB200" s="165"/>
      <c r="AC200" s="165"/>
      <c r="AD200" s="165"/>
      <c r="AE200" s="165"/>
      <c r="AF200" s="165"/>
      <c r="AG200" s="165"/>
      <c r="AH200" s="165"/>
      <c r="AI200" s="165"/>
      <c r="AJ200" s="165"/>
      <c r="AK200" s="165"/>
      <c r="AL200" s="165"/>
    </row>
    <row r="201" spans="1:38" ht="19.5" customHeight="1">
      <c r="A201" s="165"/>
      <c r="B201" s="314"/>
      <c r="C201" s="201"/>
      <c r="D201" s="207"/>
      <c r="E201" s="207"/>
      <c r="F201" s="207"/>
      <c r="G201" s="207"/>
      <c r="H201" s="208"/>
      <c r="I201" s="201"/>
      <c r="J201" s="207"/>
      <c r="K201" s="207"/>
      <c r="L201" s="207"/>
      <c r="M201" s="208"/>
      <c r="N201" s="207"/>
      <c r="O201" s="207"/>
      <c r="P201" s="207"/>
      <c r="Q201" s="207"/>
      <c r="R201" s="207"/>
      <c r="S201" s="207"/>
      <c r="T201" s="210"/>
      <c r="U201" s="165"/>
      <c r="V201" s="165"/>
      <c r="W201" s="165"/>
      <c r="X201" s="165"/>
      <c r="Y201" s="165"/>
      <c r="Z201" s="165"/>
      <c r="AA201" s="165"/>
      <c r="AB201" s="165"/>
      <c r="AC201" s="165"/>
      <c r="AD201" s="165"/>
      <c r="AE201" s="165"/>
      <c r="AF201" s="165"/>
      <c r="AG201" s="165"/>
      <c r="AH201" s="165"/>
      <c r="AI201" s="165"/>
      <c r="AJ201" s="165"/>
      <c r="AK201" s="165"/>
      <c r="AL201" s="165"/>
    </row>
    <row r="202" spans="1:38" ht="19.5" customHeight="1">
      <c r="A202" s="165"/>
      <c r="B202" s="314"/>
      <c r="C202" s="201"/>
      <c r="D202" s="207"/>
      <c r="E202" s="207"/>
      <c r="F202" s="207"/>
      <c r="G202" s="207"/>
      <c r="H202" s="208"/>
      <c r="I202" s="201"/>
      <c r="J202" s="207"/>
      <c r="K202" s="207"/>
      <c r="L202" s="207"/>
      <c r="M202" s="208"/>
      <c r="N202" s="207"/>
      <c r="O202" s="207"/>
      <c r="P202" s="207"/>
      <c r="Q202" s="207"/>
      <c r="R202" s="207"/>
      <c r="S202" s="207"/>
      <c r="T202" s="210"/>
      <c r="U202" s="165"/>
      <c r="V202" s="165"/>
      <c r="W202" s="165"/>
      <c r="X202" s="165"/>
      <c r="Y202" s="165"/>
      <c r="Z202" s="165"/>
      <c r="AA202" s="165"/>
      <c r="AB202" s="165"/>
      <c r="AC202" s="165"/>
      <c r="AD202" s="165"/>
      <c r="AE202" s="165"/>
      <c r="AF202" s="165"/>
      <c r="AG202" s="165"/>
      <c r="AH202" s="165"/>
      <c r="AI202" s="165"/>
      <c r="AJ202" s="165"/>
      <c r="AK202" s="165"/>
      <c r="AL202" s="165"/>
    </row>
    <row r="203" spans="1:38" ht="13.5" customHeight="1" thickBot="1">
      <c r="A203" s="165"/>
      <c r="B203" s="346"/>
      <c r="C203" s="216"/>
      <c r="D203" s="217"/>
      <c r="E203" s="217"/>
      <c r="F203" s="217"/>
      <c r="G203" s="217"/>
      <c r="H203" s="218"/>
      <c r="I203" s="216"/>
      <c r="J203" s="217"/>
      <c r="K203" s="217"/>
      <c r="L203" s="217"/>
      <c r="M203" s="218"/>
      <c r="N203" s="217"/>
      <c r="O203" s="217"/>
      <c r="P203" s="217"/>
      <c r="Q203" s="217"/>
      <c r="R203" s="217"/>
      <c r="S203" s="217"/>
      <c r="T203" s="219"/>
      <c r="U203" s="165"/>
      <c r="V203" s="165"/>
      <c r="W203" s="165"/>
      <c r="X203" s="165"/>
      <c r="Y203" s="165"/>
      <c r="Z203" s="165"/>
      <c r="AA203" s="165"/>
      <c r="AB203" s="165"/>
      <c r="AC203" s="165"/>
      <c r="AD203" s="165"/>
      <c r="AE203" s="165"/>
      <c r="AF203" s="165"/>
      <c r="AG203" s="165"/>
      <c r="AH203" s="165"/>
      <c r="AI203" s="165"/>
      <c r="AJ203" s="165"/>
      <c r="AK203" s="165"/>
      <c r="AL203" s="165"/>
    </row>
    <row r="204" spans="1:38" ht="13.5" customHeight="1">
      <c r="A204" s="165"/>
      <c r="B204" s="220" t="s">
        <v>386</v>
      </c>
      <c r="C204" s="349"/>
      <c r="D204" s="295"/>
      <c r="E204" s="295"/>
      <c r="F204" s="295"/>
      <c r="G204" s="295"/>
      <c r="H204" s="295"/>
      <c r="I204" s="295"/>
      <c r="J204" s="295"/>
      <c r="K204" s="348"/>
      <c r="L204" s="347" t="s">
        <v>387</v>
      </c>
      <c r="M204" s="295"/>
      <c r="N204" s="295"/>
      <c r="O204" s="348"/>
      <c r="P204" s="350" t="s">
        <v>388</v>
      </c>
      <c r="Q204" s="306"/>
      <c r="R204" s="306"/>
      <c r="S204" s="221"/>
      <c r="T204" s="222"/>
      <c r="U204" s="165"/>
      <c r="V204" s="165"/>
      <c r="W204" s="165"/>
      <c r="X204" s="165"/>
      <c r="Y204" s="165"/>
      <c r="Z204" s="165"/>
      <c r="AA204" s="165"/>
      <c r="AB204" s="165"/>
      <c r="AC204" s="165"/>
      <c r="AD204" s="165"/>
      <c r="AE204" s="165"/>
      <c r="AF204" s="165"/>
      <c r="AG204" s="165"/>
      <c r="AH204" s="165"/>
      <c r="AI204" s="165"/>
      <c r="AJ204" s="165"/>
      <c r="AK204" s="165"/>
      <c r="AL204" s="165"/>
    </row>
    <row r="205" spans="1:38" ht="17.25" customHeight="1">
      <c r="A205" s="165"/>
      <c r="B205" s="223" t="s">
        <v>389</v>
      </c>
      <c r="C205" s="351"/>
      <c r="D205" s="352"/>
      <c r="E205" s="352"/>
      <c r="F205" s="352"/>
      <c r="G205" s="352"/>
      <c r="H205" s="352"/>
      <c r="I205" s="352"/>
      <c r="J205" s="352"/>
      <c r="K205" s="352"/>
      <c r="L205" s="352"/>
      <c r="M205" s="352"/>
      <c r="N205" s="352"/>
      <c r="O205" s="352"/>
      <c r="P205" s="352"/>
      <c r="Q205" s="352"/>
      <c r="R205" s="352"/>
      <c r="S205" s="352"/>
      <c r="T205" s="353"/>
      <c r="U205" s="165"/>
      <c r="V205" s="165"/>
      <c r="W205" s="165"/>
      <c r="X205" s="165"/>
      <c r="Y205" s="165"/>
      <c r="Z205" s="165"/>
      <c r="AA205" s="165"/>
      <c r="AB205" s="165"/>
      <c r="AC205" s="165"/>
      <c r="AD205" s="165"/>
      <c r="AE205" s="165"/>
      <c r="AF205" s="165"/>
      <c r="AG205" s="165"/>
      <c r="AH205" s="165"/>
      <c r="AI205" s="165"/>
      <c r="AJ205" s="165"/>
      <c r="AK205" s="165"/>
      <c r="AL205" s="165"/>
    </row>
    <row r="206" spans="1:38" ht="17.25" customHeight="1">
      <c r="A206" s="165"/>
      <c r="B206" s="354" t="s">
        <v>390</v>
      </c>
      <c r="C206" s="352"/>
      <c r="D206" s="355"/>
      <c r="E206" s="356" t="s">
        <v>391</v>
      </c>
      <c r="F206" s="352"/>
      <c r="G206" s="352"/>
      <c r="H206" s="352"/>
      <c r="I206" s="352"/>
      <c r="J206" s="352"/>
      <c r="K206" s="352"/>
      <c r="L206" s="352"/>
      <c r="M206" s="352"/>
      <c r="N206" s="352"/>
      <c r="O206" s="352"/>
      <c r="P206" s="352"/>
      <c r="Q206" s="352"/>
      <c r="R206" s="352"/>
      <c r="S206" s="352"/>
      <c r="T206" s="353"/>
      <c r="U206" s="165"/>
      <c r="V206" s="165"/>
      <c r="W206" s="165"/>
      <c r="X206" s="165"/>
      <c r="Y206" s="165"/>
      <c r="Z206" s="165"/>
      <c r="AA206" s="165"/>
      <c r="AB206" s="165"/>
      <c r="AC206" s="165"/>
      <c r="AD206" s="165"/>
      <c r="AE206" s="165"/>
      <c r="AF206" s="165"/>
      <c r="AG206" s="165"/>
      <c r="AH206" s="165"/>
      <c r="AI206" s="165"/>
      <c r="AJ206" s="165"/>
      <c r="AK206" s="165"/>
      <c r="AL206" s="165"/>
    </row>
    <row r="207" spans="1:38" ht="17.25" customHeight="1" thickBot="1">
      <c r="A207" s="165"/>
      <c r="B207" s="357" t="s">
        <v>392</v>
      </c>
      <c r="C207" s="309"/>
      <c r="D207" s="310"/>
      <c r="E207" s="358">
        <v>44227</v>
      </c>
      <c r="F207" s="309"/>
      <c r="G207" s="309"/>
      <c r="H207" s="309"/>
      <c r="I207" s="309"/>
      <c r="J207" s="309"/>
      <c r="K207" s="309"/>
      <c r="L207" s="309"/>
      <c r="M207" s="309"/>
      <c r="N207" s="309"/>
      <c r="O207" s="309"/>
      <c r="P207" s="309"/>
      <c r="Q207" s="309"/>
      <c r="R207" s="309"/>
      <c r="S207" s="309"/>
      <c r="T207" s="313"/>
      <c r="U207" s="165"/>
      <c r="V207" s="165"/>
      <c r="W207" s="165"/>
      <c r="X207" s="165"/>
      <c r="Y207" s="165"/>
      <c r="Z207" s="165"/>
      <c r="AA207" s="165"/>
      <c r="AB207" s="165"/>
      <c r="AC207" s="165"/>
      <c r="AD207" s="165"/>
      <c r="AE207" s="165"/>
      <c r="AF207" s="165"/>
      <c r="AG207" s="165"/>
      <c r="AH207" s="165"/>
      <c r="AI207" s="165"/>
      <c r="AJ207" s="165"/>
      <c r="AK207" s="165"/>
      <c r="AL207" s="165"/>
    </row>
    <row r="208" spans="1:38" ht="17.25" customHeight="1" thickBot="1">
      <c r="A208" s="165"/>
      <c r="B208" s="224" t="s">
        <v>393</v>
      </c>
      <c r="C208" s="359"/>
      <c r="D208" s="289"/>
      <c r="E208" s="289"/>
      <c r="F208" s="289"/>
      <c r="G208" s="289"/>
      <c r="H208" s="289"/>
      <c r="I208" s="289"/>
      <c r="J208" s="289"/>
      <c r="K208" s="289"/>
      <c r="L208" s="289"/>
      <c r="M208" s="289"/>
      <c r="N208" s="289"/>
      <c r="O208" s="289"/>
      <c r="P208" s="289"/>
      <c r="Q208" s="289"/>
      <c r="R208" s="289"/>
      <c r="S208" s="225"/>
      <c r="T208" s="226"/>
      <c r="U208" s="165"/>
      <c r="V208" s="165"/>
      <c r="W208" s="165"/>
      <c r="X208" s="165"/>
      <c r="Y208" s="165"/>
      <c r="Z208" s="165"/>
      <c r="AA208" s="165"/>
      <c r="AB208" s="165"/>
      <c r="AC208" s="165"/>
      <c r="AD208" s="165"/>
      <c r="AE208" s="165"/>
      <c r="AF208" s="165"/>
      <c r="AG208" s="165"/>
      <c r="AH208" s="165"/>
      <c r="AI208" s="165"/>
      <c r="AJ208" s="165"/>
      <c r="AK208" s="165"/>
      <c r="AL208" s="165"/>
    </row>
    <row r="209" spans="1:38" ht="17.25" customHeight="1">
      <c r="A209" s="165"/>
      <c r="B209" s="345" t="s">
        <v>394</v>
      </c>
      <c r="C209" s="347" t="s">
        <v>395</v>
      </c>
      <c r="D209" s="295"/>
      <c r="E209" s="348"/>
      <c r="F209" s="347" t="s">
        <v>396</v>
      </c>
      <c r="G209" s="348"/>
      <c r="H209" s="347" t="s">
        <v>397</v>
      </c>
      <c r="I209" s="348"/>
      <c r="J209" s="347" t="s">
        <v>398</v>
      </c>
      <c r="K209" s="348"/>
      <c r="L209" s="347" t="s">
        <v>399</v>
      </c>
      <c r="M209" s="348"/>
      <c r="N209" s="347" t="s">
        <v>400</v>
      </c>
      <c r="O209" s="348"/>
      <c r="P209" s="347" t="s">
        <v>401</v>
      </c>
      <c r="Q209" s="348"/>
      <c r="R209" s="347" t="s">
        <v>402</v>
      </c>
      <c r="S209" s="295"/>
      <c r="T209" s="296"/>
      <c r="U209" s="165"/>
      <c r="V209" s="165"/>
      <c r="W209" s="165"/>
      <c r="X209" s="165"/>
      <c r="Y209" s="165"/>
      <c r="Z209" s="165"/>
      <c r="AA209" s="165"/>
      <c r="AB209" s="165"/>
      <c r="AC209" s="165"/>
      <c r="AD209" s="165"/>
      <c r="AE209" s="165"/>
      <c r="AF209" s="165"/>
      <c r="AG209" s="165"/>
      <c r="AH209" s="165"/>
      <c r="AI209" s="165"/>
      <c r="AJ209" s="165"/>
      <c r="AK209" s="165"/>
      <c r="AL209" s="165"/>
    </row>
    <row r="210" spans="1:38" ht="17.25" customHeight="1">
      <c r="A210" s="165"/>
      <c r="B210" s="314"/>
      <c r="C210" s="366" t="s">
        <v>403</v>
      </c>
      <c r="D210" s="303"/>
      <c r="E210" s="367"/>
      <c r="F210" s="360"/>
      <c r="G210" s="367"/>
      <c r="H210" s="360"/>
      <c r="I210" s="367"/>
      <c r="J210" s="360"/>
      <c r="K210" s="367"/>
      <c r="L210" s="360"/>
      <c r="M210" s="367"/>
      <c r="N210" s="360"/>
      <c r="O210" s="367"/>
      <c r="P210" s="366"/>
      <c r="Q210" s="367"/>
      <c r="R210" s="360"/>
      <c r="S210" s="303"/>
      <c r="T210" s="304"/>
      <c r="U210" s="165"/>
      <c r="V210" s="165"/>
      <c r="W210" s="165"/>
      <c r="X210" s="165"/>
      <c r="Y210" s="165"/>
      <c r="Z210" s="165"/>
      <c r="AA210" s="165"/>
      <c r="AB210" s="165"/>
      <c r="AC210" s="165"/>
      <c r="AD210" s="165"/>
      <c r="AE210" s="165"/>
      <c r="AF210" s="165"/>
      <c r="AG210" s="165"/>
      <c r="AH210" s="165"/>
      <c r="AI210" s="165"/>
      <c r="AJ210" s="165"/>
      <c r="AK210" s="165"/>
      <c r="AL210" s="165"/>
    </row>
    <row r="211" spans="1:38" ht="17.25" customHeight="1" thickBot="1">
      <c r="A211" s="165"/>
      <c r="B211" s="346"/>
      <c r="C211" s="361"/>
      <c r="D211" s="287"/>
      <c r="E211" s="368"/>
      <c r="F211" s="361"/>
      <c r="G211" s="368"/>
      <c r="H211" s="361"/>
      <c r="I211" s="368"/>
      <c r="J211" s="361"/>
      <c r="K211" s="368"/>
      <c r="L211" s="361"/>
      <c r="M211" s="368"/>
      <c r="N211" s="361"/>
      <c r="O211" s="368"/>
      <c r="P211" s="361"/>
      <c r="Q211" s="368"/>
      <c r="R211" s="361"/>
      <c r="S211" s="287"/>
      <c r="T211" s="362"/>
      <c r="U211" s="165"/>
      <c r="V211" s="165"/>
      <c r="W211" s="165"/>
      <c r="X211" s="165"/>
      <c r="Y211" s="165"/>
      <c r="Z211" s="165"/>
      <c r="AA211" s="165"/>
      <c r="AB211" s="165"/>
      <c r="AC211" s="165"/>
      <c r="AD211" s="165"/>
      <c r="AE211" s="165"/>
      <c r="AF211" s="165"/>
      <c r="AG211" s="165"/>
      <c r="AH211" s="165"/>
      <c r="AI211" s="165"/>
      <c r="AJ211" s="165"/>
      <c r="AK211" s="165"/>
      <c r="AL211" s="165"/>
    </row>
    <row r="212" spans="1:38" ht="17.25" customHeight="1">
      <c r="A212" s="165"/>
      <c r="B212" s="227"/>
      <c r="C212" s="227"/>
      <c r="D212" s="227"/>
      <c r="E212" s="227"/>
      <c r="F212" s="227"/>
      <c r="G212" s="227"/>
      <c r="H212" s="227"/>
      <c r="I212" s="227"/>
      <c r="J212" s="227"/>
      <c r="K212" s="227"/>
      <c r="L212" s="227"/>
      <c r="M212" s="227"/>
      <c r="N212" s="227"/>
      <c r="O212" s="227"/>
      <c r="P212" s="227"/>
      <c r="Q212" s="227"/>
      <c r="R212" s="227"/>
      <c r="S212" s="227"/>
      <c r="T212" s="228" t="s">
        <v>404</v>
      </c>
      <c r="U212" s="165"/>
      <c r="V212" s="165"/>
      <c r="W212" s="165"/>
      <c r="X212" s="165"/>
      <c r="Y212" s="165"/>
      <c r="Z212" s="165"/>
      <c r="AA212" s="165"/>
      <c r="AB212" s="165"/>
      <c r="AC212" s="165"/>
      <c r="AD212" s="165"/>
      <c r="AE212" s="165"/>
      <c r="AF212" s="165"/>
      <c r="AG212" s="165"/>
      <c r="AH212" s="165"/>
      <c r="AI212" s="165"/>
      <c r="AJ212" s="165"/>
      <c r="AK212" s="165"/>
      <c r="AL212" s="165"/>
    </row>
    <row r="213" spans="1:38" ht="18" customHeight="1">
      <c r="A213" s="165"/>
      <c r="B213" s="187" t="s">
        <v>405</v>
      </c>
      <c r="C213" s="363" t="s">
        <v>406</v>
      </c>
      <c r="D213" s="364"/>
      <c r="E213" s="165" t="s">
        <v>407</v>
      </c>
      <c r="F213" s="165"/>
      <c r="G213" s="165"/>
      <c r="H213" s="165"/>
      <c r="I213" s="165"/>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row>
    <row r="214" spans="1:38" ht="18" customHeight="1">
      <c r="A214" s="165"/>
      <c r="B214" s="187">
        <v>1</v>
      </c>
      <c r="C214" s="365">
        <v>40466</v>
      </c>
      <c r="D214" s="364"/>
      <c r="E214" s="165" t="s">
        <v>408</v>
      </c>
      <c r="F214" s="165"/>
      <c r="G214" s="165"/>
      <c r="H214" s="165"/>
      <c r="I214" s="165"/>
      <c r="J214" s="165"/>
      <c r="K214" s="165"/>
      <c r="L214" s="165"/>
      <c r="M214" s="165"/>
      <c r="N214" s="165"/>
      <c r="O214" s="165"/>
      <c r="P214" s="165"/>
      <c r="Q214" s="165"/>
      <c r="R214" s="165"/>
      <c r="S214" s="165"/>
      <c r="T214" s="165"/>
      <c r="U214" s="165"/>
      <c r="V214" s="165"/>
      <c r="W214" s="165"/>
      <c r="X214" s="165"/>
      <c r="Y214" s="165"/>
      <c r="Z214" s="165"/>
      <c r="AA214" s="165"/>
      <c r="AB214" s="165"/>
      <c r="AC214" s="165"/>
      <c r="AD214" s="165"/>
      <c r="AE214" s="165"/>
      <c r="AF214" s="165"/>
      <c r="AG214" s="165"/>
      <c r="AH214" s="165"/>
      <c r="AI214" s="165"/>
      <c r="AJ214" s="165"/>
      <c r="AK214" s="165"/>
      <c r="AL214" s="165"/>
    </row>
    <row r="215" spans="1:38" ht="18" customHeight="1">
      <c r="A215" s="165"/>
      <c r="B215" s="187">
        <v>2</v>
      </c>
      <c r="C215" s="365">
        <v>42773</v>
      </c>
      <c r="D215" s="364"/>
      <c r="E215" s="165" t="s">
        <v>409</v>
      </c>
      <c r="F215" s="229"/>
      <c r="G215" s="229"/>
      <c r="H215" s="229"/>
      <c r="I215" s="229"/>
      <c r="J215" s="229"/>
      <c r="K215" s="229"/>
      <c r="L215" s="229"/>
      <c r="M215" s="229"/>
      <c r="N215" s="229"/>
      <c r="O215" s="229"/>
      <c r="P215" s="229"/>
      <c r="Q215" s="229"/>
      <c r="R215" s="229"/>
      <c r="S215" s="229"/>
      <c r="T215" s="229"/>
      <c r="U215" s="165"/>
      <c r="V215" s="165"/>
      <c r="W215" s="165"/>
      <c r="X215" s="165"/>
      <c r="Y215" s="165"/>
      <c r="Z215" s="165"/>
      <c r="AA215" s="165"/>
      <c r="AB215" s="165"/>
      <c r="AC215" s="165"/>
      <c r="AD215" s="165"/>
      <c r="AE215" s="165"/>
      <c r="AF215" s="165"/>
      <c r="AG215" s="165"/>
      <c r="AH215" s="165"/>
      <c r="AI215" s="165"/>
      <c r="AJ215" s="165"/>
      <c r="AK215" s="165"/>
      <c r="AL215" s="165"/>
    </row>
    <row r="216" spans="1:38" ht="18" customHeight="1">
      <c r="A216" s="165"/>
      <c r="B216" s="187">
        <v>3</v>
      </c>
      <c r="C216" s="365">
        <v>43088</v>
      </c>
      <c r="D216" s="364"/>
      <c r="E216" s="227" t="s">
        <v>410</v>
      </c>
      <c r="F216" s="227"/>
      <c r="G216" s="227"/>
      <c r="H216" s="227"/>
      <c r="I216" s="227"/>
      <c r="J216" s="227"/>
      <c r="K216" s="227"/>
      <c r="L216" s="227"/>
      <c r="M216" s="227"/>
      <c r="N216" s="227"/>
      <c r="O216" s="227"/>
      <c r="P216" s="227"/>
      <c r="Q216" s="227"/>
      <c r="R216" s="227"/>
      <c r="S216" s="227"/>
      <c r="T216" s="227"/>
      <c r="U216" s="165"/>
      <c r="V216" s="165"/>
      <c r="W216" s="165"/>
      <c r="X216" s="165"/>
      <c r="Y216" s="165"/>
      <c r="Z216" s="165"/>
      <c r="AA216" s="165"/>
      <c r="AB216" s="165"/>
      <c r="AC216" s="165"/>
      <c r="AD216" s="165"/>
      <c r="AE216" s="165"/>
      <c r="AF216" s="165"/>
      <c r="AG216" s="165"/>
      <c r="AH216" s="165"/>
      <c r="AI216" s="165"/>
      <c r="AJ216" s="165"/>
      <c r="AK216" s="165"/>
      <c r="AL216" s="165"/>
    </row>
    <row r="217" spans="1:38" ht="18" customHeight="1">
      <c r="A217" s="165"/>
      <c r="B217" s="187"/>
      <c r="C217" s="365"/>
      <c r="D217" s="364"/>
      <c r="E217" s="227"/>
      <c r="F217" s="227"/>
      <c r="G217" s="227"/>
      <c r="H217" s="227"/>
      <c r="I217" s="227"/>
      <c r="J217" s="227"/>
      <c r="K217" s="227"/>
      <c r="L217" s="227"/>
      <c r="M217" s="227"/>
      <c r="N217" s="227"/>
      <c r="O217" s="227"/>
      <c r="P217" s="227"/>
      <c r="Q217" s="227"/>
      <c r="R217" s="227"/>
      <c r="S217" s="227"/>
      <c r="T217" s="227"/>
      <c r="U217" s="165"/>
      <c r="V217" s="165"/>
      <c r="W217" s="165"/>
      <c r="X217" s="165"/>
      <c r="Y217" s="165"/>
      <c r="Z217" s="165"/>
      <c r="AA217" s="165"/>
      <c r="AB217" s="165"/>
      <c r="AC217" s="165"/>
      <c r="AD217" s="165"/>
      <c r="AE217" s="165"/>
      <c r="AF217" s="165"/>
      <c r="AG217" s="165"/>
      <c r="AH217" s="165"/>
      <c r="AI217" s="165"/>
      <c r="AJ217" s="165"/>
      <c r="AK217" s="165"/>
      <c r="AL217" s="165"/>
    </row>
    <row r="218" spans="1:38" ht="19.5" customHeight="1">
      <c r="A218" s="165"/>
      <c r="B218" s="227"/>
      <c r="C218" s="227"/>
      <c r="D218" s="227"/>
      <c r="E218" s="227"/>
      <c r="F218" s="227"/>
      <c r="G218" s="227"/>
      <c r="H218" s="227"/>
      <c r="I218" s="227"/>
      <c r="J218" s="227"/>
      <c r="K218" s="227"/>
      <c r="L218" s="227"/>
      <c r="M218" s="227"/>
      <c r="N218" s="227"/>
      <c r="O218" s="227"/>
      <c r="P218" s="227"/>
      <c r="Q218" s="227"/>
      <c r="R218" s="227"/>
      <c r="S218" s="227"/>
      <c r="T218" s="227"/>
      <c r="U218" s="165"/>
      <c r="V218" s="165"/>
      <c r="W218" s="165"/>
      <c r="X218" s="165"/>
      <c r="Y218" s="165"/>
      <c r="Z218" s="165"/>
      <c r="AA218" s="165"/>
      <c r="AB218" s="165"/>
      <c r="AC218" s="165"/>
      <c r="AD218" s="165"/>
      <c r="AE218" s="165"/>
      <c r="AF218" s="165"/>
      <c r="AG218" s="165"/>
      <c r="AH218" s="165"/>
      <c r="AI218" s="165"/>
      <c r="AJ218" s="165"/>
      <c r="AK218" s="165"/>
      <c r="AL218" s="165"/>
    </row>
    <row r="219" spans="1:38" ht="19.5" customHeight="1">
      <c r="A219" s="165"/>
      <c r="B219" s="227"/>
      <c r="C219" s="227"/>
      <c r="D219" s="227"/>
      <c r="E219" s="227"/>
      <c r="F219" s="227"/>
      <c r="G219" s="227"/>
      <c r="H219" s="227"/>
      <c r="I219" s="227"/>
      <c r="J219" s="227"/>
      <c r="K219" s="227"/>
      <c r="L219" s="227"/>
      <c r="M219" s="227"/>
      <c r="N219" s="227"/>
      <c r="O219" s="227"/>
      <c r="P219" s="227"/>
      <c r="Q219" s="227"/>
      <c r="R219" s="227"/>
      <c r="S219" s="227"/>
      <c r="T219" s="227"/>
      <c r="U219" s="165"/>
      <c r="V219" s="165"/>
      <c r="W219" s="165"/>
      <c r="X219" s="165"/>
      <c r="Y219" s="165"/>
      <c r="Z219" s="165"/>
      <c r="AA219" s="165"/>
      <c r="AB219" s="165"/>
      <c r="AC219" s="165"/>
      <c r="AD219" s="165"/>
      <c r="AE219" s="165"/>
      <c r="AF219" s="165"/>
      <c r="AG219" s="165"/>
      <c r="AH219" s="165"/>
      <c r="AI219" s="165"/>
      <c r="AJ219" s="165"/>
      <c r="AK219" s="165"/>
      <c r="AL219" s="165"/>
    </row>
    <row r="220" spans="1:38" ht="19.5" customHeight="1">
      <c r="A220" s="165"/>
      <c r="B220" s="227"/>
      <c r="C220" s="227"/>
      <c r="D220" s="227"/>
      <c r="E220" s="227"/>
      <c r="F220" s="227"/>
      <c r="G220" s="227"/>
      <c r="H220" s="227"/>
      <c r="I220" s="227"/>
      <c r="J220" s="227"/>
      <c r="K220" s="227"/>
      <c r="L220" s="227"/>
      <c r="M220" s="227"/>
      <c r="N220" s="227"/>
      <c r="O220" s="227"/>
      <c r="P220" s="227"/>
      <c r="Q220" s="227"/>
      <c r="R220" s="227"/>
      <c r="S220" s="227"/>
      <c r="T220" s="227"/>
      <c r="U220" s="165"/>
      <c r="V220" s="165"/>
      <c r="W220" s="165"/>
      <c r="X220" s="165"/>
      <c r="Y220" s="165"/>
      <c r="Z220" s="165"/>
      <c r="AA220" s="165"/>
      <c r="AB220" s="165"/>
      <c r="AC220" s="165"/>
      <c r="AD220" s="165"/>
      <c r="AE220" s="165"/>
      <c r="AF220" s="165"/>
      <c r="AG220" s="165"/>
      <c r="AH220" s="165"/>
      <c r="AI220" s="165"/>
      <c r="AJ220" s="165"/>
      <c r="AK220" s="165"/>
      <c r="AL220" s="165"/>
    </row>
    <row r="221" spans="1:38" ht="18.75" customHeight="1">
      <c r="A221" s="227"/>
      <c r="B221" s="227"/>
      <c r="C221" s="227"/>
      <c r="D221" s="227"/>
      <c r="E221" s="227"/>
      <c r="F221" s="227"/>
      <c r="G221" s="227"/>
      <c r="H221" s="227"/>
      <c r="I221" s="227"/>
      <c r="J221" s="227"/>
      <c r="K221" s="227"/>
      <c r="L221" s="227"/>
      <c r="M221" s="227"/>
      <c r="N221" s="227"/>
      <c r="O221" s="227"/>
      <c r="P221" s="227"/>
      <c r="Q221" s="227"/>
      <c r="R221" s="227"/>
      <c r="S221" s="227"/>
      <c r="T221" s="227"/>
      <c r="U221" s="165"/>
      <c r="V221" s="165"/>
      <c r="W221" s="165"/>
      <c r="X221" s="165"/>
      <c r="Y221" s="165"/>
      <c r="Z221" s="165"/>
      <c r="AA221" s="165"/>
      <c r="AB221" s="165"/>
      <c r="AC221" s="165"/>
      <c r="AD221" s="165"/>
      <c r="AE221" s="165"/>
      <c r="AF221" s="165"/>
      <c r="AG221" s="165"/>
      <c r="AH221" s="165"/>
      <c r="AI221" s="165"/>
      <c r="AJ221" s="165"/>
      <c r="AK221" s="165"/>
      <c r="AL221" s="165"/>
    </row>
    <row r="222" spans="1:38" ht="18.75" customHeight="1">
      <c r="A222" s="227"/>
      <c r="B222" s="227"/>
      <c r="C222" s="227"/>
      <c r="D222" s="227"/>
      <c r="E222" s="227"/>
      <c r="F222" s="227"/>
      <c r="G222" s="227"/>
      <c r="H222" s="227"/>
      <c r="I222" s="227"/>
      <c r="J222" s="227"/>
      <c r="K222" s="227"/>
      <c r="L222" s="227"/>
      <c r="M222" s="227"/>
      <c r="N222" s="227"/>
      <c r="O222" s="227"/>
      <c r="P222" s="227"/>
      <c r="Q222" s="227"/>
      <c r="R222" s="227"/>
      <c r="S222" s="227"/>
      <c r="T222" s="227"/>
      <c r="U222" s="165"/>
      <c r="V222" s="165"/>
      <c r="W222" s="165"/>
      <c r="X222" s="165"/>
      <c r="Y222" s="165"/>
      <c r="Z222" s="165"/>
      <c r="AA222" s="165"/>
      <c r="AB222" s="165"/>
      <c r="AC222" s="165"/>
      <c r="AD222" s="165"/>
      <c r="AE222" s="165"/>
      <c r="AF222" s="165"/>
      <c r="AG222" s="165"/>
      <c r="AH222" s="165"/>
      <c r="AI222" s="165"/>
      <c r="AJ222" s="165"/>
      <c r="AK222" s="165"/>
      <c r="AL222" s="165"/>
    </row>
    <row r="223" spans="1:38" ht="14.25" customHeight="1">
      <c r="A223" s="227"/>
      <c r="B223" s="227"/>
      <c r="C223" s="227"/>
      <c r="D223" s="227"/>
      <c r="E223" s="227"/>
      <c r="F223" s="227"/>
      <c r="G223" s="227"/>
      <c r="H223" s="227"/>
      <c r="I223" s="227"/>
      <c r="J223" s="227"/>
      <c r="K223" s="227"/>
      <c r="L223" s="227"/>
      <c r="M223" s="227"/>
      <c r="N223" s="227"/>
      <c r="O223" s="227"/>
      <c r="P223" s="227"/>
      <c r="Q223" s="227"/>
      <c r="R223" s="227"/>
      <c r="S223" s="227"/>
      <c r="T223" s="227"/>
      <c r="U223" s="165"/>
      <c r="V223" s="165"/>
      <c r="W223" s="165"/>
      <c r="X223" s="165"/>
      <c r="Y223" s="165"/>
      <c r="Z223" s="165"/>
      <c r="AA223" s="165"/>
      <c r="AB223" s="165"/>
      <c r="AC223" s="165"/>
      <c r="AD223" s="165"/>
      <c r="AE223" s="165"/>
      <c r="AF223" s="165"/>
      <c r="AG223" s="165"/>
      <c r="AH223" s="165"/>
      <c r="AI223" s="165"/>
      <c r="AJ223" s="165"/>
      <c r="AK223" s="165"/>
      <c r="AL223" s="165"/>
    </row>
    <row r="224" spans="1:38" ht="13.5" customHeight="1">
      <c r="A224" s="227"/>
      <c r="B224" s="227"/>
      <c r="C224" s="227"/>
      <c r="D224" s="227"/>
      <c r="E224" s="227"/>
      <c r="F224" s="227"/>
      <c r="G224" s="227"/>
      <c r="H224" s="227"/>
      <c r="I224" s="227"/>
      <c r="J224" s="227"/>
      <c r="K224" s="227"/>
      <c r="L224" s="227"/>
      <c r="M224" s="227"/>
      <c r="N224" s="227"/>
      <c r="O224" s="227"/>
      <c r="P224" s="227"/>
      <c r="Q224" s="227"/>
      <c r="R224" s="227"/>
      <c r="S224" s="227"/>
      <c r="T224" s="227"/>
      <c r="U224" s="229"/>
      <c r="V224" s="229"/>
      <c r="W224" s="229"/>
      <c r="X224" s="229"/>
      <c r="Y224" s="229"/>
      <c r="Z224" s="229"/>
      <c r="AA224" s="229"/>
      <c r="AB224" s="229"/>
      <c r="AC224" s="229"/>
      <c r="AD224" s="229"/>
      <c r="AE224" s="229"/>
      <c r="AF224" s="229"/>
      <c r="AG224" s="229"/>
      <c r="AH224" s="229"/>
      <c r="AI224" s="229"/>
      <c r="AJ224" s="229"/>
      <c r="AK224" s="229"/>
      <c r="AL224" s="229"/>
    </row>
    <row r="225" spans="1:38" ht="13.5" customHeight="1">
      <c r="A225" s="227"/>
      <c r="B225" s="227"/>
      <c r="C225" s="227"/>
      <c r="D225" s="227"/>
      <c r="E225" s="227"/>
      <c r="F225" s="227"/>
      <c r="G225" s="227"/>
      <c r="H225" s="227"/>
      <c r="I225" s="227"/>
      <c r="J225" s="227"/>
      <c r="K225" s="227"/>
      <c r="L225" s="227"/>
      <c r="M225" s="227"/>
      <c r="N225" s="227"/>
      <c r="O225" s="227"/>
      <c r="P225" s="227"/>
      <c r="Q225" s="227"/>
      <c r="R225" s="227"/>
      <c r="S225" s="227"/>
      <c r="T225" s="227"/>
      <c r="U225" s="227"/>
      <c r="V225" s="227"/>
      <c r="W225" s="227"/>
      <c r="X225" s="227"/>
      <c r="Y225" s="227"/>
      <c r="Z225" s="227"/>
      <c r="AA225" s="227"/>
      <c r="AB225" s="227"/>
      <c r="AC225" s="227"/>
      <c r="AD225" s="227"/>
      <c r="AE225" s="227"/>
      <c r="AF225" s="227"/>
      <c r="AG225" s="227"/>
      <c r="AH225" s="227"/>
      <c r="AI225" s="227"/>
      <c r="AJ225" s="227"/>
      <c r="AK225" s="227"/>
      <c r="AL225" s="227"/>
    </row>
    <row r="226" spans="1:38" ht="13.5" customHeight="1">
      <c r="A226" s="227"/>
      <c r="B226" s="227"/>
      <c r="C226" s="227"/>
      <c r="D226" s="227"/>
      <c r="E226" s="227"/>
      <c r="F226" s="227"/>
      <c r="G226" s="227"/>
      <c r="H226" s="227"/>
      <c r="I226" s="227"/>
      <c r="J226" s="227"/>
      <c r="K226" s="227"/>
      <c r="L226" s="227"/>
      <c r="M226" s="227"/>
      <c r="N226" s="227"/>
      <c r="O226" s="227"/>
      <c r="P226" s="227"/>
      <c r="Q226" s="227"/>
      <c r="R226" s="227"/>
      <c r="S226" s="227"/>
      <c r="T226" s="227"/>
      <c r="U226" s="227"/>
      <c r="V226" s="227"/>
      <c r="W226" s="227"/>
      <c r="X226" s="227"/>
      <c r="Y226" s="227"/>
      <c r="Z226" s="227"/>
      <c r="AA226" s="227"/>
      <c r="AB226" s="227"/>
      <c r="AC226" s="227"/>
      <c r="AD226" s="227"/>
      <c r="AE226" s="227"/>
      <c r="AF226" s="227"/>
      <c r="AG226" s="227"/>
      <c r="AH226" s="227"/>
      <c r="AI226" s="227"/>
      <c r="AJ226" s="227"/>
      <c r="AK226" s="227"/>
      <c r="AL226" s="227"/>
    </row>
    <row r="227" spans="1:38" ht="13.5" customHeight="1">
      <c r="A227" s="227"/>
      <c r="B227" s="227"/>
      <c r="C227" s="227"/>
      <c r="D227" s="227"/>
      <c r="E227" s="227"/>
      <c r="F227" s="227"/>
      <c r="G227" s="227"/>
      <c r="H227" s="227"/>
      <c r="I227" s="227"/>
      <c r="J227" s="227"/>
      <c r="K227" s="227"/>
      <c r="L227" s="227"/>
      <c r="M227" s="227"/>
      <c r="N227" s="227"/>
      <c r="O227" s="227"/>
      <c r="P227" s="227"/>
      <c r="Q227" s="227"/>
      <c r="R227" s="227"/>
      <c r="S227" s="227"/>
      <c r="T227" s="227"/>
      <c r="U227" s="227"/>
      <c r="V227" s="227"/>
      <c r="W227" s="227"/>
      <c r="X227" s="227"/>
      <c r="Y227" s="227"/>
      <c r="Z227" s="227"/>
      <c r="AA227" s="227"/>
      <c r="AB227" s="227"/>
      <c r="AC227" s="227"/>
      <c r="AD227" s="227"/>
      <c r="AE227" s="227"/>
      <c r="AF227" s="227"/>
      <c r="AG227" s="227"/>
      <c r="AH227" s="227"/>
      <c r="AI227" s="227"/>
      <c r="AJ227" s="227"/>
      <c r="AK227" s="227"/>
      <c r="AL227" s="227"/>
    </row>
    <row r="228" spans="1:38" ht="13.5" customHeight="1">
      <c r="A228" s="227"/>
      <c r="B228" s="227"/>
      <c r="C228" s="227"/>
      <c r="D228" s="227"/>
      <c r="E228" s="227"/>
      <c r="F228" s="227"/>
      <c r="G228" s="227"/>
      <c r="H228" s="227"/>
      <c r="I228" s="227"/>
      <c r="J228" s="227"/>
      <c r="K228" s="227"/>
      <c r="L228" s="227"/>
      <c r="M228" s="227"/>
      <c r="N228" s="227"/>
      <c r="O228" s="227"/>
      <c r="P228" s="227"/>
      <c r="Q228" s="227"/>
      <c r="R228" s="227"/>
      <c r="S228" s="227"/>
      <c r="T228" s="227"/>
      <c r="U228" s="227"/>
      <c r="V228" s="227"/>
      <c r="W228" s="227"/>
      <c r="X228" s="227"/>
      <c r="Y228" s="227"/>
      <c r="Z228" s="227"/>
      <c r="AA228" s="227"/>
      <c r="AB228" s="227"/>
      <c r="AC228" s="227"/>
      <c r="AD228" s="227"/>
      <c r="AE228" s="227"/>
      <c r="AF228" s="227"/>
      <c r="AG228" s="227"/>
      <c r="AH228" s="227"/>
      <c r="AI228" s="227"/>
      <c r="AJ228" s="227"/>
      <c r="AK228" s="227"/>
      <c r="AL228" s="227"/>
    </row>
    <row r="229" spans="1:38" ht="13.5" customHeight="1">
      <c r="A229" s="227"/>
      <c r="B229" s="227"/>
      <c r="C229" s="227"/>
      <c r="D229" s="227"/>
      <c r="E229" s="227"/>
      <c r="F229" s="227"/>
      <c r="G229" s="227"/>
      <c r="H229" s="227"/>
      <c r="I229" s="227"/>
      <c r="J229" s="227"/>
      <c r="K229" s="227"/>
      <c r="L229" s="227"/>
      <c r="M229" s="227"/>
      <c r="N229" s="227"/>
      <c r="O229" s="227"/>
      <c r="P229" s="227"/>
      <c r="Q229" s="227"/>
      <c r="R229" s="227"/>
      <c r="S229" s="227"/>
      <c r="T229" s="227"/>
      <c r="U229" s="227"/>
      <c r="V229" s="227"/>
      <c r="W229" s="227"/>
      <c r="X229" s="227"/>
      <c r="Y229" s="227"/>
      <c r="Z229" s="227"/>
      <c r="AA229" s="227"/>
      <c r="AB229" s="227"/>
      <c r="AC229" s="227"/>
      <c r="AD229" s="227"/>
      <c r="AE229" s="227"/>
      <c r="AF229" s="227"/>
      <c r="AG229" s="227"/>
      <c r="AH229" s="227"/>
      <c r="AI229" s="227"/>
      <c r="AJ229" s="227"/>
      <c r="AK229" s="227"/>
      <c r="AL229" s="227"/>
    </row>
    <row r="230" spans="1:38" ht="13.5" customHeight="1">
      <c r="A230" s="227"/>
      <c r="B230" s="227"/>
      <c r="C230" s="227"/>
      <c r="D230" s="227"/>
      <c r="E230" s="227"/>
      <c r="F230" s="227"/>
      <c r="G230" s="227"/>
      <c r="H230" s="227"/>
      <c r="I230" s="227"/>
      <c r="J230" s="227"/>
      <c r="K230" s="227"/>
      <c r="L230" s="227"/>
      <c r="M230" s="227"/>
      <c r="N230" s="227"/>
      <c r="O230" s="227"/>
      <c r="P230" s="227"/>
      <c r="Q230" s="227"/>
      <c r="R230" s="227"/>
      <c r="S230" s="227"/>
      <c r="T230" s="227"/>
      <c r="U230" s="227"/>
      <c r="V230" s="227"/>
      <c r="W230" s="227"/>
      <c r="X230" s="227"/>
      <c r="Y230" s="227"/>
      <c r="Z230" s="227"/>
      <c r="AA230" s="227"/>
      <c r="AB230" s="227"/>
      <c r="AC230" s="227"/>
      <c r="AD230" s="227"/>
      <c r="AE230" s="227"/>
      <c r="AF230" s="227"/>
      <c r="AG230" s="227"/>
      <c r="AH230" s="227"/>
      <c r="AI230" s="227"/>
      <c r="AJ230" s="227"/>
      <c r="AK230" s="227"/>
      <c r="AL230" s="227"/>
    </row>
    <row r="231" spans="1:38" ht="13.5" customHeight="1">
      <c r="A231" s="227"/>
      <c r="B231" s="227"/>
      <c r="C231" s="227"/>
      <c r="D231" s="227"/>
      <c r="E231" s="227"/>
      <c r="F231" s="227"/>
      <c r="G231" s="227"/>
      <c r="H231" s="227"/>
      <c r="I231" s="227"/>
      <c r="J231" s="227"/>
      <c r="K231" s="227"/>
      <c r="L231" s="227"/>
      <c r="M231" s="227"/>
      <c r="N231" s="227"/>
      <c r="O231" s="227"/>
      <c r="P231" s="227"/>
      <c r="Q231" s="227"/>
      <c r="R231" s="227"/>
      <c r="S231" s="227"/>
      <c r="T231" s="227"/>
      <c r="U231" s="227"/>
      <c r="V231" s="227"/>
      <c r="W231" s="227"/>
      <c r="X231" s="227"/>
      <c r="Y231" s="227"/>
      <c r="Z231" s="227"/>
      <c r="AA231" s="227"/>
      <c r="AB231" s="227"/>
      <c r="AC231" s="227"/>
      <c r="AD231" s="227"/>
      <c r="AE231" s="227"/>
      <c r="AF231" s="227"/>
      <c r="AG231" s="227"/>
      <c r="AH231" s="227"/>
      <c r="AI231" s="227"/>
      <c r="AJ231" s="227"/>
      <c r="AK231" s="227"/>
      <c r="AL231" s="227"/>
    </row>
    <row r="232" spans="1:38" ht="13.5" customHeight="1">
      <c r="A232" s="227"/>
      <c r="B232" s="227"/>
      <c r="C232" s="227"/>
      <c r="D232" s="227"/>
      <c r="E232" s="227"/>
      <c r="F232" s="227"/>
      <c r="G232" s="227"/>
      <c r="H232" s="227"/>
      <c r="I232" s="227"/>
      <c r="J232" s="227"/>
      <c r="K232" s="227"/>
      <c r="L232" s="227"/>
      <c r="M232" s="227"/>
      <c r="N232" s="227"/>
      <c r="O232" s="227"/>
      <c r="P232" s="227"/>
      <c r="Q232" s="227"/>
      <c r="R232" s="227"/>
      <c r="S232" s="227"/>
      <c r="T232" s="227"/>
      <c r="U232" s="227"/>
      <c r="V232" s="227"/>
      <c r="W232" s="227"/>
      <c r="X232" s="227"/>
      <c r="Y232" s="227"/>
      <c r="Z232" s="227"/>
      <c r="AA232" s="227"/>
      <c r="AB232" s="227"/>
      <c r="AC232" s="227"/>
      <c r="AD232" s="227"/>
      <c r="AE232" s="227"/>
      <c r="AF232" s="227"/>
      <c r="AG232" s="227"/>
      <c r="AH232" s="227"/>
      <c r="AI232" s="227"/>
      <c r="AJ232" s="227"/>
      <c r="AK232" s="227"/>
      <c r="AL232" s="227"/>
    </row>
    <row r="233" spans="1:38" ht="13.5" customHeight="1">
      <c r="A233" s="227"/>
      <c r="B233" s="227"/>
      <c r="C233" s="227"/>
      <c r="D233" s="227"/>
      <c r="E233" s="227"/>
      <c r="F233" s="227"/>
      <c r="G233" s="227"/>
      <c r="H233" s="227"/>
      <c r="I233" s="227"/>
      <c r="J233" s="227"/>
      <c r="K233" s="227"/>
      <c r="L233" s="227"/>
      <c r="M233" s="227"/>
      <c r="N233" s="227"/>
      <c r="O233" s="227"/>
      <c r="P233" s="227"/>
      <c r="Q233" s="227"/>
      <c r="R233" s="227"/>
      <c r="S233" s="227"/>
      <c r="T233" s="227"/>
      <c r="U233" s="227"/>
      <c r="V233" s="227"/>
      <c r="W233" s="227"/>
      <c r="X233" s="227"/>
      <c r="Y233" s="227"/>
      <c r="Z233" s="227"/>
      <c r="AA233" s="227"/>
      <c r="AB233" s="227"/>
      <c r="AC233" s="227"/>
      <c r="AD233" s="227"/>
      <c r="AE233" s="227"/>
      <c r="AF233" s="227"/>
      <c r="AG233" s="227"/>
      <c r="AH233" s="227"/>
      <c r="AI233" s="227"/>
      <c r="AJ233" s="227"/>
      <c r="AK233" s="227"/>
      <c r="AL233" s="227"/>
    </row>
    <row r="234" spans="1:38" ht="13.5" customHeight="1">
      <c r="A234" s="227"/>
      <c r="B234" s="227"/>
      <c r="C234" s="227"/>
      <c r="D234" s="227"/>
      <c r="E234" s="227"/>
      <c r="F234" s="227"/>
      <c r="G234" s="227"/>
      <c r="H234" s="227"/>
      <c r="I234" s="227"/>
      <c r="J234" s="227"/>
      <c r="K234" s="227"/>
      <c r="L234" s="227"/>
      <c r="M234" s="227"/>
      <c r="N234" s="227"/>
      <c r="O234" s="227"/>
      <c r="P234" s="227"/>
      <c r="Q234" s="227"/>
      <c r="R234" s="227"/>
      <c r="S234" s="227"/>
      <c r="T234" s="227"/>
      <c r="U234" s="227"/>
      <c r="V234" s="227"/>
      <c r="W234" s="227"/>
      <c r="X234" s="227"/>
      <c r="Y234" s="227"/>
      <c r="Z234" s="227"/>
      <c r="AA234" s="227"/>
      <c r="AB234" s="227"/>
      <c r="AC234" s="227"/>
      <c r="AD234" s="227"/>
      <c r="AE234" s="227"/>
      <c r="AF234" s="227"/>
      <c r="AG234" s="227"/>
      <c r="AH234" s="227"/>
      <c r="AI234" s="227"/>
      <c r="AJ234" s="227"/>
      <c r="AK234" s="227"/>
      <c r="AL234" s="227"/>
    </row>
    <row r="235" spans="1:38" ht="13.5" customHeight="1">
      <c r="A235" s="227"/>
      <c r="B235" s="227"/>
      <c r="C235" s="227"/>
      <c r="D235" s="227"/>
      <c r="E235" s="227"/>
      <c r="F235" s="227"/>
      <c r="G235" s="227"/>
      <c r="H235" s="227"/>
      <c r="I235" s="227"/>
      <c r="J235" s="227"/>
      <c r="K235" s="227"/>
      <c r="L235" s="227"/>
      <c r="M235" s="227"/>
      <c r="N235" s="227"/>
      <c r="O235" s="227"/>
      <c r="P235" s="227"/>
      <c r="Q235" s="227"/>
      <c r="R235" s="227"/>
      <c r="S235" s="227"/>
      <c r="T235" s="227"/>
      <c r="U235" s="227"/>
      <c r="V235" s="227"/>
      <c r="W235" s="227"/>
      <c r="X235" s="227"/>
      <c r="Y235" s="227"/>
      <c r="Z235" s="227"/>
      <c r="AA235" s="227"/>
      <c r="AB235" s="227"/>
      <c r="AC235" s="227"/>
      <c r="AD235" s="227"/>
      <c r="AE235" s="227"/>
      <c r="AF235" s="227"/>
      <c r="AG235" s="227"/>
      <c r="AH235" s="227"/>
      <c r="AI235" s="227"/>
      <c r="AJ235" s="227"/>
      <c r="AK235" s="227"/>
      <c r="AL235" s="227"/>
    </row>
    <row r="236" spans="1:38" ht="13.5" customHeight="1">
      <c r="A236" s="227"/>
      <c r="B236" s="227"/>
      <c r="C236" s="227"/>
      <c r="D236" s="227"/>
      <c r="E236" s="227"/>
      <c r="F236" s="227"/>
      <c r="G236" s="227"/>
      <c r="H236" s="227"/>
      <c r="I236" s="227"/>
      <c r="J236" s="227"/>
      <c r="K236" s="227"/>
      <c r="L236" s="227"/>
      <c r="M236" s="227"/>
      <c r="N236" s="227"/>
      <c r="O236" s="227"/>
      <c r="P236" s="227"/>
      <c r="Q236" s="227"/>
      <c r="R236" s="227"/>
      <c r="S236" s="227"/>
      <c r="T236" s="227"/>
      <c r="U236" s="227"/>
      <c r="V236" s="227"/>
      <c r="W236" s="227"/>
      <c r="X236" s="227"/>
      <c r="Y236" s="227"/>
      <c r="Z236" s="227"/>
      <c r="AA236" s="227"/>
      <c r="AB236" s="227"/>
      <c r="AC236" s="227"/>
      <c r="AD236" s="227"/>
      <c r="AE236" s="227"/>
      <c r="AF236" s="227"/>
      <c r="AG236" s="227"/>
      <c r="AH236" s="227"/>
      <c r="AI236" s="227"/>
      <c r="AJ236" s="227"/>
      <c r="AK236" s="227"/>
      <c r="AL236" s="227"/>
    </row>
    <row r="237" spans="1:38" ht="13.5" customHeight="1">
      <c r="A237" s="227"/>
      <c r="B237" s="227"/>
      <c r="C237" s="227"/>
      <c r="D237" s="227"/>
      <c r="E237" s="227"/>
      <c r="F237" s="227"/>
      <c r="G237" s="227"/>
      <c r="H237" s="227"/>
      <c r="I237" s="227"/>
      <c r="J237" s="227"/>
      <c r="K237" s="227"/>
      <c r="L237" s="227"/>
      <c r="M237" s="227"/>
      <c r="N237" s="227"/>
      <c r="O237" s="227"/>
      <c r="P237" s="227"/>
      <c r="Q237" s="227"/>
      <c r="R237" s="227"/>
      <c r="S237" s="227"/>
      <c r="T237" s="227"/>
      <c r="U237" s="227"/>
      <c r="V237" s="227"/>
      <c r="W237" s="227"/>
      <c r="X237" s="227"/>
      <c r="Y237" s="227"/>
      <c r="Z237" s="227"/>
      <c r="AA237" s="227"/>
      <c r="AB237" s="227"/>
      <c r="AC237" s="227"/>
      <c r="AD237" s="227"/>
      <c r="AE237" s="227"/>
      <c r="AF237" s="227"/>
      <c r="AG237" s="227"/>
      <c r="AH237" s="227"/>
      <c r="AI237" s="227"/>
      <c r="AJ237" s="227"/>
      <c r="AK237" s="227"/>
      <c r="AL237" s="227"/>
    </row>
    <row r="238" spans="1:38" ht="13.5" customHeight="1">
      <c r="A238" s="227"/>
      <c r="B238" s="227"/>
      <c r="C238" s="227"/>
      <c r="D238" s="227"/>
      <c r="E238" s="227"/>
      <c r="F238" s="227"/>
      <c r="G238" s="227"/>
      <c r="H238" s="227"/>
      <c r="I238" s="227"/>
      <c r="J238" s="227"/>
      <c r="K238" s="227"/>
      <c r="L238" s="227"/>
      <c r="M238" s="227"/>
      <c r="N238" s="227"/>
      <c r="O238" s="227"/>
      <c r="P238" s="227"/>
      <c r="Q238" s="227"/>
      <c r="R238" s="227"/>
      <c r="S238" s="227"/>
      <c r="T238" s="227"/>
      <c r="U238" s="227"/>
      <c r="V238" s="227"/>
      <c r="W238" s="227"/>
      <c r="X238" s="227"/>
      <c r="Y238" s="227"/>
      <c r="Z238" s="227"/>
      <c r="AA238" s="227"/>
      <c r="AB238" s="227"/>
      <c r="AC238" s="227"/>
      <c r="AD238" s="227"/>
      <c r="AE238" s="227"/>
      <c r="AF238" s="227"/>
      <c r="AG238" s="227"/>
      <c r="AH238" s="227"/>
      <c r="AI238" s="227"/>
      <c r="AJ238" s="227"/>
      <c r="AK238" s="227"/>
      <c r="AL238" s="227"/>
    </row>
    <row r="239" spans="1:38" ht="13.5" customHeight="1">
      <c r="A239" s="227"/>
      <c r="B239" s="227"/>
      <c r="C239" s="227"/>
      <c r="D239" s="227"/>
      <c r="E239" s="227"/>
      <c r="F239" s="227"/>
      <c r="G239" s="227"/>
      <c r="H239" s="227"/>
      <c r="I239" s="227"/>
      <c r="J239" s="227"/>
      <c r="K239" s="227"/>
      <c r="L239" s="227"/>
      <c r="M239" s="227"/>
      <c r="N239" s="227"/>
      <c r="O239" s="227"/>
      <c r="P239" s="227"/>
      <c r="Q239" s="227"/>
      <c r="R239" s="227"/>
      <c r="S239" s="227"/>
      <c r="T239" s="227"/>
      <c r="U239" s="227"/>
      <c r="V239" s="227"/>
      <c r="W239" s="227"/>
      <c r="X239" s="227"/>
      <c r="Y239" s="227"/>
      <c r="Z239" s="227"/>
      <c r="AA239" s="227"/>
      <c r="AB239" s="227"/>
      <c r="AC239" s="227"/>
      <c r="AD239" s="227"/>
      <c r="AE239" s="227"/>
      <c r="AF239" s="227"/>
      <c r="AG239" s="227"/>
      <c r="AH239" s="227"/>
      <c r="AI239" s="227"/>
      <c r="AJ239" s="227"/>
      <c r="AK239" s="227"/>
      <c r="AL239" s="227"/>
    </row>
    <row r="240" spans="1:38" ht="13.5" customHeight="1">
      <c r="A240" s="227"/>
      <c r="B240" s="227"/>
      <c r="C240" s="227"/>
      <c r="D240" s="227"/>
      <c r="E240" s="227"/>
      <c r="F240" s="227"/>
      <c r="G240" s="227"/>
      <c r="H240" s="227"/>
      <c r="I240" s="227"/>
      <c r="J240" s="227"/>
      <c r="K240" s="227"/>
      <c r="L240" s="227"/>
      <c r="M240" s="227"/>
      <c r="N240" s="227"/>
      <c r="O240" s="227"/>
      <c r="P240" s="227"/>
      <c r="Q240" s="227"/>
      <c r="R240" s="227"/>
      <c r="S240" s="227"/>
      <c r="T240" s="227"/>
      <c r="U240" s="227"/>
      <c r="V240" s="227"/>
      <c r="W240" s="227"/>
      <c r="X240" s="227"/>
      <c r="Y240" s="227"/>
      <c r="Z240" s="227"/>
      <c r="AA240" s="227"/>
      <c r="AB240" s="227"/>
      <c r="AC240" s="227"/>
      <c r="AD240" s="227"/>
      <c r="AE240" s="227"/>
      <c r="AF240" s="227"/>
      <c r="AG240" s="227"/>
      <c r="AH240" s="227"/>
      <c r="AI240" s="227"/>
      <c r="AJ240" s="227"/>
      <c r="AK240" s="227"/>
      <c r="AL240" s="227"/>
    </row>
    <row r="241" spans="1:38" ht="13.5" customHeight="1">
      <c r="A241" s="227"/>
      <c r="B241" s="227"/>
      <c r="C241" s="227"/>
      <c r="D241" s="227"/>
      <c r="E241" s="227"/>
      <c r="F241" s="227"/>
      <c r="G241" s="227"/>
      <c r="H241" s="227"/>
      <c r="I241" s="227"/>
      <c r="J241" s="227"/>
      <c r="K241" s="227"/>
      <c r="L241" s="227"/>
      <c r="M241" s="227"/>
      <c r="N241" s="227"/>
      <c r="O241" s="227"/>
      <c r="P241" s="227"/>
      <c r="Q241" s="227"/>
      <c r="R241" s="227"/>
      <c r="S241" s="227"/>
      <c r="T241" s="227"/>
      <c r="U241" s="227"/>
      <c r="V241" s="227"/>
      <c r="W241" s="227"/>
      <c r="X241" s="227"/>
      <c r="Y241" s="227"/>
      <c r="Z241" s="227"/>
      <c r="AA241" s="227"/>
      <c r="AB241" s="227"/>
      <c r="AC241" s="227"/>
      <c r="AD241" s="227"/>
      <c r="AE241" s="227"/>
      <c r="AF241" s="227"/>
      <c r="AG241" s="227"/>
      <c r="AH241" s="227"/>
      <c r="AI241" s="227"/>
      <c r="AJ241" s="227"/>
      <c r="AK241" s="227"/>
      <c r="AL241" s="227"/>
    </row>
    <row r="242" spans="1:38" ht="13.5" customHeight="1">
      <c r="A242" s="227"/>
      <c r="B242" s="227"/>
      <c r="C242" s="227"/>
      <c r="D242" s="227"/>
      <c r="E242" s="227"/>
      <c r="F242" s="227"/>
      <c r="G242" s="227"/>
      <c r="H242" s="227"/>
      <c r="I242" s="227"/>
      <c r="J242" s="227"/>
      <c r="K242" s="227"/>
      <c r="L242" s="227"/>
      <c r="M242" s="227"/>
      <c r="N242" s="227"/>
      <c r="O242" s="227"/>
      <c r="P242" s="227"/>
      <c r="Q242" s="227"/>
      <c r="R242" s="227"/>
      <c r="S242" s="227"/>
      <c r="T242" s="227"/>
      <c r="U242" s="227"/>
      <c r="V242" s="227"/>
      <c r="W242" s="227"/>
      <c r="X242" s="227"/>
      <c r="Y242" s="227"/>
      <c r="Z242" s="227"/>
      <c r="AA242" s="227"/>
      <c r="AB242" s="227"/>
      <c r="AC242" s="227"/>
      <c r="AD242" s="227"/>
      <c r="AE242" s="227"/>
      <c r="AF242" s="227"/>
      <c r="AG242" s="227"/>
      <c r="AH242" s="227"/>
      <c r="AI242" s="227"/>
      <c r="AJ242" s="227"/>
      <c r="AK242" s="227"/>
      <c r="AL242" s="227"/>
    </row>
    <row r="243" spans="1:38" ht="13.5" customHeight="1">
      <c r="A243" s="227"/>
      <c r="B243" s="227"/>
      <c r="C243" s="227"/>
      <c r="D243" s="227"/>
      <c r="E243" s="227"/>
      <c r="F243" s="227"/>
      <c r="G243" s="227"/>
      <c r="H243" s="227"/>
      <c r="I243" s="227"/>
      <c r="J243" s="227"/>
      <c r="K243" s="227"/>
      <c r="L243" s="227"/>
      <c r="M243" s="227"/>
      <c r="N243" s="227"/>
      <c r="O243" s="227"/>
      <c r="P243" s="227"/>
      <c r="Q243" s="227"/>
      <c r="R243" s="227"/>
      <c r="S243" s="227"/>
      <c r="T243" s="227"/>
      <c r="U243" s="227"/>
      <c r="V243" s="227"/>
      <c r="W243" s="227"/>
      <c r="X243" s="227"/>
      <c r="Y243" s="227"/>
      <c r="Z243" s="227"/>
      <c r="AA243" s="227"/>
      <c r="AB243" s="227"/>
      <c r="AC243" s="227"/>
      <c r="AD243" s="227"/>
      <c r="AE243" s="227"/>
      <c r="AF243" s="227"/>
      <c r="AG243" s="227"/>
      <c r="AH243" s="227"/>
      <c r="AI243" s="227"/>
      <c r="AJ243" s="227"/>
      <c r="AK243" s="227"/>
      <c r="AL243" s="227"/>
    </row>
    <row r="244" spans="1:38" ht="13.5" customHeight="1">
      <c r="A244" s="227"/>
      <c r="B244" s="227"/>
      <c r="C244" s="227"/>
      <c r="D244" s="227"/>
      <c r="E244" s="227"/>
      <c r="F244" s="227"/>
      <c r="G244" s="227"/>
      <c r="H244" s="227"/>
      <c r="I244" s="227"/>
      <c r="J244" s="227"/>
      <c r="K244" s="227"/>
      <c r="L244" s="227"/>
      <c r="M244" s="227"/>
      <c r="N244" s="227"/>
      <c r="O244" s="227"/>
      <c r="P244" s="227"/>
      <c r="Q244" s="227"/>
      <c r="R244" s="227"/>
      <c r="S244" s="227"/>
      <c r="T244" s="227"/>
      <c r="U244" s="227"/>
      <c r="V244" s="227"/>
      <c r="W244" s="227"/>
      <c r="X244" s="227"/>
      <c r="Y244" s="227"/>
      <c r="Z244" s="227"/>
      <c r="AA244" s="227"/>
      <c r="AB244" s="227"/>
      <c r="AC244" s="227"/>
      <c r="AD244" s="227"/>
      <c r="AE244" s="227"/>
      <c r="AF244" s="227"/>
      <c r="AG244" s="227"/>
      <c r="AH244" s="227"/>
      <c r="AI244" s="227"/>
      <c r="AJ244" s="227"/>
      <c r="AK244" s="227"/>
      <c r="AL244" s="227"/>
    </row>
    <row r="245" spans="1:38" ht="13.5" customHeight="1">
      <c r="A245" s="227"/>
      <c r="B245" s="227"/>
      <c r="C245" s="227"/>
      <c r="D245" s="227"/>
      <c r="E245" s="227"/>
      <c r="F245" s="227"/>
      <c r="G245" s="227"/>
      <c r="H245" s="227"/>
      <c r="I245" s="227"/>
      <c r="J245" s="227"/>
      <c r="K245" s="227"/>
      <c r="L245" s="227"/>
      <c r="M245" s="227"/>
      <c r="N245" s="227"/>
      <c r="O245" s="227"/>
      <c r="P245" s="227"/>
      <c r="Q245" s="227"/>
      <c r="R245" s="227"/>
      <c r="S245" s="227"/>
      <c r="T245" s="227"/>
      <c r="U245" s="227"/>
      <c r="V245" s="227"/>
      <c r="W245" s="227"/>
      <c r="X245" s="227"/>
      <c r="Y245" s="227"/>
      <c r="Z245" s="227"/>
      <c r="AA245" s="227"/>
      <c r="AB245" s="227"/>
      <c r="AC245" s="227"/>
      <c r="AD245" s="227"/>
      <c r="AE245" s="227"/>
      <c r="AF245" s="227"/>
      <c r="AG245" s="227"/>
      <c r="AH245" s="227"/>
      <c r="AI245" s="227"/>
      <c r="AJ245" s="227"/>
      <c r="AK245" s="227"/>
      <c r="AL245" s="227"/>
    </row>
    <row r="246" spans="1:38" ht="13.5" customHeight="1">
      <c r="A246" s="227"/>
      <c r="B246" s="227"/>
      <c r="C246" s="227"/>
      <c r="D246" s="227"/>
      <c r="E246" s="227"/>
      <c r="F246" s="227"/>
      <c r="G246" s="227"/>
      <c r="H246" s="227"/>
      <c r="I246" s="227"/>
      <c r="J246" s="227"/>
      <c r="K246" s="227"/>
      <c r="L246" s="227"/>
      <c r="M246" s="227"/>
      <c r="N246" s="227"/>
      <c r="O246" s="227"/>
      <c r="P246" s="227"/>
      <c r="Q246" s="227"/>
      <c r="R246" s="227"/>
      <c r="S246" s="227"/>
      <c r="T246" s="227"/>
      <c r="U246" s="227"/>
      <c r="V246" s="227"/>
      <c r="W246" s="227"/>
      <c r="X246" s="227"/>
      <c r="Y246" s="227"/>
      <c r="Z246" s="227"/>
      <c r="AA246" s="227"/>
      <c r="AB246" s="227"/>
      <c r="AC246" s="227"/>
      <c r="AD246" s="227"/>
      <c r="AE246" s="227"/>
      <c r="AF246" s="227"/>
      <c r="AG246" s="227"/>
      <c r="AH246" s="227"/>
      <c r="AI246" s="227"/>
      <c r="AJ246" s="227"/>
      <c r="AK246" s="227"/>
      <c r="AL246" s="227"/>
    </row>
    <row r="247" spans="1:38" ht="13.5" customHeight="1">
      <c r="A247" s="227"/>
      <c r="B247" s="227"/>
      <c r="C247" s="227"/>
      <c r="D247" s="227"/>
      <c r="E247" s="227"/>
      <c r="F247" s="227"/>
      <c r="G247" s="227"/>
      <c r="H247" s="227"/>
      <c r="I247" s="227"/>
      <c r="J247" s="227"/>
      <c r="K247" s="227"/>
      <c r="L247" s="227"/>
      <c r="M247" s="227"/>
      <c r="N247" s="227"/>
      <c r="O247" s="227"/>
      <c r="P247" s="227"/>
      <c r="Q247" s="227"/>
      <c r="R247" s="227"/>
      <c r="S247" s="227"/>
      <c r="T247" s="227"/>
      <c r="U247" s="227"/>
      <c r="V247" s="227"/>
      <c r="W247" s="227"/>
      <c r="X247" s="227"/>
      <c r="Y247" s="227"/>
      <c r="Z247" s="227"/>
      <c r="AA247" s="227"/>
      <c r="AB247" s="227"/>
      <c r="AC247" s="227"/>
      <c r="AD247" s="227"/>
      <c r="AE247" s="227"/>
      <c r="AF247" s="227"/>
      <c r="AG247" s="227"/>
      <c r="AH247" s="227"/>
      <c r="AI247" s="227"/>
      <c r="AJ247" s="227"/>
      <c r="AK247" s="227"/>
      <c r="AL247" s="227"/>
    </row>
    <row r="248" spans="1:38" ht="13.5" customHeight="1">
      <c r="A248" s="227"/>
      <c r="B248" s="227"/>
      <c r="C248" s="227"/>
      <c r="D248" s="227"/>
      <c r="E248" s="227"/>
      <c r="F248" s="227"/>
      <c r="G248" s="227"/>
      <c r="H248" s="227"/>
      <c r="I248" s="227"/>
      <c r="J248" s="227"/>
      <c r="K248" s="227"/>
      <c r="L248" s="227"/>
      <c r="M248" s="227"/>
      <c r="N248" s="227"/>
      <c r="O248" s="227"/>
      <c r="P248" s="227"/>
      <c r="Q248" s="227"/>
      <c r="R248" s="227"/>
      <c r="S248" s="227"/>
      <c r="T248" s="227"/>
      <c r="U248" s="227"/>
      <c r="V248" s="227"/>
      <c r="W248" s="227"/>
      <c r="X248" s="227"/>
      <c r="Y248" s="227"/>
      <c r="Z248" s="227"/>
      <c r="AA248" s="227"/>
      <c r="AB248" s="227"/>
      <c r="AC248" s="227"/>
      <c r="AD248" s="227"/>
      <c r="AE248" s="227"/>
      <c r="AF248" s="227"/>
      <c r="AG248" s="227"/>
      <c r="AH248" s="227"/>
      <c r="AI248" s="227"/>
      <c r="AJ248" s="227"/>
      <c r="AK248" s="227"/>
      <c r="AL248" s="227"/>
    </row>
    <row r="249" spans="1:38" ht="13.5" customHeight="1">
      <c r="A249" s="227"/>
      <c r="B249" s="227"/>
      <c r="C249" s="227"/>
      <c r="D249" s="227"/>
      <c r="E249" s="227"/>
      <c r="F249" s="227"/>
      <c r="G249" s="227"/>
      <c r="H249" s="227"/>
      <c r="I249" s="227"/>
      <c r="J249" s="227"/>
      <c r="K249" s="227"/>
      <c r="L249" s="227"/>
      <c r="M249" s="227"/>
      <c r="N249" s="227"/>
      <c r="O249" s="227"/>
      <c r="P249" s="227"/>
      <c r="Q249" s="227"/>
      <c r="R249" s="227"/>
      <c r="S249" s="227"/>
      <c r="T249" s="227"/>
      <c r="U249" s="227"/>
      <c r="V249" s="227"/>
      <c r="W249" s="227"/>
      <c r="X249" s="227"/>
      <c r="Y249" s="227"/>
      <c r="Z249" s="227"/>
      <c r="AA249" s="227"/>
      <c r="AB249" s="227"/>
      <c r="AC249" s="227"/>
      <c r="AD249" s="227"/>
      <c r="AE249" s="227"/>
      <c r="AF249" s="227"/>
      <c r="AG249" s="227"/>
      <c r="AH249" s="227"/>
      <c r="AI249" s="227"/>
      <c r="AJ249" s="227"/>
      <c r="AK249" s="227"/>
      <c r="AL249" s="227"/>
    </row>
    <row r="250" spans="1:38" ht="13.5" customHeight="1">
      <c r="A250" s="227"/>
      <c r="B250" s="227"/>
      <c r="C250" s="227"/>
      <c r="D250" s="227"/>
      <c r="E250" s="227"/>
      <c r="F250" s="227"/>
      <c r="G250" s="227"/>
      <c r="H250" s="227"/>
      <c r="I250" s="227"/>
      <c r="J250" s="227"/>
      <c r="K250" s="227"/>
      <c r="L250" s="227"/>
      <c r="M250" s="227"/>
      <c r="N250" s="227"/>
      <c r="O250" s="227"/>
      <c r="P250" s="227"/>
      <c r="Q250" s="227"/>
      <c r="R250" s="227"/>
      <c r="S250" s="227"/>
      <c r="T250" s="227"/>
      <c r="U250" s="227"/>
      <c r="V250" s="227"/>
      <c r="W250" s="227"/>
      <c r="X250" s="227"/>
      <c r="Y250" s="227"/>
      <c r="Z250" s="227"/>
      <c r="AA250" s="227"/>
      <c r="AB250" s="227"/>
      <c r="AC250" s="227"/>
      <c r="AD250" s="227"/>
      <c r="AE250" s="227"/>
      <c r="AF250" s="227"/>
      <c r="AG250" s="227"/>
      <c r="AH250" s="227"/>
      <c r="AI250" s="227"/>
      <c r="AJ250" s="227"/>
      <c r="AK250" s="227"/>
      <c r="AL250" s="227"/>
    </row>
    <row r="251" spans="1:38" ht="13.5" customHeight="1">
      <c r="A251" s="227"/>
      <c r="B251" s="227"/>
      <c r="C251" s="227"/>
      <c r="D251" s="227"/>
      <c r="E251" s="227"/>
      <c r="F251" s="227"/>
      <c r="G251" s="227"/>
      <c r="H251" s="227"/>
      <c r="I251" s="227"/>
      <c r="J251" s="227"/>
      <c r="K251" s="227"/>
      <c r="L251" s="227"/>
      <c r="M251" s="227"/>
      <c r="N251" s="227"/>
      <c r="O251" s="227"/>
      <c r="P251" s="227"/>
      <c r="Q251" s="227"/>
      <c r="R251" s="227"/>
      <c r="S251" s="227"/>
      <c r="T251" s="227"/>
      <c r="U251" s="227"/>
      <c r="V251" s="227"/>
      <c r="W251" s="227"/>
      <c r="X251" s="227"/>
      <c r="Y251" s="227"/>
      <c r="Z251" s="227"/>
      <c r="AA251" s="227"/>
      <c r="AB251" s="227"/>
      <c r="AC251" s="227"/>
      <c r="AD251" s="227"/>
      <c r="AE251" s="227"/>
      <c r="AF251" s="227"/>
      <c r="AG251" s="227"/>
      <c r="AH251" s="227"/>
      <c r="AI251" s="227"/>
      <c r="AJ251" s="227"/>
      <c r="AK251" s="227"/>
      <c r="AL251" s="227"/>
    </row>
    <row r="252" spans="1:38" ht="13.5" customHeight="1">
      <c r="A252" s="227"/>
      <c r="B252" s="227"/>
      <c r="C252" s="227"/>
      <c r="D252" s="227"/>
      <c r="E252" s="227"/>
      <c r="F252" s="227"/>
      <c r="G252" s="227"/>
      <c r="H252" s="227"/>
      <c r="I252" s="227"/>
      <c r="J252" s="227"/>
      <c r="K252" s="227"/>
      <c r="L252" s="227"/>
      <c r="M252" s="227"/>
      <c r="N252" s="227"/>
      <c r="O252" s="227"/>
      <c r="P252" s="227"/>
      <c r="Q252" s="227"/>
      <c r="R252" s="227"/>
      <c r="S252" s="227"/>
      <c r="T252" s="227"/>
      <c r="U252" s="227"/>
      <c r="V252" s="227"/>
      <c r="W252" s="227"/>
      <c r="X252" s="227"/>
      <c r="Y252" s="227"/>
      <c r="Z252" s="227"/>
      <c r="AA252" s="227"/>
      <c r="AB252" s="227"/>
      <c r="AC252" s="227"/>
      <c r="AD252" s="227"/>
      <c r="AE252" s="227"/>
      <c r="AF252" s="227"/>
      <c r="AG252" s="227"/>
      <c r="AH252" s="227"/>
      <c r="AI252" s="227"/>
      <c r="AJ252" s="227"/>
      <c r="AK252" s="227"/>
      <c r="AL252" s="227"/>
    </row>
    <row r="253" spans="1:38" ht="13.5" customHeight="1">
      <c r="A253" s="227"/>
      <c r="B253" s="227"/>
      <c r="C253" s="227"/>
      <c r="D253" s="227"/>
      <c r="E253" s="227"/>
      <c r="F253" s="227"/>
      <c r="G253" s="227"/>
      <c r="H253" s="227"/>
      <c r="I253" s="227"/>
      <c r="J253" s="227"/>
      <c r="K253" s="227"/>
      <c r="L253" s="227"/>
      <c r="M253" s="227"/>
      <c r="N253" s="227"/>
      <c r="O253" s="227"/>
      <c r="P253" s="227"/>
      <c r="Q253" s="227"/>
      <c r="R253" s="227"/>
      <c r="S253" s="227"/>
      <c r="T253" s="227"/>
      <c r="U253" s="227"/>
      <c r="V253" s="227"/>
      <c r="W253" s="227"/>
      <c r="X253" s="227"/>
      <c r="Y253" s="227"/>
      <c r="Z253" s="227"/>
      <c r="AA253" s="227"/>
      <c r="AB253" s="227"/>
      <c r="AC253" s="227"/>
      <c r="AD253" s="227"/>
      <c r="AE253" s="227"/>
      <c r="AF253" s="227"/>
      <c r="AG253" s="227"/>
      <c r="AH253" s="227"/>
      <c r="AI253" s="227"/>
      <c r="AJ253" s="227"/>
      <c r="AK253" s="227"/>
      <c r="AL253" s="227"/>
    </row>
    <row r="254" spans="1:38" ht="13.5" customHeight="1">
      <c r="A254" s="227"/>
      <c r="B254" s="227"/>
      <c r="C254" s="227"/>
      <c r="D254" s="227"/>
      <c r="E254" s="227"/>
      <c r="F254" s="227"/>
      <c r="G254" s="227"/>
      <c r="H254" s="227"/>
      <c r="I254" s="227"/>
      <c r="J254" s="227"/>
      <c r="K254" s="227"/>
      <c r="L254" s="227"/>
      <c r="M254" s="227"/>
      <c r="N254" s="227"/>
      <c r="O254" s="227"/>
      <c r="P254" s="227"/>
      <c r="Q254" s="227"/>
      <c r="R254" s="227"/>
      <c r="S254" s="227"/>
      <c r="T254" s="227"/>
      <c r="U254" s="227"/>
      <c r="V254" s="227"/>
      <c r="W254" s="227"/>
      <c r="X254" s="227"/>
      <c r="Y254" s="227"/>
      <c r="Z254" s="227"/>
      <c r="AA254" s="227"/>
      <c r="AB254" s="227"/>
      <c r="AC254" s="227"/>
      <c r="AD254" s="227"/>
      <c r="AE254" s="227"/>
      <c r="AF254" s="227"/>
      <c r="AG254" s="227"/>
      <c r="AH254" s="227"/>
      <c r="AI254" s="227"/>
      <c r="AJ254" s="227"/>
      <c r="AK254" s="227"/>
      <c r="AL254" s="227"/>
    </row>
    <row r="255" spans="1:38" ht="13.5" customHeight="1">
      <c r="A255" s="227"/>
      <c r="B255" s="227"/>
      <c r="C255" s="227"/>
      <c r="D255" s="227"/>
      <c r="E255" s="227"/>
      <c r="F255" s="227"/>
      <c r="G255" s="227"/>
      <c r="H255" s="227"/>
      <c r="I255" s="227"/>
      <c r="J255" s="227"/>
      <c r="K255" s="227"/>
      <c r="L255" s="227"/>
      <c r="M255" s="227"/>
      <c r="N255" s="227"/>
      <c r="O255" s="227"/>
      <c r="P255" s="227"/>
      <c r="Q255" s="227"/>
      <c r="R255" s="227"/>
      <c r="S255" s="227"/>
      <c r="T255" s="227"/>
      <c r="U255" s="227"/>
      <c r="V255" s="227"/>
      <c r="W255" s="227"/>
      <c r="X255" s="227"/>
      <c r="Y255" s="227"/>
      <c r="Z255" s="227"/>
      <c r="AA255" s="227"/>
      <c r="AB255" s="227"/>
      <c r="AC255" s="227"/>
      <c r="AD255" s="227"/>
      <c r="AE255" s="227"/>
      <c r="AF255" s="227"/>
      <c r="AG255" s="227"/>
      <c r="AH255" s="227"/>
      <c r="AI255" s="227"/>
      <c r="AJ255" s="227"/>
      <c r="AK255" s="227"/>
      <c r="AL255" s="227"/>
    </row>
    <row r="256" spans="1:38" ht="13.5" customHeight="1">
      <c r="A256" s="227"/>
      <c r="B256" s="227"/>
      <c r="C256" s="227"/>
      <c r="D256" s="227"/>
      <c r="E256" s="227"/>
      <c r="F256" s="227"/>
      <c r="G256" s="227"/>
      <c r="H256" s="227"/>
      <c r="I256" s="227"/>
      <c r="J256" s="227"/>
      <c r="K256" s="227"/>
      <c r="L256" s="227"/>
      <c r="M256" s="227"/>
      <c r="N256" s="227"/>
      <c r="O256" s="227"/>
      <c r="P256" s="227"/>
      <c r="Q256" s="227"/>
      <c r="R256" s="227"/>
      <c r="S256" s="227"/>
      <c r="T256" s="227"/>
      <c r="U256" s="227"/>
      <c r="V256" s="227"/>
      <c r="W256" s="227"/>
      <c r="X256" s="227"/>
      <c r="Y256" s="227"/>
      <c r="Z256" s="227"/>
      <c r="AA256" s="227"/>
      <c r="AB256" s="227"/>
      <c r="AC256" s="227"/>
      <c r="AD256" s="227"/>
      <c r="AE256" s="227"/>
      <c r="AF256" s="227"/>
      <c r="AG256" s="227"/>
      <c r="AH256" s="227"/>
      <c r="AI256" s="227"/>
      <c r="AJ256" s="227"/>
      <c r="AK256" s="227"/>
      <c r="AL256" s="227"/>
    </row>
    <row r="257" spans="1:38" ht="13.5" customHeight="1">
      <c r="A257" s="227"/>
      <c r="B257" s="227"/>
      <c r="C257" s="227"/>
      <c r="D257" s="227"/>
      <c r="E257" s="227"/>
      <c r="F257" s="227"/>
      <c r="G257" s="227"/>
      <c r="H257" s="227"/>
      <c r="I257" s="227"/>
      <c r="J257" s="227"/>
      <c r="K257" s="227"/>
      <c r="L257" s="227"/>
      <c r="M257" s="227"/>
      <c r="N257" s="227"/>
      <c r="O257" s="227"/>
      <c r="P257" s="227"/>
      <c r="Q257" s="227"/>
      <c r="R257" s="227"/>
      <c r="S257" s="227"/>
      <c r="T257" s="227"/>
      <c r="U257" s="227"/>
      <c r="V257" s="227"/>
      <c r="W257" s="227"/>
      <c r="X257" s="227"/>
      <c r="Y257" s="227"/>
      <c r="Z257" s="227"/>
      <c r="AA257" s="227"/>
      <c r="AB257" s="227"/>
      <c r="AC257" s="227"/>
      <c r="AD257" s="227"/>
      <c r="AE257" s="227"/>
      <c r="AF257" s="227"/>
      <c r="AG257" s="227"/>
      <c r="AH257" s="227"/>
      <c r="AI257" s="227"/>
      <c r="AJ257" s="227"/>
      <c r="AK257" s="227"/>
      <c r="AL257" s="227"/>
    </row>
    <row r="258" spans="1:38" ht="13.5" customHeight="1">
      <c r="A258" s="227"/>
      <c r="B258" s="227"/>
      <c r="C258" s="227"/>
      <c r="D258" s="227"/>
      <c r="E258" s="227"/>
      <c r="F258" s="227"/>
      <c r="G258" s="227"/>
      <c r="H258" s="227"/>
      <c r="I258" s="227"/>
      <c r="J258" s="227"/>
      <c r="K258" s="227"/>
      <c r="L258" s="227"/>
      <c r="M258" s="227"/>
      <c r="N258" s="227"/>
      <c r="O258" s="227"/>
      <c r="P258" s="227"/>
      <c r="Q258" s="227"/>
      <c r="R258" s="227"/>
      <c r="S258" s="227"/>
      <c r="T258" s="227"/>
      <c r="U258" s="227"/>
      <c r="V258" s="227"/>
      <c r="W258" s="227"/>
      <c r="X258" s="227"/>
      <c r="Y258" s="227"/>
      <c r="Z258" s="227"/>
      <c r="AA258" s="227"/>
      <c r="AB258" s="227"/>
      <c r="AC258" s="227"/>
      <c r="AD258" s="227"/>
      <c r="AE258" s="227"/>
      <c r="AF258" s="227"/>
      <c r="AG258" s="227"/>
      <c r="AH258" s="227"/>
      <c r="AI258" s="227"/>
      <c r="AJ258" s="227"/>
      <c r="AK258" s="227"/>
      <c r="AL258" s="227"/>
    </row>
    <row r="259" spans="1:38" ht="13.5" customHeight="1">
      <c r="A259" s="227"/>
      <c r="B259" s="227"/>
      <c r="C259" s="227"/>
      <c r="D259" s="227"/>
      <c r="E259" s="227"/>
      <c r="F259" s="227"/>
      <c r="G259" s="227"/>
      <c r="H259" s="227"/>
      <c r="I259" s="227"/>
      <c r="J259" s="227"/>
      <c r="K259" s="227"/>
      <c r="L259" s="227"/>
      <c r="M259" s="227"/>
      <c r="N259" s="227"/>
      <c r="O259" s="227"/>
      <c r="P259" s="227"/>
      <c r="Q259" s="227"/>
      <c r="R259" s="227"/>
      <c r="S259" s="227"/>
      <c r="T259" s="227"/>
      <c r="U259" s="227"/>
      <c r="V259" s="227"/>
      <c r="W259" s="227"/>
      <c r="X259" s="227"/>
      <c r="Y259" s="227"/>
      <c r="Z259" s="227"/>
      <c r="AA259" s="227"/>
      <c r="AB259" s="227"/>
      <c r="AC259" s="227"/>
      <c r="AD259" s="227"/>
      <c r="AE259" s="227"/>
      <c r="AF259" s="227"/>
      <c r="AG259" s="227"/>
      <c r="AH259" s="227"/>
      <c r="AI259" s="227"/>
      <c r="AJ259" s="227"/>
      <c r="AK259" s="227"/>
      <c r="AL259" s="227"/>
    </row>
    <row r="260" spans="1:38" ht="13.5" customHeight="1">
      <c r="A260" s="227"/>
      <c r="B260" s="227"/>
      <c r="C260" s="227"/>
      <c r="D260" s="227"/>
      <c r="E260" s="227"/>
      <c r="F260" s="227"/>
      <c r="G260" s="227"/>
      <c r="H260" s="227"/>
      <c r="I260" s="227"/>
      <c r="J260" s="227"/>
      <c r="K260" s="227"/>
      <c r="L260" s="227"/>
      <c r="M260" s="227"/>
      <c r="N260" s="227"/>
      <c r="O260" s="227"/>
      <c r="P260" s="227"/>
      <c r="Q260" s="227"/>
      <c r="R260" s="227"/>
      <c r="S260" s="227"/>
      <c r="T260" s="227"/>
      <c r="U260" s="227"/>
      <c r="V260" s="227"/>
      <c r="W260" s="227"/>
      <c r="X260" s="227"/>
      <c r="Y260" s="227"/>
      <c r="Z260" s="227"/>
      <c r="AA260" s="227"/>
      <c r="AB260" s="227"/>
      <c r="AC260" s="227"/>
      <c r="AD260" s="227"/>
      <c r="AE260" s="227"/>
      <c r="AF260" s="227"/>
      <c r="AG260" s="227"/>
      <c r="AH260" s="227"/>
      <c r="AI260" s="227"/>
      <c r="AJ260" s="227"/>
      <c r="AK260" s="227"/>
      <c r="AL260" s="227"/>
    </row>
    <row r="261" spans="1:38" ht="13.5" customHeight="1">
      <c r="A261" s="227"/>
      <c r="B261" s="227"/>
      <c r="C261" s="227"/>
      <c r="D261" s="227"/>
      <c r="E261" s="227"/>
      <c r="F261" s="227"/>
      <c r="G261" s="227"/>
      <c r="H261" s="227"/>
      <c r="I261" s="227"/>
      <c r="J261" s="227"/>
      <c r="K261" s="227"/>
      <c r="L261" s="227"/>
      <c r="M261" s="227"/>
      <c r="N261" s="227"/>
      <c r="O261" s="227"/>
      <c r="P261" s="227"/>
      <c r="Q261" s="227"/>
      <c r="R261" s="227"/>
      <c r="S261" s="227"/>
      <c r="T261" s="227"/>
      <c r="U261" s="227"/>
      <c r="V261" s="227"/>
      <c r="W261" s="227"/>
      <c r="X261" s="227"/>
      <c r="Y261" s="227"/>
      <c r="Z261" s="227"/>
      <c r="AA261" s="227"/>
      <c r="AB261" s="227"/>
      <c r="AC261" s="227"/>
      <c r="AD261" s="227"/>
      <c r="AE261" s="227"/>
      <c r="AF261" s="227"/>
      <c r="AG261" s="227"/>
      <c r="AH261" s="227"/>
      <c r="AI261" s="227"/>
      <c r="AJ261" s="227"/>
      <c r="AK261" s="227"/>
      <c r="AL261" s="227"/>
    </row>
    <row r="262" spans="1:38" ht="13.5" customHeight="1">
      <c r="A262" s="227"/>
      <c r="B262" s="227"/>
      <c r="C262" s="227"/>
      <c r="D262" s="227"/>
      <c r="E262" s="227"/>
      <c r="F262" s="227"/>
      <c r="G262" s="227"/>
      <c r="H262" s="227"/>
      <c r="I262" s="227"/>
      <c r="J262" s="227"/>
      <c r="K262" s="227"/>
      <c r="L262" s="227"/>
      <c r="M262" s="227"/>
      <c r="N262" s="227"/>
      <c r="O262" s="227"/>
      <c r="P262" s="227"/>
      <c r="Q262" s="227"/>
      <c r="R262" s="227"/>
      <c r="S262" s="227"/>
      <c r="T262" s="227"/>
      <c r="U262" s="227"/>
      <c r="V262" s="227"/>
      <c r="W262" s="227"/>
      <c r="X262" s="227"/>
      <c r="Y262" s="227"/>
      <c r="Z262" s="227"/>
      <c r="AA262" s="227"/>
      <c r="AB262" s="227"/>
      <c r="AC262" s="227"/>
      <c r="AD262" s="227"/>
      <c r="AE262" s="227"/>
      <c r="AF262" s="227"/>
      <c r="AG262" s="227"/>
      <c r="AH262" s="227"/>
      <c r="AI262" s="227"/>
      <c r="AJ262" s="227"/>
      <c r="AK262" s="227"/>
      <c r="AL262" s="227"/>
    </row>
    <row r="263" spans="1:38" ht="13.5" customHeight="1">
      <c r="A263" s="227"/>
      <c r="B263" s="227"/>
      <c r="C263" s="227"/>
      <c r="D263" s="227"/>
      <c r="E263" s="227"/>
      <c r="F263" s="227"/>
      <c r="G263" s="227"/>
      <c r="H263" s="227"/>
      <c r="I263" s="227"/>
      <c r="J263" s="227"/>
      <c r="K263" s="227"/>
      <c r="L263" s="227"/>
      <c r="M263" s="227"/>
      <c r="N263" s="227"/>
      <c r="O263" s="227"/>
      <c r="P263" s="227"/>
      <c r="Q263" s="227"/>
      <c r="R263" s="227"/>
      <c r="S263" s="227"/>
      <c r="T263" s="227"/>
      <c r="U263" s="227"/>
      <c r="V263" s="227"/>
      <c r="W263" s="227"/>
      <c r="X263" s="227"/>
      <c r="Y263" s="227"/>
      <c r="Z263" s="227"/>
      <c r="AA263" s="227"/>
      <c r="AB263" s="227"/>
      <c r="AC263" s="227"/>
      <c r="AD263" s="227"/>
      <c r="AE263" s="227"/>
      <c r="AF263" s="227"/>
      <c r="AG263" s="227"/>
      <c r="AH263" s="227"/>
      <c r="AI263" s="227"/>
      <c r="AJ263" s="227"/>
      <c r="AK263" s="227"/>
      <c r="AL263" s="227"/>
    </row>
    <row r="264" spans="1:38" ht="13.5" customHeight="1">
      <c r="A264" s="227"/>
      <c r="B264" s="227"/>
      <c r="C264" s="227"/>
      <c r="D264" s="227"/>
      <c r="E264" s="227"/>
      <c r="F264" s="227"/>
      <c r="G264" s="227"/>
      <c r="H264" s="227"/>
      <c r="I264" s="227"/>
      <c r="J264" s="227"/>
      <c r="K264" s="227"/>
      <c r="L264" s="227"/>
      <c r="M264" s="227"/>
      <c r="N264" s="227"/>
      <c r="O264" s="227"/>
      <c r="P264" s="227"/>
      <c r="Q264" s="227"/>
      <c r="R264" s="227"/>
      <c r="S264" s="227"/>
      <c r="T264" s="227"/>
      <c r="U264" s="227"/>
      <c r="V264" s="227"/>
      <c r="W264" s="227"/>
      <c r="X264" s="227"/>
      <c r="Y264" s="227"/>
      <c r="Z264" s="227"/>
      <c r="AA264" s="227"/>
      <c r="AB264" s="227"/>
      <c r="AC264" s="227"/>
      <c r="AD264" s="227"/>
      <c r="AE264" s="227"/>
      <c r="AF264" s="227"/>
      <c r="AG264" s="227"/>
      <c r="AH264" s="227"/>
      <c r="AI264" s="227"/>
      <c r="AJ264" s="227"/>
      <c r="AK264" s="227"/>
      <c r="AL264" s="227"/>
    </row>
    <row r="265" spans="1:38" ht="13.5" customHeight="1">
      <c r="A265" s="227"/>
      <c r="B265" s="227"/>
      <c r="C265" s="227"/>
      <c r="D265" s="227"/>
      <c r="E265" s="227"/>
      <c r="F265" s="227"/>
      <c r="G265" s="227"/>
      <c r="H265" s="227"/>
      <c r="I265" s="227"/>
      <c r="J265" s="227"/>
      <c r="K265" s="227"/>
      <c r="L265" s="227"/>
      <c r="M265" s="227"/>
      <c r="N265" s="227"/>
      <c r="O265" s="227"/>
      <c r="P265" s="227"/>
      <c r="Q265" s="227"/>
      <c r="R265" s="227"/>
      <c r="S265" s="227"/>
      <c r="T265" s="227"/>
      <c r="U265" s="227"/>
      <c r="V265" s="227"/>
      <c r="W265" s="227"/>
      <c r="X265" s="227"/>
      <c r="Y265" s="227"/>
      <c r="Z265" s="227"/>
      <c r="AA265" s="227"/>
      <c r="AB265" s="227"/>
      <c r="AC265" s="227"/>
      <c r="AD265" s="227"/>
      <c r="AE265" s="227"/>
      <c r="AF265" s="227"/>
      <c r="AG265" s="227"/>
      <c r="AH265" s="227"/>
      <c r="AI265" s="227"/>
      <c r="AJ265" s="227"/>
      <c r="AK265" s="227"/>
      <c r="AL265" s="227"/>
    </row>
    <row r="266" spans="1:38" ht="13.5" customHeight="1">
      <c r="A266" s="227"/>
      <c r="B266" s="227"/>
      <c r="C266" s="227"/>
      <c r="D266" s="227"/>
      <c r="E266" s="227"/>
      <c r="F266" s="227"/>
      <c r="G266" s="227"/>
      <c r="H266" s="227"/>
      <c r="I266" s="227"/>
      <c r="J266" s="227"/>
      <c r="K266" s="227"/>
      <c r="L266" s="227"/>
      <c r="M266" s="227"/>
      <c r="N266" s="227"/>
      <c r="O266" s="227"/>
      <c r="P266" s="227"/>
      <c r="Q266" s="227"/>
      <c r="R266" s="227"/>
      <c r="S266" s="227"/>
      <c r="T266" s="227"/>
      <c r="U266" s="227"/>
      <c r="V266" s="227"/>
      <c r="W266" s="227"/>
      <c r="X266" s="227"/>
      <c r="Y266" s="227"/>
      <c r="Z266" s="227"/>
      <c r="AA266" s="227"/>
      <c r="AB266" s="227"/>
      <c r="AC266" s="227"/>
      <c r="AD266" s="227"/>
      <c r="AE266" s="227"/>
      <c r="AF266" s="227"/>
      <c r="AG266" s="227"/>
      <c r="AH266" s="227"/>
      <c r="AI266" s="227"/>
      <c r="AJ266" s="227"/>
      <c r="AK266" s="227"/>
      <c r="AL266" s="227"/>
    </row>
    <row r="267" spans="1:38" ht="13.5" customHeight="1">
      <c r="A267" s="227"/>
      <c r="B267" s="227"/>
      <c r="C267" s="227"/>
      <c r="D267" s="227"/>
      <c r="E267" s="227"/>
      <c r="F267" s="227"/>
      <c r="G267" s="227"/>
      <c r="H267" s="227"/>
      <c r="I267" s="227"/>
      <c r="J267" s="227"/>
      <c r="K267" s="227"/>
      <c r="L267" s="227"/>
      <c r="M267" s="227"/>
      <c r="N267" s="227"/>
      <c r="O267" s="227"/>
      <c r="P267" s="227"/>
      <c r="Q267" s="227"/>
      <c r="R267" s="227"/>
      <c r="S267" s="227"/>
      <c r="T267" s="227"/>
      <c r="U267" s="227"/>
      <c r="V267" s="227"/>
      <c r="W267" s="227"/>
      <c r="X267" s="227"/>
      <c r="Y267" s="227"/>
      <c r="Z267" s="227"/>
      <c r="AA267" s="227"/>
      <c r="AB267" s="227"/>
      <c r="AC267" s="227"/>
      <c r="AD267" s="227"/>
      <c r="AE267" s="227"/>
      <c r="AF267" s="227"/>
      <c r="AG267" s="227"/>
      <c r="AH267" s="227"/>
      <c r="AI267" s="227"/>
      <c r="AJ267" s="227"/>
      <c r="AK267" s="227"/>
      <c r="AL267" s="227"/>
    </row>
    <row r="268" spans="1:38" ht="13.5" customHeight="1">
      <c r="A268" s="227"/>
      <c r="B268" s="227"/>
      <c r="C268" s="227"/>
      <c r="D268" s="227"/>
      <c r="E268" s="227"/>
      <c r="F268" s="227"/>
      <c r="G268" s="227"/>
      <c r="H268" s="227"/>
      <c r="I268" s="227"/>
      <c r="J268" s="227"/>
      <c r="K268" s="227"/>
      <c r="L268" s="227"/>
      <c r="M268" s="227"/>
      <c r="N268" s="227"/>
      <c r="O268" s="227"/>
      <c r="P268" s="227"/>
      <c r="Q268" s="227"/>
      <c r="R268" s="227"/>
      <c r="S268" s="227"/>
      <c r="T268" s="227"/>
      <c r="U268" s="227"/>
      <c r="V268" s="227"/>
      <c r="W268" s="227"/>
      <c r="X268" s="227"/>
      <c r="Y268" s="227"/>
      <c r="Z268" s="227"/>
      <c r="AA268" s="227"/>
      <c r="AB268" s="227"/>
      <c r="AC268" s="227"/>
      <c r="AD268" s="227"/>
      <c r="AE268" s="227"/>
      <c r="AF268" s="227"/>
      <c r="AG268" s="227"/>
      <c r="AH268" s="227"/>
      <c r="AI268" s="227"/>
      <c r="AJ268" s="227"/>
      <c r="AK268" s="227"/>
      <c r="AL268" s="227"/>
    </row>
    <row r="269" spans="1:38" ht="13.5" customHeight="1">
      <c r="A269" s="227"/>
      <c r="B269" s="227"/>
      <c r="C269" s="227"/>
      <c r="D269" s="227"/>
      <c r="E269" s="227"/>
      <c r="F269" s="227"/>
      <c r="G269" s="227"/>
      <c r="H269" s="227"/>
      <c r="I269" s="227"/>
      <c r="J269" s="227"/>
      <c r="K269" s="227"/>
      <c r="L269" s="227"/>
      <c r="M269" s="227"/>
      <c r="N269" s="227"/>
      <c r="O269" s="227"/>
      <c r="P269" s="227"/>
      <c r="Q269" s="227"/>
      <c r="R269" s="227"/>
      <c r="S269" s="227"/>
      <c r="T269" s="227"/>
      <c r="U269" s="227"/>
      <c r="V269" s="227"/>
      <c r="W269" s="227"/>
      <c r="X269" s="227"/>
      <c r="Y269" s="227"/>
      <c r="Z269" s="227"/>
      <c r="AA269" s="227"/>
      <c r="AB269" s="227"/>
      <c r="AC269" s="227"/>
      <c r="AD269" s="227"/>
      <c r="AE269" s="227"/>
      <c r="AF269" s="227"/>
      <c r="AG269" s="227"/>
      <c r="AH269" s="227"/>
      <c r="AI269" s="227"/>
      <c r="AJ269" s="227"/>
      <c r="AK269" s="227"/>
      <c r="AL269" s="227"/>
    </row>
    <row r="270" spans="1:38" ht="13.5" customHeight="1">
      <c r="A270" s="227"/>
      <c r="B270" s="227"/>
      <c r="C270" s="227"/>
      <c r="D270" s="227"/>
      <c r="E270" s="227"/>
      <c r="F270" s="227"/>
      <c r="G270" s="227"/>
      <c r="H270" s="227"/>
      <c r="I270" s="227"/>
      <c r="J270" s="227"/>
      <c r="K270" s="227"/>
      <c r="L270" s="227"/>
      <c r="M270" s="227"/>
      <c r="N270" s="227"/>
      <c r="O270" s="227"/>
      <c r="P270" s="227"/>
      <c r="Q270" s="227"/>
      <c r="R270" s="227"/>
      <c r="S270" s="227"/>
      <c r="T270" s="227"/>
      <c r="U270" s="227"/>
      <c r="V270" s="227"/>
      <c r="W270" s="227"/>
      <c r="X270" s="227"/>
      <c r="Y270" s="227"/>
      <c r="Z270" s="227"/>
      <c r="AA270" s="227"/>
      <c r="AB270" s="227"/>
      <c r="AC270" s="227"/>
      <c r="AD270" s="227"/>
      <c r="AE270" s="227"/>
      <c r="AF270" s="227"/>
      <c r="AG270" s="227"/>
      <c r="AH270" s="227"/>
      <c r="AI270" s="227"/>
      <c r="AJ270" s="227"/>
      <c r="AK270" s="227"/>
      <c r="AL270" s="227"/>
    </row>
    <row r="271" spans="1:38" ht="13.5" customHeight="1">
      <c r="A271" s="227"/>
      <c r="B271" s="227"/>
      <c r="C271" s="227"/>
      <c r="D271" s="227"/>
      <c r="E271" s="227"/>
      <c r="F271" s="227"/>
      <c r="G271" s="227"/>
      <c r="H271" s="227"/>
      <c r="I271" s="227"/>
      <c r="J271" s="227"/>
      <c r="K271" s="227"/>
      <c r="L271" s="227"/>
      <c r="M271" s="227"/>
      <c r="N271" s="227"/>
      <c r="O271" s="227"/>
      <c r="P271" s="227"/>
      <c r="Q271" s="227"/>
      <c r="R271" s="227"/>
      <c r="S271" s="227"/>
      <c r="T271" s="227"/>
      <c r="U271" s="227"/>
      <c r="V271" s="227"/>
      <c r="W271" s="227"/>
      <c r="X271" s="227"/>
      <c r="Y271" s="227"/>
      <c r="Z271" s="227"/>
      <c r="AA271" s="227"/>
      <c r="AB271" s="227"/>
      <c r="AC271" s="227"/>
      <c r="AD271" s="227"/>
      <c r="AE271" s="227"/>
      <c r="AF271" s="227"/>
      <c r="AG271" s="227"/>
      <c r="AH271" s="227"/>
      <c r="AI271" s="227"/>
      <c r="AJ271" s="227"/>
      <c r="AK271" s="227"/>
      <c r="AL271" s="227"/>
    </row>
    <row r="272" spans="1:38" ht="13.5" customHeight="1">
      <c r="A272" s="227"/>
      <c r="B272" s="227"/>
      <c r="C272" s="227"/>
      <c r="D272" s="227"/>
      <c r="E272" s="227"/>
      <c r="F272" s="227"/>
      <c r="G272" s="227"/>
      <c r="H272" s="227"/>
      <c r="I272" s="227"/>
      <c r="J272" s="227"/>
      <c r="K272" s="227"/>
      <c r="L272" s="227"/>
      <c r="M272" s="227"/>
      <c r="N272" s="227"/>
      <c r="O272" s="227"/>
      <c r="P272" s="227"/>
      <c r="Q272" s="227"/>
      <c r="R272" s="227"/>
      <c r="S272" s="227"/>
      <c r="T272" s="227"/>
      <c r="U272" s="227"/>
      <c r="V272" s="227"/>
      <c r="W272" s="227"/>
      <c r="X272" s="227"/>
      <c r="Y272" s="227"/>
      <c r="Z272" s="227"/>
      <c r="AA272" s="227"/>
      <c r="AB272" s="227"/>
      <c r="AC272" s="227"/>
      <c r="AD272" s="227"/>
      <c r="AE272" s="227"/>
      <c r="AF272" s="227"/>
      <c r="AG272" s="227"/>
      <c r="AH272" s="227"/>
      <c r="AI272" s="227"/>
      <c r="AJ272" s="227"/>
      <c r="AK272" s="227"/>
      <c r="AL272" s="227"/>
    </row>
    <row r="273" spans="1:38" ht="13.5" customHeight="1">
      <c r="A273" s="227"/>
      <c r="B273" s="227"/>
      <c r="C273" s="227"/>
      <c r="D273" s="227"/>
      <c r="E273" s="227"/>
      <c r="F273" s="227"/>
      <c r="G273" s="227"/>
      <c r="H273" s="227"/>
      <c r="I273" s="227"/>
      <c r="J273" s="227"/>
      <c r="K273" s="227"/>
      <c r="L273" s="227"/>
      <c r="M273" s="227"/>
      <c r="N273" s="227"/>
      <c r="O273" s="227"/>
      <c r="P273" s="227"/>
      <c r="Q273" s="227"/>
      <c r="R273" s="227"/>
      <c r="S273" s="227"/>
      <c r="T273" s="227"/>
      <c r="U273" s="227"/>
      <c r="V273" s="227"/>
      <c r="W273" s="227"/>
      <c r="X273" s="227"/>
      <c r="Y273" s="227"/>
      <c r="Z273" s="227"/>
      <c r="AA273" s="227"/>
      <c r="AB273" s="227"/>
      <c r="AC273" s="227"/>
      <c r="AD273" s="227"/>
      <c r="AE273" s="227"/>
      <c r="AF273" s="227"/>
      <c r="AG273" s="227"/>
      <c r="AH273" s="227"/>
      <c r="AI273" s="227"/>
      <c r="AJ273" s="227"/>
      <c r="AK273" s="227"/>
      <c r="AL273" s="227"/>
    </row>
    <row r="274" spans="1:38" ht="13.5" customHeight="1">
      <c r="A274" s="227"/>
      <c r="B274" s="227"/>
      <c r="C274" s="227"/>
      <c r="D274" s="227"/>
      <c r="E274" s="227"/>
      <c r="F274" s="227"/>
      <c r="G274" s="227"/>
      <c r="H274" s="227"/>
      <c r="I274" s="227"/>
      <c r="J274" s="227"/>
      <c r="K274" s="227"/>
      <c r="L274" s="227"/>
      <c r="M274" s="227"/>
      <c r="N274" s="227"/>
      <c r="O274" s="227"/>
      <c r="P274" s="227"/>
      <c r="Q274" s="227"/>
      <c r="R274" s="227"/>
      <c r="S274" s="227"/>
      <c r="T274" s="227"/>
      <c r="U274" s="227"/>
      <c r="V274" s="227"/>
      <c r="W274" s="227"/>
      <c r="X274" s="227"/>
      <c r="Y274" s="227"/>
      <c r="Z274" s="227"/>
      <c r="AA274" s="227"/>
      <c r="AB274" s="227"/>
      <c r="AC274" s="227"/>
      <c r="AD274" s="227"/>
      <c r="AE274" s="227"/>
      <c r="AF274" s="227"/>
      <c r="AG274" s="227"/>
      <c r="AH274" s="227"/>
      <c r="AI274" s="227"/>
      <c r="AJ274" s="227"/>
      <c r="AK274" s="227"/>
      <c r="AL274" s="227"/>
    </row>
    <row r="275" spans="1:38" ht="13.5" customHeight="1">
      <c r="A275" s="227"/>
      <c r="B275" s="227"/>
      <c r="C275" s="227"/>
      <c r="D275" s="227"/>
      <c r="E275" s="227"/>
      <c r="F275" s="227"/>
      <c r="G275" s="227"/>
      <c r="H275" s="227"/>
      <c r="I275" s="227"/>
      <c r="J275" s="227"/>
      <c r="K275" s="227"/>
      <c r="L275" s="227"/>
      <c r="M275" s="227"/>
      <c r="N275" s="227"/>
      <c r="O275" s="227"/>
      <c r="P275" s="227"/>
      <c r="Q275" s="227"/>
      <c r="R275" s="227"/>
      <c r="S275" s="227"/>
      <c r="T275" s="227"/>
      <c r="U275" s="227"/>
      <c r="V275" s="227"/>
      <c r="W275" s="227"/>
      <c r="X275" s="227"/>
      <c r="Y275" s="227"/>
      <c r="Z275" s="227"/>
      <c r="AA275" s="227"/>
      <c r="AB275" s="227"/>
      <c r="AC275" s="227"/>
      <c r="AD275" s="227"/>
      <c r="AE275" s="227"/>
      <c r="AF275" s="227"/>
      <c r="AG275" s="227"/>
      <c r="AH275" s="227"/>
      <c r="AI275" s="227"/>
      <c r="AJ275" s="227"/>
      <c r="AK275" s="227"/>
      <c r="AL275" s="227"/>
    </row>
    <row r="276" spans="1:38" ht="13.5" customHeight="1">
      <c r="A276" s="227"/>
      <c r="B276" s="227"/>
      <c r="C276" s="227"/>
      <c r="D276" s="227"/>
      <c r="E276" s="227"/>
      <c r="F276" s="227"/>
      <c r="G276" s="227"/>
      <c r="H276" s="227"/>
      <c r="I276" s="227"/>
      <c r="J276" s="227"/>
      <c r="K276" s="227"/>
      <c r="L276" s="227"/>
      <c r="M276" s="227"/>
      <c r="N276" s="227"/>
      <c r="O276" s="227"/>
      <c r="P276" s="227"/>
      <c r="Q276" s="227"/>
      <c r="R276" s="227"/>
      <c r="S276" s="227"/>
      <c r="T276" s="227"/>
      <c r="U276" s="227"/>
      <c r="V276" s="227"/>
      <c r="W276" s="227"/>
      <c r="X276" s="227"/>
      <c r="Y276" s="227"/>
      <c r="Z276" s="227"/>
      <c r="AA276" s="227"/>
      <c r="AB276" s="227"/>
      <c r="AC276" s="227"/>
      <c r="AD276" s="227"/>
      <c r="AE276" s="227"/>
      <c r="AF276" s="227"/>
      <c r="AG276" s="227"/>
      <c r="AH276" s="227"/>
      <c r="AI276" s="227"/>
      <c r="AJ276" s="227"/>
      <c r="AK276" s="227"/>
      <c r="AL276" s="227"/>
    </row>
    <row r="277" spans="1:38" ht="13.5" customHeight="1">
      <c r="A277" s="227"/>
      <c r="B277" s="227"/>
      <c r="C277" s="227"/>
      <c r="D277" s="227"/>
      <c r="E277" s="227"/>
      <c r="F277" s="227"/>
      <c r="G277" s="227"/>
      <c r="H277" s="227"/>
      <c r="I277" s="227"/>
      <c r="J277" s="227"/>
      <c r="K277" s="227"/>
      <c r="L277" s="227"/>
      <c r="M277" s="227"/>
      <c r="N277" s="227"/>
      <c r="O277" s="227"/>
      <c r="P277" s="227"/>
      <c r="Q277" s="227"/>
      <c r="R277" s="227"/>
      <c r="S277" s="227"/>
      <c r="T277" s="227"/>
      <c r="U277" s="227"/>
      <c r="V277" s="227"/>
      <c r="W277" s="227"/>
      <c r="X277" s="227"/>
      <c r="Y277" s="227"/>
      <c r="Z277" s="227"/>
      <c r="AA277" s="227"/>
      <c r="AB277" s="227"/>
      <c r="AC277" s="227"/>
      <c r="AD277" s="227"/>
      <c r="AE277" s="227"/>
      <c r="AF277" s="227"/>
      <c r="AG277" s="227"/>
      <c r="AH277" s="227"/>
      <c r="AI277" s="227"/>
      <c r="AJ277" s="227"/>
      <c r="AK277" s="227"/>
      <c r="AL277" s="227"/>
    </row>
    <row r="278" spans="1:38" ht="13.5" customHeight="1">
      <c r="A278" s="227"/>
      <c r="B278" s="227"/>
      <c r="C278" s="227"/>
      <c r="D278" s="227"/>
      <c r="E278" s="227"/>
      <c r="F278" s="227"/>
      <c r="G278" s="227"/>
      <c r="H278" s="227"/>
      <c r="I278" s="227"/>
      <c r="J278" s="227"/>
      <c r="K278" s="227"/>
      <c r="L278" s="227"/>
      <c r="M278" s="227"/>
      <c r="N278" s="227"/>
      <c r="O278" s="227"/>
      <c r="P278" s="227"/>
      <c r="Q278" s="227"/>
      <c r="R278" s="227"/>
      <c r="S278" s="227"/>
      <c r="T278" s="227"/>
      <c r="U278" s="227"/>
      <c r="V278" s="227"/>
      <c r="W278" s="227"/>
      <c r="X278" s="227"/>
      <c r="Y278" s="227"/>
      <c r="Z278" s="227"/>
      <c r="AA278" s="227"/>
      <c r="AB278" s="227"/>
      <c r="AC278" s="227"/>
      <c r="AD278" s="227"/>
      <c r="AE278" s="227"/>
      <c r="AF278" s="227"/>
      <c r="AG278" s="227"/>
      <c r="AH278" s="227"/>
      <c r="AI278" s="227"/>
      <c r="AJ278" s="227"/>
      <c r="AK278" s="227"/>
      <c r="AL278" s="227"/>
    </row>
    <row r="279" spans="1:38" ht="13.5" customHeight="1">
      <c r="A279" s="227"/>
      <c r="B279" s="227"/>
      <c r="C279" s="227"/>
      <c r="D279" s="227"/>
      <c r="E279" s="227"/>
      <c r="F279" s="227"/>
      <c r="G279" s="227"/>
      <c r="H279" s="227"/>
      <c r="I279" s="227"/>
      <c r="J279" s="227"/>
      <c r="K279" s="227"/>
      <c r="L279" s="227"/>
      <c r="M279" s="227"/>
      <c r="N279" s="227"/>
      <c r="O279" s="227"/>
      <c r="P279" s="227"/>
      <c r="Q279" s="227"/>
      <c r="R279" s="227"/>
      <c r="S279" s="227"/>
      <c r="T279" s="227"/>
      <c r="U279" s="227"/>
      <c r="V279" s="227"/>
      <c r="W279" s="227"/>
      <c r="X279" s="227"/>
      <c r="Y279" s="227"/>
      <c r="Z279" s="227"/>
      <c r="AA279" s="227"/>
      <c r="AB279" s="227"/>
      <c r="AC279" s="227"/>
      <c r="AD279" s="227"/>
      <c r="AE279" s="227"/>
      <c r="AF279" s="227"/>
      <c r="AG279" s="227"/>
      <c r="AH279" s="227"/>
      <c r="AI279" s="227"/>
      <c r="AJ279" s="227"/>
      <c r="AK279" s="227"/>
      <c r="AL279" s="227"/>
    </row>
    <row r="280" spans="1:38" ht="13.5" customHeight="1">
      <c r="A280" s="227"/>
      <c r="B280" s="227"/>
      <c r="C280" s="227"/>
      <c r="D280" s="227"/>
      <c r="E280" s="227"/>
      <c r="F280" s="227"/>
      <c r="G280" s="227"/>
      <c r="H280" s="227"/>
      <c r="I280" s="227"/>
      <c r="J280" s="227"/>
      <c r="K280" s="227"/>
      <c r="L280" s="227"/>
      <c r="M280" s="227"/>
      <c r="N280" s="227"/>
      <c r="O280" s="227"/>
      <c r="P280" s="227"/>
      <c r="Q280" s="227"/>
      <c r="R280" s="227"/>
      <c r="S280" s="227"/>
      <c r="T280" s="227"/>
      <c r="U280" s="227"/>
      <c r="V280" s="227"/>
      <c r="W280" s="227"/>
      <c r="X280" s="227"/>
      <c r="Y280" s="227"/>
      <c r="Z280" s="227"/>
      <c r="AA280" s="227"/>
      <c r="AB280" s="227"/>
      <c r="AC280" s="227"/>
      <c r="AD280" s="227"/>
      <c r="AE280" s="227"/>
      <c r="AF280" s="227"/>
      <c r="AG280" s="227"/>
      <c r="AH280" s="227"/>
      <c r="AI280" s="227"/>
      <c r="AJ280" s="227"/>
      <c r="AK280" s="227"/>
      <c r="AL280" s="227"/>
    </row>
    <row r="281" spans="1:38" ht="13.5" customHeight="1">
      <c r="A281" s="227"/>
      <c r="B281" s="227"/>
      <c r="C281" s="227"/>
      <c r="D281" s="227"/>
      <c r="E281" s="227"/>
      <c r="F281" s="227"/>
      <c r="G281" s="227"/>
      <c r="H281" s="227"/>
      <c r="I281" s="227"/>
      <c r="J281" s="227"/>
      <c r="K281" s="227"/>
      <c r="L281" s="227"/>
      <c r="M281" s="227"/>
      <c r="N281" s="227"/>
      <c r="O281" s="227"/>
      <c r="P281" s="227"/>
      <c r="Q281" s="227"/>
      <c r="R281" s="227"/>
      <c r="S281" s="227"/>
      <c r="T281" s="227"/>
      <c r="U281" s="227"/>
      <c r="V281" s="227"/>
      <c r="W281" s="227"/>
      <c r="X281" s="227"/>
      <c r="Y281" s="227"/>
      <c r="Z281" s="227"/>
      <c r="AA281" s="227"/>
      <c r="AB281" s="227"/>
      <c r="AC281" s="227"/>
      <c r="AD281" s="227"/>
      <c r="AE281" s="227"/>
      <c r="AF281" s="227"/>
      <c r="AG281" s="227"/>
      <c r="AH281" s="227"/>
      <c r="AI281" s="227"/>
      <c r="AJ281" s="227"/>
      <c r="AK281" s="227"/>
      <c r="AL281" s="227"/>
    </row>
    <row r="282" spans="1:38" ht="13.5" customHeight="1">
      <c r="A282" s="227"/>
      <c r="B282" s="227"/>
      <c r="C282" s="227"/>
      <c r="D282" s="227"/>
      <c r="E282" s="227"/>
      <c r="F282" s="227"/>
      <c r="G282" s="227"/>
      <c r="H282" s="227"/>
      <c r="I282" s="227"/>
      <c r="J282" s="227"/>
      <c r="K282" s="227"/>
      <c r="L282" s="227"/>
      <c r="M282" s="227"/>
      <c r="N282" s="227"/>
      <c r="O282" s="227"/>
      <c r="P282" s="227"/>
      <c r="Q282" s="227"/>
      <c r="R282" s="227"/>
      <c r="S282" s="227"/>
      <c r="T282" s="227"/>
      <c r="U282" s="227"/>
      <c r="V282" s="227"/>
      <c r="W282" s="227"/>
      <c r="X282" s="227"/>
      <c r="Y282" s="227"/>
      <c r="Z282" s="227"/>
      <c r="AA282" s="227"/>
      <c r="AB282" s="227"/>
      <c r="AC282" s="227"/>
      <c r="AD282" s="227"/>
      <c r="AE282" s="227"/>
      <c r="AF282" s="227"/>
      <c r="AG282" s="227"/>
      <c r="AH282" s="227"/>
      <c r="AI282" s="227"/>
      <c r="AJ282" s="227"/>
      <c r="AK282" s="227"/>
      <c r="AL282" s="227"/>
    </row>
    <row r="283" spans="1:38" ht="13.5" customHeight="1">
      <c r="A283" s="227"/>
      <c r="B283" s="227"/>
      <c r="C283" s="227"/>
      <c r="D283" s="227"/>
      <c r="E283" s="227"/>
      <c r="F283" s="227"/>
      <c r="G283" s="227"/>
      <c r="H283" s="227"/>
      <c r="I283" s="227"/>
      <c r="J283" s="227"/>
      <c r="K283" s="227"/>
      <c r="L283" s="227"/>
      <c r="M283" s="227"/>
      <c r="N283" s="227"/>
      <c r="O283" s="227"/>
      <c r="P283" s="227"/>
      <c r="Q283" s="227"/>
      <c r="R283" s="227"/>
      <c r="S283" s="227"/>
      <c r="T283" s="227"/>
      <c r="U283" s="227"/>
      <c r="V283" s="227"/>
      <c r="W283" s="227"/>
      <c r="X283" s="227"/>
      <c r="Y283" s="227"/>
      <c r="Z283" s="227"/>
      <c r="AA283" s="227"/>
      <c r="AB283" s="227"/>
      <c r="AC283" s="227"/>
      <c r="AD283" s="227"/>
      <c r="AE283" s="227"/>
      <c r="AF283" s="227"/>
      <c r="AG283" s="227"/>
      <c r="AH283" s="227"/>
      <c r="AI283" s="227"/>
      <c r="AJ283" s="227"/>
      <c r="AK283" s="227"/>
      <c r="AL283" s="227"/>
    </row>
    <row r="284" spans="1:38" ht="13.5" customHeight="1">
      <c r="A284" s="227"/>
      <c r="B284" s="227"/>
      <c r="C284" s="227"/>
      <c r="D284" s="227"/>
      <c r="E284" s="227"/>
      <c r="F284" s="227"/>
      <c r="G284" s="227"/>
      <c r="H284" s="227"/>
      <c r="I284" s="227"/>
      <c r="J284" s="227"/>
      <c r="K284" s="227"/>
      <c r="L284" s="227"/>
      <c r="M284" s="227"/>
      <c r="N284" s="227"/>
      <c r="O284" s="227"/>
      <c r="P284" s="227"/>
      <c r="Q284" s="227"/>
      <c r="R284" s="227"/>
      <c r="S284" s="227"/>
      <c r="T284" s="227"/>
      <c r="U284" s="227"/>
      <c r="V284" s="227"/>
      <c r="W284" s="227"/>
      <c r="X284" s="227"/>
      <c r="Y284" s="227"/>
      <c r="Z284" s="227"/>
      <c r="AA284" s="227"/>
      <c r="AB284" s="227"/>
      <c r="AC284" s="227"/>
      <c r="AD284" s="227"/>
      <c r="AE284" s="227"/>
      <c r="AF284" s="227"/>
      <c r="AG284" s="227"/>
      <c r="AH284" s="227"/>
      <c r="AI284" s="227"/>
      <c r="AJ284" s="227"/>
      <c r="AK284" s="227"/>
      <c r="AL284" s="227"/>
    </row>
    <row r="285" spans="1:38" ht="13.5" customHeight="1">
      <c r="A285" s="227"/>
      <c r="B285" s="227"/>
      <c r="C285" s="227"/>
      <c r="D285" s="227"/>
      <c r="E285" s="227"/>
      <c r="F285" s="227"/>
      <c r="G285" s="227"/>
      <c r="H285" s="227"/>
      <c r="I285" s="227"/>
      <c r="J285" s="227"/>
      <c r="K285" s="227"/>
      <c r="L285" s="227"/>
      <c r="M285" s="227"/>
      <c r="N285" s="227"/>
      <c r="O285" s="227"/>
      <c r="P285" s="227"/>
      <c r="Q285" s="227"/>
      <c r="R285" s="227"/>
      <c r="S285" s="227"/>
      <c r="T285" s="227"/>
      <c r="U285" s="227"/>
      <c r="V285" s="227"/>
      <c r="W285" s="227"/>
      <c r="X285" s="227"/>
      <c r="Y285" s="227"/>
      <c r="Z285" s="227"/>
      <c r="AA285" s="227"/>
      <c r="AB285" s="227"/>
      <c r="AC285" s="227"/>
      <c r="AD285" s="227"/>
      <c r="AE285" s="227"/>
      <c r="AF285" s="227"/>
      <c r="AG285" s="227"/>
      <c r="AH285" s="227"/>
      <c r="AI285" s="227"/>
      <c r="AJ285" s="227"/>
      <c r="AK285" s="227"/>
      <c r="AL285" s="227"/>
    </row>
    <row r="286" spans="1:38" ht="13.5" customHeight="1">
      <c r="A286" s="227"/>
      <c r="B286" s="227"/>
      <c r="C286" s="227"/>
      <c r="D286" s="227"/>
      <c r="E286" s="227"/>
      <c r="F286" s="227"/>
      <c r="G286" s="227"/>
      <c r="H286" s="227"/>
      <c r="I286" s="227"/>
      <c r="J286" s="227"/>
      <c r="K286" s="227"/>
      <c r="L286" s="227"/>
      <c r="M286" s="227"/>
      <c r="N286" s="227"/>
      <c r="O286" s="227"/>
      <c r="P286" s="227"/>
      <c r="Q286" s="227"/>
      <c r="R286" s="227"/>
      <c r="S286" s="227"/>
      <c r="T286" s="227"/>
      <c r="U286" s="227"/>
      <c r="V286" s="227"/>
      <c r="W286" s="227"/>
      <c r="X286" s="227"/>
      <c r="Y286" s="227"/>
      <c r="Z286" s="227"/>
      <c r="AA286" s="227"/>
      <c r="AB286" s="227"/>
      <c r="AC286" s="227"/>
      <c r="AD286" s="227"/>
      <c r="AE286" s="227"/>
      <c r="AF286" s="227"/>
      <c r="AG286" s="227"/>
      <c r="AH286" s="227"/>
      <c r="AI286" s="227"/>
      <c r="AJ286" s="227"/>
      <c r="AK286" s="227"/>
      <c r="AL286" s="227"/>
    </row>
    <row r="287" spans="1:38" ht="13.5" customHeight="1">
      <c r="A287" s="227"/>
      <c r="B287" s="227"/>
      <c r="C287" s="227"/>
      <c r="D287" s="227"/>
      <c r="E287" s="227"/>
      <c r="F287" s="227"/>
      <c r="G287" s="227"/>
      <c r="H287" s="227"/>
      <c r="I287" s="227"/>
      <c r="J287" s="227"/>
      <c r="K287" s="227"/>
      <c r="L287" s="227"/>
      <c r="M287" s="227"/>
      <c r="N287" s="227"/>
      <c r="O287" s="227"/>
      <c r="P287" s="227"/>
      <c r="Q287" s="227"/>
      <c r="R287" s="227"/>
      <c r="S287" s="227"/>
      <c r="T287" s="227"/>
      <c r="U287" s="227"/>
      <c r="V287" s="227"/>
      <c r="W287" s="227"/>
      <c r="X287" s="227"/>
      <c r="Y287" s="227"/>
      <c r="Z287" s="227"/>
      <c r="AA287" s="227"/>
      <c r="AB287" s="227"/>
      <c r="AC287" s="227"/>
      <c r="AD287" s="227"/>
      <c r="AE287" s="227"/>
      <c r="AF287" s="227"/>
      <c r="AG287" s="227"/>
      <c r="AH287" s="227"/>
      <c r="AI287" s="227"/>
      <c r="AJ287" s="227"/>
      <c r="AK287" s="227"/>
      <c r="AL287" s="227"/>
    </row>
    <row r="288" spans="1:38" ht="13.5" customHeight="1">
      <c r="A288" s="227"/>
      <c r="B288" s="227"/>
      <c r="C288" s="227"/>
      <c r="D288" s="227"/>
      <c r="E288" s="227"/>
      <c r="F288" s="227"/>
      <c r="G288" s="227"/>
      <c r="H288" s="227"/>
      <c r="I288" s="227"/>
      <c r="J288" s="227"/>
      <c r="K288" s="227"/>
      <c r="L288" s="227"/>
      <c r="M288" s="227"/>
      <c r="N288" s="227"/>
      <c r="O288" s="227"/>
      <c r="P288" s="227"/>
      <c r="Q288" s="227"/>
      <c r="R288" s="227"/>
      <c r="S288" s="227"/>
      <c r="T288" s="227"/>
      <c r="U288" s="227"/>
      <c r="V288" s="227"/>
      <c r="W288" s="227"/>
      <c r="X288" s="227"/>
      <c r="Y288" s="227"/>
      <c r="Z288" s="227"/>
      <c r="AA288" s="227"/>
      <c r="AB288" s="227"/>
      <c r="AC288" s="227"/>
      <c r="AD288" s="227"/>
      <c r="AE288" s="227"/>
      <c r="AF288" s="227"/>
      <c r="AG288" s="227"/>
      <c r="AH288" s="227"/>
      <c r="AI288" s="227"/>
      <c r="AJ288" s="227"/>
      <c r="AK288" s="227"/>
      <c r="AL288" s="227"/>
    </row>
    <row r="289" spans="1:38" ht="13.5" customHeight="1">
      <c r="A289" s="227"/>
      <c r="B289" s="227"/>
      <c r="C289" s="227"/>
      <c r="D289" s="227"/>
      <c r="E289" s="227"/>
      <c r="F289" s="227"/>
      <c r="G289" s="227"/>
      <c r="H289" s="227"/>
      <c r="I289" s="227"/>
      <c r="J289" s="227"/>
      <c r="K289" s="227"/>
      <c r="L289" s="227"/>
      <c r="M289" s="227"/>
      <c r="N289" s="227"/>
      <c r="O289" s="227"/>
      <c r="P289" s="227"/>
      <c r="Q289" s="227"/>
      <c r="R289" s="227"/>
      <c r="S289" s="227"/>
      <c r="T289" s="227"/>
      <c r="U289" s="227"/>
      <c r="V289" s="227"/>
      <c r="W289" s="227"/>
      <c r="X289" s="227"/>
      <c r="Y289" s="227"/>
      <c r="Z289" s="227"/>
      <c r="AA289" s="227"/>
      <c r="AB289" s="227"/>
      <c r="AC289" s="227"/>
      <c r="AD289" s="227"/>
      <c r="AE289" s="227"/>
      <c r="AF289" s="227"/>
      <c r="AG289" s="227"/>
      <c r="AH289" s="227"/>
      <c r="AI289" s="227"/>
      <c r="AJ289" s="227"/>
      <c r="AK289" s="227"/>
      <c r="AL289" s="227"/>
    </row>
    <row r="290" spans="1:38" ht="13.5" customHeight="1">
      <c r="A290" s="227"/>
      <c r="B290" s="227"/>
      <c r="C290" s="227"/>
      <c r="D290" s="227"/>
      <c r="E290" s="227"/>
      <c r="F290" s="227"/>
      <c r="G290" s="227"/>
      <c r="H290" s="227"/>
      <c r="I290" s="227"/>
      <c r="J290" s="227"/>
      <c r="K290" s="227"/>
      <c r="L290" s="227"/>
      <c r="M290" s="227"/>
      <c r="N290" s="227"/>
      <c r="O290" s="227"/>
      <c r="P290" s="227"/>
      <c r="Q290" s="227"/>
      <c r="R290" s="227"/>
      <c r="S290" s="227"/>
      <c r="T290" s="227"/>
      <c r="U290" s="227"/>
      <c r="V290" s="227"/>
      <c r="W290" s="227"/>
      <c r="X290" s="227"/>
      <c r="Y290" s="227"/>
      <c r="Z290" s="227"/>
      <c r="AA290" s="227"/>
      <c r="AB290" s="227"/>
      <c r="AC290" s="227"/>
      <c r="AD290" s="227"/>
      <c r="AE290" s="227"/>
      <c r="AF290" s="227"/>
      <c r="AG290" s="227"/>
      <c r="AH290" s="227"/>
      <c r="AI290" s="227"/>
      <c r="AJ290" s="227"/>
      <c r="AK290" s="227"/>
      <c r="AL290" s="227"/>
    </row>
    <row r="291" spans="1:38" ht="13.5" customHeight="1">
      <c r="A291" s="227"/>
      <c r="B291" s="227"/>
      <c r="C291" s="227"/>
      <c r="D291" s="227"/>
      <c r="E291" s="227"/>
      <c r="F291" s="227"/>
      <c r="G291" s="227"/>
      <c r="H291" s="227"/>
      <c r="I291" s="227"/>
      <c r="J291" s="227"/>
      <c r="K291" s="227"/>
      <c r="L291" s="227"/>
      <c r="M291" s="227"/>
      <c r="N291" s="227"/>
      <c r="O291" s="227"/>
      <c r="P291" s="227"/>
      <c r="Q291" s="227"/>
      <c r="R291" s="227"/>
      <c r="S291" s="227"/>
      <c r="T291" s="227"/>
      <c r="U291" s="227"/>
      <c r="V291" s="227"/>
      <c r="W291" s="227"/>
      <c r="X291" s="227"/>
      <c r="Y291" s="227"/>
      <c r="Z291" s="227"/>
      <c r="AA291" s="227"/>
      <c r="AB291" s="227"/>
      <c r="AC291" s="227"/>
      <c r="AD291" s="227"/>
      <c r="AE291" s="227"/>
      <c r="AF291" s="227"/>
      <c r="AG291" s="227"/>
      <c r="AH291" s="227"/>
      <c r="AI291" s="227"/>
      <c r="AJ291" s="227"/>
      <c r="AK291" s="227"/>
      <c r="AL291" s="227"/>
    </row>
    <row r="292" spans="1:38" ht="13.5" customHeight="1">
      <c r="A292" s="227"/>
      <c r="B292" s="227"/>
      <c r="C292" s="227"/>
      <c r="D292" s="227"/>
      <c r="E292" s="227"/>
      <c r="F292" s="227"/>
      <c r="G292" s="227"/>
      <c r="H292" s="227"/>
      <c r="I292" s="227"/>
      <c r="J292" s="227"/>
      <c r="K292" s="227"/>
      <c r="L292" s="227"/>
      <c r="M292" s="227"/>
      <c r="N292" s="227"/>
      <c r="O292" s="227"/>
      <c r="P292" s="227"/>
      <c r="Q292" s="227"/>
      <c r="R292" s="227"/>
      <c r="S292" s="227"/>
      <c r="T292" s="227"/>
      <c r="U292" s="227"/>
      <c r="V292" s="227"/>
      <c r="W292" s="227"/>
      <c r="X292" s="227"/>
      <c r="Y292" s="227"/>
      <c r="Z292" s="227"/>
      <c r="AA292" s="227"/>
      <c r="AB292" s="227"/>
      <c r="AC292" s="227"/>
      <c r="AD292" s="227"/>
      <c r="AE292" s="227"/>
      <c r="AF292" s="227"/>
      <c r="AG292" s="227"/>
      <c r="AH292" s="227"/>
      <c r="AI292" s="227"/>
      <c r="AJ292" s="227"/>
      <c r="AK292" s="227"/>
      <c r="AL292" s="227"/>
    </row>
    <row r="293" spans="1:38" ht="13.5" customHeight="1">
      <c r="A293" s="227"/>
      <c r="B293" s="227"/>
      <c r="C293" s="227"/>
      <c r="D293" s="227"/>
      <c r="E293" s="227"/>
      <c r="F293" s="227"/>
      <c r="G293" s="227"/>
      <c r="H293" s="227"/>
      <c r="I293" s="227"/>
      <c r="J293" s="227"/>
      <c r="K293" s="227"/>
      <c r="L293" s="227"/>
      <c r="M293" s="227"/>
      <c r="N293" s="227"/>
      <c r="O293" s="227"/>
      <c r="P293" s="227"/>
      <c r="Q293" s="227"/>
      <c r="R293" s="227"/>
      <c r="S293" s="227"/>
      <c r="T293" s="227"/>
      <c r="U293" s="227"/>
      <c r="V293" s="227"/>
      <c r="W293" s="227"/>
      <c r="X293" s="227"/>
      <c r="Y293" s="227"/>
      <c r="Z293" s="227"/>
      <c r="AA293" s="227"/>
      <c r="AB293" s="227"/>
      <c r="AC293" s="227"/>
      <c r="AD293" s="227"/>
      <c r="AE293" s="227"/>
      <c r="AF293" s="227"/>
      <c r="AG293" s="227"/>
      <c r="AH293" s="227"/>
      <c r="AI293" s="227"/>
      <c r="AJ293" s="227"/>
      <c r="AK293" s="227"/>
      <c r="AL293" s="227"/>
    </row>
    <row r="294" spans="1:38" ht="13.5" customHeight="1">
      <c r="A294" s="227"/>
      <c r="B294" s="227"/>
      <c r="C294" s="227"/>
      <c r="D294" s="227"/>
      <c r="E294" s="227"/>
      <c r="F294" s="227"/>
      <c r="G294" s="227"/>
      <c r="H294" s="227"/>
      <c r="I294" s="227"/>
      <c r="J294" s="227"/>
      <c r="K294" s="227"/>
      <c r="L294" s="227"/>
      <c r="M294" s="227"/>
      <c r="N294" s="227"/>
      <c r="O294" s="227"/>
      <c r="P294" s="227"/>
      <c r="Q294" s="227"/>
      <c r="R294" s="227"/>
      <c r="S294" s="227"/>
      <c r="T294" s="227"/>
      <c r="U294" s="227"/>
      <c r="V294" s="227"/>
      <c r="W294" s="227"/>
      <c r="X294" s="227"/>
      <c r="Y294" s="227"/>
      <c r="Z294" s="227"/>
      <c r="AA294" s="227"/>
      <c r="AB294" s="227"/>
      <c r="AC294" s="227"/>
      <c r="AD294" s="227"/>
      <c r="AE294" s="227"/>
      <c r="AF294" s="227"/>
      <c r="AG294" s="227"/>
      <c r="AH294" s="227"/>
      <c r="AI294" s="227"/>
      <c r="AJ294" s="227"/>
      <c r="AK294" s="227"/>
      <c r="AL294" s="227"/>
    </row>
    <row r="295" spans="1:38" ht="13.5" customHeight="1">
      <c r="A295" s="227"/>
      <c r="B295" s="227"/>
      <c r="C295" s="227"/>
      <c r="D295" s="227"/>
      <c r="E295" s="227"/>
      <c r="F295" s="227"/>
      <c r="G295" s="227"/>
      <c r="H295" s="227"/>
      <c r="I295" s="227"/>
      <c r="J295" s="227"/>
      <c r="K295" s="227"/>
      <c r="L295" s="227"/>
      <c r="M295" s="227"/>
      <c r="N295" s="227"/>
      <c r="O295" s="227"/>
      <c r="P295" s="227"/>
      <c r="Q295" s="227"/>
      <c r="R295" s="227"/>
      <c r="S295" s="227"/>
      <c r="T295" s="227"/>
      <c r="U295" s="227"/>
      <c r="V295" s="227"/>
      <c r="W295" s="227"/>
      <c r="X295" s="227"/>
      <c r="Y295" s="227"/>
      <c r="Z295" s="227"/>
      <c r="AA295" s="227"/>
      <c r="AB295" s="227"/>
      <c r="AC295" s="227"/>
      <c r="AD295" s="227"/>
      <c r="AE295" s="227"/>
      <c r="AF295" s="227"/>
      <c r="AG295" s="227"/>
      <c r="AH295" s="227"/>
      <c r="AI295" s="227"/>
      <c r="AJ295" s="227"/>
      <c r="AK295" s="227"/>
      <c r="AL295" s="227"/>
    </row>
    <row r="296" spans="1:38" ht="13.5" customHeight="1">
      <c r="A296" s="227"/>
      <c r="B296" s="227"/>
      <c r="C296" s="227"/>
      <c r="D296" s="227"/>
      <c r="E296" s="227"/>
      <c r="F296" s="227"/>
      <c r="G296" s="227"/>
      <c r="H296" s="227"/>
      <c r="I296" s="227"/>
      <c r="J296" s="227"/>
      <c r="K296" s="227"/>
      <c r="L296" s="227"/>
      <c r="M296" s="227"/>
      <c r="N296" s="227"/>
      <c r="O296" s="227"/>
      <c r="P296" s="227"/>
      <c r="Q296" s="227"/>
      <c r="R296" s="227"/>
      <c r="S296" s="227"/>
      <c r="T296" s="227"/>
      <c r="U296" s="227"/>
      <c r="V296" s="227"/>
      <c r="W296" s="227"/>
      <c r="X296" s="227"/>
      <c r="Y296" s="227"/>
      <c r="Z296" s="227"/>
      <c r="AA296" s="227"/>
      <c r="AB296" s="227"/>
      <c r="AC296" s="227"/>
      <c r="AD296" s="227"/>
      <c r="AE296" s="227"/>
      <c r="AF296" s="227"/>
      <c r="AG296" s="227"/>
      <c r="AH296" s="227"/>
      <c r="AI296" s="227"/>
      <c r="AJ296" s="227"/>
      <c r="AK296" s="227"/>
      <c r="AL296" s="227"/>
    </row>
    <row r="297" spans="1:38" ht="13.5" customHeight="1">
      <c r="A297" s="227"/>
      <c r="B297" s="227"/>
      <c r="C297" s="227"/>
      <c r="D297" s="227"/>
      <c r="E297" s="227"/>
      <c r="F297" s="227"/>
      <c r="G297" s="227"/>
      <c r="H297" s="227"/>
      <c r="I297" s="227"/>
      <c r="J297" s="227"/>
      <c r="K297" s="227"/>
      <c r="L297" s="227"/>
      <c r="M297" s="227"/>
      <c r="N297" s="227"/>
      <c r="O297" s="227"/>
      <c r="P297" s="227"/>
      <c r="Q297" s="227"/>
      <c r="R297" s="227"/>
      <c r="S297" s="227"/>
      <c r="T297" s="227"/>
      <c r="U297" s="227"/>
      <c r="V297" s="227"/>
      <c r="W297" s="227"/>
      <c r="X297" s="227"/>
      <c r="Y297" s="227"/>
      <c r="Z297" s="227"/>
      <c r="AA297" s="227"/>
      <c r="AB297" s="227"/>
      <c r="AC297" s="227"/>
      <c r="AD297" s="227"/>
      <c r="AE297" s="227"/>
      <c r="AF297" s="227"/>
      <c r="AG297" s="227"/>
      <c r="AH297" s="227"/>
      <c r="AI297" s="227"/>
      <c r="AJ297" s="227"/>
      <c r="AK297" s="227"/>
      <c r="AL297" s="227"/>
    </row>
    <row r="298" spans="1:38" ht="13.5" customHeight="1">
      <c r="A298" s="227"/>
      <c r="B298" s="227"/>
      <c r="C298" s="227"/>
      <c r="D298" s="227"/>
      <c r="E298" s="227"/>
      <c r="F298" s="227"/>
      <c r="G298" s="227"/>
      <c r="H298" s="227"/>
      <c r="I298" s="227"/>
      <c r="J298" s="227"/>
      <c r="K298" s="227"/>
      <c r="L298" s="227"/>
      <c r="M298" s="227"/>
      <c r="N298" s="227"/>
      <c r="O298" s="227"/>
      <c r="P298" s="227"/>
      <c r="Q298" s="227"/>
      <c r="R298" s="227"/>
      <c r="S298" s="227"/>
      <c r="T298" s="227"/>
      <c r="U298" s="227"/>
      <c r="V298" s="227"/>
      <c r="W298" s="227"/>
      <c r="X298" s="227"/>
      <c r="Y298" s="227"/>
      <c r="Z298" s="227"/>
      <c r="AA298" s="227"/>
      <c r="AB298" s="227"/>
      <c r="AC298" s="227"/>
      <c r="AD298" s="227"/>
      <c r="AE298" s="227"/>
      <c r="AF298" s="227"/>
      <c r="AG298" s="227"/>
      <c r="AH298" s="227"/>
      <c r="AI298" s="227"/>
      <c r="AJ298" s="227"/>
      <c r="AK298" s="227"/>
      <c r="AL298" s="227"/>
    </row>
    <row r="299" spans="1:38" ht="13.5" customHeight="1">
      <c r="A299" s="227"/>
      <c r="B299" s="227"/>
      <c r="C299" s="227"/>
      <c r="D299" s="227"/>
      <c r="E299" s="227"/>
      <c r="F299" s="227"/>
      <c r="G299" s="227"/>
      <c r="H299" s="227"/>
      <c r="I299" s="227"/>
      <c r="J299" s="227"/>
      <c r="K299" s="227"/>
      <c r="L299" s="227"/>
      <c r="M299" s="227"/>
      <c r="N299" s="227"/>
      <c r="O299" s="227"/>
      <c r="P299" s="227"/>
      <c r="Q299" s="227"/>
      <c r="R299" s="227"/>
      <c r="S299" s="227"/>
      <c r="T299" s="227"/>
      <c r="U299" s="227"/>
      <c r="V299" s="227"/>
      <c r="W299" s="227"/>
      <c r="X299" s="227"/>
      <c r="Y299" s="227"/>
      <c r="Z299" s="227"/>
      <c r="AA299" s="227"/>
      <c r="AB299" s="227"/>
      <c r="AC299" s="227"/>
      <c r="AD299" s="227"/>
      <c r="AE299" s="227"/>
      <c r="AF299" s="227"/>
      <c r="AG299" s="227"/>
      <c r="AH299" s="227"/>
      <c r="AI299" s="227"/>
      <c r="AJ299" s="227"/>
      <c r="AK299" s="227"/>
      <c r="AL299" s="227"/>
    </row>
    <row r="300" spans="1:38" ht="13.5" customHeight="1">
      <c r="A300" s="227"/>
      <c r="B300" s="227"/>
      <c r="C300" s="227"/>
      <c r="D300" s="227"/>
      <c r="E300" s="227"/>
      <c r="F300" s="227"/>
      <c r="G300" s="227"/>
      <c r="H300" s="227"/>
      <c r="I300" s="227"/>
      <c r="J300" s="227"/>
      <c r="K300" s="227"/>
      <c r="L300" s="227"/>
      <c r="M300" s="227"/>
      <c r="N300" s="227"/>
      <c r="O300" s="227"/>
      <c r="P300" s="227"/>
      <c r="Q300" s="227"/>
      <c r="R300" s="227"/>
      <c r="S300" s="227"/>
      <c r="T300" s="227"/>
      <c r="U300" s="227"/>
      <c r="V300" s="227"/>
      <c r="W300" s="227"/>
      <c r="X300" s="227"/>
      <c r="Y300" s="227"/>
      <c r="Z300" s="227"/>
      <c r="AA300" s="227"/>
      <c r="AB300" s="227"/>
      <c r="AC300" s="227"/>
      <c r="AD300" s="227"/>
      <c r="AE300" s="227"/>
      <c r="AF300" s="227"/>
      <c r="AG300" s="227"/>
      <c r="AH300" s="227"/>
      <c r="AI300" s="227"/>
      <c r="AJ300" s="227"/>
      <c r="AK300" s="227"/>
      <c r="AL300" s="227"/>
    </row>
    <row r="301" spans="1:38" ht="13.5" customHeight="1">
      <c r="A301" s="227"/>
      <c r="B301" s="227"/>
      <c r="C301" s="227"/>
      <c r="D301" s="227"/>
      <c r="E301" s="227"/>
      <c r="F301" s="227"/>
      <c r="G301" s="227"/>
      <c r="H301" s="227"/>
      <c r="I301" s="227"/>
      <c r="J301" s="227"/>
      <c r="K301" s="227"/>
      <c r="L301" s="227"/>
      <c r="M301" s="227"/>
      <c r="N301" s="227"/>
      <c r="O301" s="227"/>
      <c r="P301" s="227"/>
      <c r="Q301" s="227"/>
      <c r="R301" s="227"/>
      <c r="S301" s="227"/>
      <c r="T301" s="227"/>
      <c r="U301" s="227"/>
      <c r="V301" s="227"/>
      <c r="W301" s="227"/>
      <c r="X301" s="227"/>
      <c r="Y301" s="227"/>
      <c r="Z301" s="227"/>
      <c r="AA301" s="227"/>
      <c r="AB301" s="227"/>
      <c r="AC301" s="227"/>
      <c r="AD301" s="227"/>
      <c r="AE301" s="227"/>
      <c r="AF301" s="227"/>
      <c r="AG301" s="227"/>
      <c r="AH301" s="227"/>
      <c r="AI301" s="227"/>
      <c r="AJ301" s="227"/>
      <c r="AK301" s="227"/>
      <c r="AL301" s="227"/>
    </row>
    <row r="302" spans="1:38" ht="13.5" customHeight="1">
      <c r="A302" s="227"/>
      <c r="B302" s="227"/>
      <c r="C302" s="227"/>
      <c r="D302" s="227"/>
      <c r="E302" s="227"/>
      <c r="F302" s="227"/>
      <c r="G302" s="227"/>
      <c r="H302" s="227"/>
      <c r="I302" s="227"/>
      <c r="J302" s="227"/>
      <c r="K302" s="227"/>
      <c r="L302" s="227"/>
      <c r="M302" s="227"/>
      <c r="N302" s="227"/>
      <c r="O302" s="227"/>
      <c r="P302" s="227"/>
      <c r="Q302" s="227"/>
      <c r="R302" s="227"/>
      <c r="S302" s="227"/>
      <c r="T302" s="227"/>
      <c r="U302" s="227"/>
      <c r="V302" s="227"/>
      <c r="W302" s="227"/>
      <c r="X302" s="227"/>
      <c r="Y302" s="227"/>
      <c r="Z302" s="227"/>
      <c r="AA302" s="227"/>
      <c r="AB302" s="227"/>
      <c r="AC302" s="227"/>
      <c r="AD302" s="227"/>
      <c r="AE302" s="227"/>
      <c r="AF302" s="227"/>
      <c r="AG302" s="227"/>
      <c r="AH302" s="227"/>
      <c r="AI302" s="227"/>
      <c r="AJ302" s="227"/>
      <c r="AK302" s="227"/>
      <c r="AL302" s="227"/>
    </row>
    <row r="303" spans="1:38" ht="13.5" customHeight="1">
      <c r="A303" s="227"/>
      <c r="B303" s="227"/>
      <c r="C303" s="227"/>
      <c r="D303" s="227"/>
      <c r="E303" s="227"/>
      <c r="F303" s="227"/>
      <c r="G303" s="227"/>
      <c r="H303" s="227"/>
      <c r="I303" s="227"/>
      <c r="J303" s="227"/>
      <c r="K303" s="227"/>
      <c r="L303" s="227"/>
      <c r="M303" s="227"/>
      <c r="N303" s="227"/>
      <c r="O303" s="227"/>
      <c r="P303" s="227"/>
      <c r="Q303" s="227"/>
      <c r="R303" s="227"/>
      <c r="S303" s="227"/>
      <c r="T303" s="227"/>
      <c r="U303" s="227"/>
      <c r="V303" s="227"/>
      <c r="W303" s="227"/>
      <c r="X303" s="227"/>
      <c r="Y303" s="227"/>
      <c r="Z303" s="227"/>
      <c r="AA303" s="227"/>
      <c r="AB303" s="227"/>
      <c r="AC303" s="227"/>
      <c r="AD303" s="227"/>
      <c r="AE303" s="227"/>
      <c r="AF303" s="227"/>
      <c r="AG303" s="227"/>
      <c r="AH303" s="227"/>
      <c r="AI303" s="227"/>
      <c r="AJ303" s="227"/>
      <c r="AK303" s="227"/>
      <c r="AL303" s="227"/>
    </row>
    <row r="304" spans="1:38" ht="13.5" customHeight="1">
      <c r="A304" s="227"/>
      <c r="B304" s="227"/>
      <c r="C304" s="227"/>
      <c r="D304" s="227"/>
      <c r="E304" s="227"/>
      <c r="F304" s="227"/>
      <c r="G304" s="227"/>
      <c r="H304" s="227"/>
      <c r="I304" s="227"/>
      <c r="J304" s="227"/>
      <c r="K304" s="227"/>
      <c r="L304" s="227"/>
      <c r="M304" s="227"/>
      <c r="N304" s="227"/>
      <c r="O304" s="227"/>
      <c r="P304" s="227"/>
      <c r="Q304" s="227"/>
      <c r="R304" s="227"/>
      <c r="S304" s="227"/>
      <c r="T304" s="227"/>
      <c r="U304" s="227"/>
      <c r="V304" s="227"/>
      <c r="W304" s="227"/>
      <c r="X304" s="227"/>
      <c r="Y304" s="227"/>
      <c r="Z304" s="227"/>
      <c r="AA304" s="227"/>
      <c r="AB304" s="227"/>
      <c r="AC304" s="227"/>
      <c r="AD304" s="227"/>
      <c r="AE304" s="227"/>
      <c r="AF304" s="227"/>
      <c r="AG304" s="227"/>
      <c r="AH304" s="227"/>
      <c r="AI304" s="227"/>
      <c r="AJ304" s="227"/>
      <c r="AK304" s="227"/>
      <c r="AL304" s="227"/>
    </row>
    <row r="305" spans="1:38" ht="13.5" customHeight="1">
      <c r="A305" s="227"/>
      <c r="B305" s="227"/>
      <c r="C305" s="227"/>
      <c r="D305" s="227"/>
      <c r="E305" s="227"/>
      <c r="F305" s="227"/>
      <c r="G305" s="227"/>
      <c r="H305" s="227"/>
      <c r="I305" s="227"/>
      <c r="J305" s="227"/>
      <c r="K305" s="227"/>
      <c r="L305" s="227"/>
      <c r="M305" s="227"/>
      <c r="N305" s="227"/>
      <c r="O305" s="227"/>
      <c r="P305" s="227"/>
      <c r="Q305" s="227"/>
      <c r="R305" s="227"/>
      <c r="S305" s="227"/>
      <c r="T305" s="227"/>
      <c r="U305" s="227"/>
      <c r="V305" s="227"/>
      <c r="W305" s="227"/>
      <c r="X305" s="227"/>
      <c r="Y305" s="227"/>
      <c r="Z305" s="227"/>
      <c r="AA305" s="227"/>
      <c r="AB305" s="227"/>
      <c r="AC305" s="227"/>
      <c r="AD305" s="227"/>
      <c r="AE305" s="227"/>
      <c r="AF305" s="227"/>
      <c r="AG305" s="227"/>
      <c r="AH305" s="227"/>
      <c r="AI305" s="227"/>
      <c r="AJ305" s="227"/>
      <c r="AK305" s="227"/>
      <c r="AL305" s="227"/>
    </row>
    <row r="306" spans="1:38" ht="13.5" customHeight="1">
      <c r="A306" s="227"/>
      <c r="B306" s="227"/>
      <c r="C306" s="227"/>
      <c r="D306" s="227"/>
      <c r="E306" s="227"/>
      <c r="F306" s="227"/>
      <c r="G306" s="227"/>
      <c r="H306" s="227"/>
      <c r="I306" s="227"/>
      <c r="J306" s="227"/>
      <c r="K306" s="227"/>
      <c r="L306" s="227"/>
      <c r="M306" s="227"/>
      <c r="N306" s="227"/>
      <c r="O306" s="227"/>
      <c r="P306" s="227"/>
      <c r="Q306" s="227"/>
      <c r="R306" s="227"/>
      <c r="S306" s="227"/>
      <c r="T306" s="227"/>
      <c r="U306" s="227"/>
      <c r="V306" s="227"/>
      <c r="W306" s="227"/>
      <c r="X306" s="227"/>
      <c r="Y306" s="227"/>
      <c r="Z306" s="227"/>
      <c r="AA306" s="227"/>
      <c r="AB306" s="227"/>
      <c r="AC306" s="227"/>
      <c r="AD306" s="227"/>
      <c r="AE306" s="227"/>
      <c r="AF306" s="227"/>
      <c r="AG306" s="227"/>
      <c r="AH306" s="227"/>
      <c r="AI306" s="227"/>
      <c r="AJ306" s="227"/>
      <c r="AK306" s="227"/>
      <c r="AL306" s="227"/>
    </row>
    <row r="307" spans="1:38" ht="13.5" customHeight="1">
      <c r="A307" s="227"/>
      <c r="B307" s="227"/>
      <c r="C307" s="227"/>
      <c r="D307" s="227"/>
      <c r="E307" s="227"/>
      <c r="F307" s="227"/>
      <c r="G307" s="227"/>
      <c r="H307" s="227"/>
      <c r="I307" s="227"/>
      <c r="J307" s="227"/>
      <c r="K307" s="227"/>
      <c r="L307" s="227"/>
      <c r="M307" s="227"/>
      <c r="N307" s="227"/>
      <c r="O307" s="227"/>
      <c r="P307" s="227"/>
      <c r="Q307" s="227"/>
      <c r="R307" s="227"/>
      <c r="S307" s="227"/>
      <c r="T307" s="227"/>
      <c r="U307" s="227"/>
      <c r="V307" s="227"/>
      <c r="W307" s="227"/>
      <c r="X307" s="227"/>
      <c r="Y307" s="227"/>
      <c r="Z307" s="227"/>
      <c r="AA307" s="227"/>
      <c r="AB307" s="227"/>
      <c r="AC307" s="227"/>
      <c r="AD307" s="227"/>
      <c r="AE307" s="227"/>
      <c r="AF307" s="227"/>
      <c r="AG307" s="227"/>
      <c r="AH307" s="227"/>
      <c r="AI307" s="227"/>
      <c r="AJ307" s="227"/>
      <c r="AK307" s="227"/>
      <c r="AL307" s="227"/>
    </row>
    <row r="308" spans="1:38" ht="13.5" customHeight="1">
      <c r="A308" s="227"/>
      <c r="B308" s="227"/>
      <c r="C308" s="227"/>
      <c r="D308" s="227"/>
      <c r="E308" s="227"/>
      <c r="F308" s="227"/>
      <c r="G308" s="227"/>
      <c r="H308" s="227"/>
      <c r="I308" s="227"/>
      <c r="J308" s="227"/>
      <c r="K308" s="227"/>
      <c r="L308" s="227"/>
      <c r="M308" s="227"/>
      <c r="N308" s="227"/>
      <c r="O308" s="227"/>
      <c r="P308" s="227"/>
      <c r="Q308" s="227"/>
      <c r="R308" s="227"/>
      <c r="S308" s="227"/>
      <c r="T308" s="227"/>
      <c r="U308" s="227"/>
      <c r="V308" s="227"/>
      <c r="W308" s="227"/>
      <c r="X308" s="227"/>
      <c r="Y308" s="227"/>
      <c r="Z308" s="227"/>
      <c r="AA308" s="227"/>
      <c r="AB308" s="227"/>
      <c r="AC308" s="227"/>
      <c r="AD308" s="227"/>
      <c r="AE308" s="227"/>
      <c r="AF308" s="227"/>
      <c r="AG308" s="227"/>
      <c r="AH308" s="227"/>
      <c r="AI308" s="227"/>
      <c r="AJ308" s="227"/>
      <c r="AK308" s="227"/>
      <c r="AL308" s="227"/>
    </row>
    <row r="309" spans="1:38" ht="13.5" customHeight="1">
      <c r="A309" s="227"/>
      <c r="B309" s="227"/>
      <c r="C309" s="227"/>
      <c r="D309" s="227"/>
      <c r="E309" s="227"/>
      <c r="F309" s="227"/>
      <c r="G309" s="227"/>
      <c r="H309" s="227"/>
      <c r="I309" s="227"/>
      <c r="J309" s="227"/>
      <c r="K309" s="227"/>
      <c r="L309" s="227"/>
      <c r="M309" s="227"/>
      <c r="N309" s="227"/>
      <c r="O309" s="227"/>
      <c r="P309" s="227"/>
      <c r="Q309" s="227"/>
      <c r="R309" s="227"/>
      <c r="S309" s="227"/>
      <c r="T309" s="227"/>
      <c r="U309" s="227"/>
      <c r="V309" s="227"/>
      <c r="W309" s="227"/>
      <c r="X309" s="227"/>
      <c r="Y309" s="227"/>
      <c r="Z309" s="227"/>
      <c r="AA309" s="227"/>
      <c r="AB309" s="227"/>
      <c r="AC309" s="227"/>
      <c r="AD309" s="227"/>
      <c r="AE309" s="227"/>
      <c r="AF309" s="227"/>
      <c r="AG309" s="227"/>
      <c r="AH309" s="227"/>
      <c r="AI309" s="227"/>
      <c r="AJ309" s="227"/>
      <c r="AK309" s="227"/>
      <c r="AL309" s="227"/>
    </row>
    <row r="310" spans="1:38" ht="13.5" customHeight="1">
      <c r="A310" s="227"/>
      <c r="B310" s="227"/>
      <c r="C310" s="227"/>
      <c r="D310" s="227"/>
      <c r="E310" s="227"/>
      <c r="F310" s="227"/>
      <c r="G310" s="227"/>
      <c r="H310" s="227"/>
      <c r="I310" s="227"/>
      <c r="J310" s="227"/>
      <c r="K310" s="227"/>
      <c r="L310" s="227"/>
      <c r="M310" s="227"/>
      <c r="N310" s="227"/>
      <c r="O310" s="227"/>
      <c r="P310" s="227"/>
      <c r="Q310" s="227"/>
      <c r="R310" s="227"/>
      <c r="S310" s="227"/>
      <c r="T310" s="227"/>
      <c r="U310" s="227"/>
      <c r="V310" s="227"/>
      <c r="W310" s="227"/>
      <c r="X310" s="227"/>
      <c r="Y310" s="227"/>
      <c r="Z310" s="227"/>
      <c r="AA310" s="227"/>
      <c r="AB310" s="227"/>
      <c r="AC310" s="227"/>
      <c r="AD310" s="227"/>
      <c r="AE310" s="227"/>
      <c r="AF310" s="227"/>
      <c r="AG310" s="227"/>
      <c r="AH310" s="227"/>
      <c r="AI310" s="227"/>
      <c r="AJ310" s="227"/>
      <c r="AK310" s="227"/>
      <c r="AL310" s="227"/>
    </row>
    <row r="311" spans="1:38" ht="13.5" customHeight="1">
      <c r="A311" s="227"/>
      <c r="B311" s="227"/>
      <c r="C311" s="227"/>
      <c r="D311" s="227"/>
      <c r="E311" s="227"/>
      <c r="F311" s="227"/>
      <c r="G311" s="227"/>
      <c r="H311" s="227"/>
      <c r="I311" s="227"/>
      <c r="J311" s="227"/>
      <c r="K311" s="227"/>
      <c r="L311" s="227"/>
      <c r="M311" s="227"/>
      <c r="N311" s="227"/>
      <c r="O311" s="227"/>
      <c r="P311" s="227"/>
      <c r="Q311" s="227"/>
      <c r="R311" s="227"/>
      <c r="S311" s="227"/>
      <c r="T311" s="227"/>
      <c r="U311" s="227"/>
      <c r="V311" s="227"/>
      <c r="W311" s="227"/>
      <c r="X311" s="227"/>
      <c r="Y311" s="227"/>
      <c r="Z311" s="227"/>
      <c r="AA311" s="227"/>
      <c r="AB311" s="227"/>
      <c r="AC311" s="227"/>
      <c r="AD311" s="227"/>
      <c r="AE311" s="227"/>
      <c r="AF311" s="227"/>
      <c r="AG311" s="227"/>
      <c r="AH311" s="227"/>
      <c r="AI311" s="227"/>
      <c r="AJ311" s="227"/>
      <c r="AK311" s="227"/>
      <c r="AL311" s="227"/>
    </row>
    <row r="312" spans="1:38" ht="13.5" customHeight="1">
      <c r="A312" s="227"/>
      <c r="B312" s="227"/>
      <c r="C312" s="227"/>
      <c r="D312" s="227"/>
      <c r="E312" s="227"/>
      <c r="F312" s="227"/>
      <c r="G312" s="227"/>
      <c r="H312" s="227"/>
      <c r="I312" s="227"/>
      <c r="J312" s="227"/>
      <c r="K312" s="227"/>
      <c r="L312" s="227"/>
      <c r="M312" s="227"/>
      <c r="N312" s="227"/>
      <c r="O312" s="227"/>
      <c r="P312" s="227"/>
      <c r="Q312" s="227"/>
      <c r="R312" s="227"/>
      <c r="S312" s="227"/>
      <c r="T312" s="227"/>
      <c r="U312" s="227"/>
      <c r="V312" s="227"/>
      <c r="W312" s="227"/>
      <c r="X312" s="227"/>
      <c r="Y312" s="227"/>
      <c r="Z312" s="227"/>
      <c r="AA312" s="227"/>
      <c r="AB312" s="227"/>
      <c r="AC312" s="227"/>
      <c r="AD312" s="227"/>
      <c r="AE312" s="227"/>
      <c r="AF312" s="227"/>
      <c r="AG312" s="227"/>
      <c r="AH312" s="227"/>
      <c r="AI312" s="227"/>
      <c r="AJ312" s="227"/>
      <c r="AK312" s="227"/>
      <c r="AL312" s="227"/>
    </row>
    <row r="313" spans="1:38" ht="13.5" customHeight="1">
      <c r="A313" s="227"/>
      <c r="B313" s="227"/>
      <c r="C313" s="227"/>
      <c r="D313" s="227"/>
      <c r="E313" s="227"/>
      <c r="F313" s="227"/>
      <c r="G313" s="227"/>
      <c r="H313" s="227"/>
      <c r="I313" s="227"/>
      <c r="J313" s="227"/>
      <c r="K313" s="227"/>
      <c r="L313" s="227"/>
      <c r="M313" s="227"/>
      <c r="N313" s="227"/>
      <c r="O313" s="227"/>
      <c r="P313" s="227"/>
      <c r="Q313" s="227"/>
      <c r="R313" s="227"/>
      <c r="S313" s="227"/>
      <c r="T313" s="227"/>
      <c r="U313" s="227"/>
      <c r="V313" s="227"/>
      <c r="W313" s="227"/>
      <c r="X313" s="227"/>
      <c r="Y313" s="227"/>
      <c r="Z313" s="227"/>
      <c r="AA313" s="227"/>
      <c r="AB313" s="227"/>
      <c r="AC313" s="227"/>
      <c r="AD313" s="227"/>
      <c r="AE313" s="227"/>
      <c r="AF313" s="227"/>
      <c r="AG313" s="227"/>
      <c r="AH313" s="227"/>
      <c r="AI313" s="227"/>
      <c r="AJ313" s="227"/>
      <c r="AK313" s="227"/>
      <c r="AL313" s="227"/>
    </row>
    <row r="314" spans="1:38" ht="13.5" customHeight="1">
      <c r="A314" s="227"/>
      <c r="B314" s="227"/>
      <c r="C314" s="227"/>
      <c r="D314" s="227"/>
      <c r="E314" s="227"/>
      <c r="F314" s="227"/>
      <c r="G314" s="227"/>
      <c r="H314" s="227"/>
      <c r="I314" s="227"/>
      <c r="J314" s="227"/>
      <c r="K314" s="227"/>
      <c r="L314" s="227"/>
      <c r="M314" s="227"/>
      <c r="N314" s="227"/>
      <c r="O314" s="227"/>
      <c r="P314" s="227"/>
      <c r="Q314" s="227"/>
      <c r="R314" s="227"/>
      <c r="S314" s="227"/>
      <c r="T314" s="227"/>
      <c r="U314" s="227"/>
      <c r="V314" s="227"/>
      <c r="W314" s="227"/>
      <c r="X314" s="227"/>
      <c r="Y314" s="227"/>
      <c r="Z314" s="227"/>
      <c r="AA314" s="227"/>
      <c r="AB314" s="227"/>
      <c r="AC314" s="227"/>
      <c r="AD314" s="227"/>
      <c r="AE314" s="227"/>
      <c r="AF314" s="227"/>
      <c r="AG314" s="227"/>
      <c r="AH314" s="227"/>
      <c r="AI314" s="227"/>
      <c r="AJ314" s="227"/>
      <c r="AK314" s="227"/>
      <c r="AL314" s="227"/>
    </row>
    <row r="315" spans="1:38" ht="13.5" customHeight="1">
      <c r="A315" s="227"/>
      <c r="B315" s="227"/>
      <c r="C315" s="227"/>
      <c r="D315" s="227"/>
      <c r="E315" s="227"/>
      <c r="F315" s="227"/>
      <c r="G315" s="227"/>
      <c r="H315" s="227"/>
      <c r="I315" s="227"/>
      <c r="J315" s="227"/>
      <c r="K315" s="227"/>
      <c r="L315" s="227"/>
      <c r="M315" s="227"/>
      <c r="N315" s="227"/>
      <c r="O315" s="227"/>
      <c r="P315" s="227"/>
      <c r="Q315" s="227"/>
      <c r="R315" s="227"/>
      <c r="S315" s="227"/>
      <c r="T315" s="227"/>
      <c r="U315" s="227"/>
      <c r="V315" s="227"/>
      <c r="W315" s="227"/>
      <c r="X315" s="227"/>
      <c r="Y315" s="227"/>
      <c r="Z315" s="227"/>
      <c r="AA315" s="227"/>
      <c r="AB315" s="227"/>
      <c r="AC315" s="227"/>
      <c r="AD315" s="227"/>
      <c r="AE315" s="227"/>
      <c r="AF315" s="227"/>
      <c r="AG315" s="227"/>
      <c r="AH315" s="227"/>
      <c r="AI315" s="227"/>
      <c r="AJ315" s="227"/>
      <c r="AK315" s="227"/>
      <c r="AL315" s="227"/>
    </row>
    <row r="316" spans="1:38" ht="13.5" customHeight="1">
      <c r="A316" s="227"/>
      <c r="B316" s="227"/>
      <c r="C316" s="227"/>
      <c r="D316" s="227"/>
      <c r="E316" s="227"/>
      <c r="F316" s="227"/>
      <c r="G316" s="227"/>
      <c r="H316" s="227"/>
      <c r="I316" s="227"/>
      <c r="J316" s="227"/>
      <c r="K316" s="227"/>
      <c r="L316" s="227"/>
      <c r="M316" s="227"/>
      <c r="N316" s="227"/>
      <c r="O316" s="227"/>
      <c r="P316" s="227"/>
      <c r="Q316" s="227"/>
      <c r="R316" s="227"/>
      <c r="S316" s="227"/>
      <c r="T316" s="227"/>
      <c r="U316" s="227"/>
      <c r="V316" s="227"/>
      <c r="W316" s="227"/>
      <c r="X316" s="227"/>
      <c r="Y316" s="227"/>
      <c r="Z316" s="227"/>
      <c r="AA316" s="227"/>
      <c r="AB316" s="227"/>
      <c r="AC316" s="227"/>
      <c r="AD316" s="227"/>
      <c r="AE316" s="227"/>
      <c r="AF316" s="227"/>
      <c r="AG316" s="227"/>
      <c r="AH316" s="227"/>
      <c r="AI316" s="227"/>
      <c r="AJ316" s="227"/>
      <c r="AK316" s="227"/>
      <c r="AL316" s="227"/>
    </row>
    <row r="317" spans="1:38" ht="13.5" customHeight="1">
      <c r="A317" s="227"/>
      <c r="B317" s="227"/>
      <c r="C317" s="227"/>
      <c r="D317" s="227"/>
      <c r="E317" s="227"/>
      <c r="F317" s="227"/>
      <c r="G317" s="227"/>
      <c r="H317" s="227"/>
      <c r="I317" s="227"/>
      <c r="J317" s="227"/>
      <c r="K317" s="227"/>
      <c r="L317" s="227"/>
      <c r="M317" s="227"/>
      <c r="N317" s="227"/>
      <c r="O317" s="227"/>
      <c r="P317" s="227"/>
      <c r="Q317" s="227"/>
      <c r="R317" s="227"/>
      <c r="S317" s="227"/>
      <c r="T317" s="227"/>
      <c r="U317" s="227"/>
      <c r="V317" s="227"/>
      <c r="W317" s="227"/>
      <c r="X317" s="227"/>
      <c r="Y317" s="227"/>
      <c r="Z317" s="227"/>
      <c r="AA317" s="227"/>
      <c r="AB317" s="227"/>
      <c r="AC317" s="227"/>
      <c r="AD317" s="227"/>
      <c r="AE317" s="227"/>
      <c r="AF317" s="227"/>
      <c r="AG317" s="227"/>
      <c r="AH317" s="227"/>
      <c r="AI317" s="227"/>
      <c r="AJ317" s="227"/>
      <c r="AK317" s="227"/>
      <c r="AL317" s="227"/>
    </row>
    <row r="318" spans="1:38" ht="13.5" customHeight="1">
      <c r="A318" s="227"/>
      <c r="B318" s="227"/>
      <c r="C318" s="227"/>
      <c r="D318" s="227"/>
      <c r="E318" s="227"/>
      <c r="F318" s="227"/>
      <c r="G318" s="227"/>
      <c r="H318" s="227"/>
      <c r="I318" s="227"/>
      <c r="J318" s="227"/>
      <c r="K318" s="227"/>
      <c r="L318" s="227"/>
      <c r="M318" s="227"/>
      <c r="N318" s="227"/>
      <c r="O318" s="227"/>
      <c r="P318" s="227"/>
      <c r="Q318" s="227"/>
      <c r="R318" s="227"/>
      <c r="S318" s="227"/>
      <c r="T318" s="227"/>
      <c r="U318" s="227"/>
      <c r="V318" s="227"/>
      <c r="W318" s="227"/>
      <c r="X318" s="227"/>
      <c r="Y318" s="227"/>
      <c r="Z318" s="227"/>
      <c r="AA318" s="227"/>
      <c r="AB318" s="227"/>
      <c r="AC318" s="227"/>
      <c r="AD318" s="227"/>
      <c r="AE318" s="227"/>
      <c r="AF318" s="227"/>
      <c r="AG318" s="227"/>
      <c r="AH318" s="227"/>
      <c r="AI318" s="227"/>
      <c r="AJ318" s="227"/>
      <c r="AK318" s="227"/>
      <c r="AL318" s="227"/>
    </row>
    <row r="319" spans="1:38" ht="13.5" customHeight="1">
      <c r="A319" s="227"/>
      <c r="B319" s="227"/>
      <c r="C319" s="227"/>
      <c r="D319" s="227"/>
      <c r="E319" s="227"/>
      <c r="F319" s="227"/>
      <c r="G319" s="227"/>
      <c r="H319" s="227"/>
      <c r="I319" s="227"/>
      <c r="J319" s="227"/>
      <c r="K319" s="227"/>
      <c r="L319" s="227"/>
      <c r="M319" s="227"/>
      <c r="N319" s="227"/>
      <c r="O319" s="227"/>
      <c r="P319" s="227"/>
      <c r="Q319" s="227"/>
      <c r="R319" s="227"/>
      <c r="S319" s="227"/>
      <c r="T319" s="227"/>
      <c r="U319" s="227"/>
      <c r="V319" s="227"/>
      <c r="W319" s="227"/>
      <c r="X319" s="227"/>
      <c r="Y319" s="227"/>
      <c r="Z319" s="227"/>
      <c r="AA319" s="227"/>
      <c r="AB319" s="227"/>
      <c r="AC319" s="227"/>
      <c r="AD319" s="227"/>
      <c r="AE319" s="227"/>
      <c r="AF319" s="227"/>
      <c r="AG319" s="227"/>
      <c r="AH319" s="227"/>
      <c r="AI319" s="227"/>
      <c r="AJ319" s="227"/>
      <c r="AK319" s="227"/>
      <c r="AL319" s="227"/>
    </row>
    <row r="320" spans="1:38" ht="13.5" customHeight="1">
      <c r="A320" s="227"/>
      <c r="B320" s="227"/>
      <c r="C320" s="227"/>
      <c r="D320" s="227"/>
      <c r="E320" s="227"/>
      <c r="F320" s="227"/>
      <c r="G320" s="227"/>
      <c r="H320" s="227"/>
      <c r="I320" s="227"/>
      <c r="J320" s="227"/>
      <c r="K320" s="227"/>
      <c r="L320" s="227"/>
      <c r="M320" s="227"/>
      <c r="N320" s="227"/>
      <c r="O320" s="227"/>
      <c r="P320" s="227"/>
      <c r="Q320" s="227"/>
      <c r="R320" s="227"/>
      <c r="S320" s="227"/>
      <c r="T320" s="227"/>
      <c r="U320" s="227"/>
      <c r="V320" s="227"/>
      <c r="W320" s="227"/>
      <c r="X320" s="227"/>
      <c r="Y320" s="227"/>
      <c r="Z320" s="227"/>
      <c r="AA320" s="227"/>
      <c r="AB320" s="227"/>
      <c r="AC320" s="227"/>
      <c r="AD320" s="227"/>
      <c r="AE320" s="227"/>
      <c r="AF320" s="227"/>
      <c r="AG320" s="227"/>
      <c r="AH320" s="227"/>
      <c r="AI320" s="227"/>
      <c r="AJ320" s="227"/>
      <c r="AK320" s="227"/>
      <c r="AL320" s="227"/>
    </row>
    <row r="321" spans="1:38" ht="13.5" customHeight="1">
      <c r="A321" s="227"/>
      <c r="B321" s="227"/>
      <c r="C321" s="227"/>
      <c r="D321" s="227"/>
      <c r="E321" s="227"/>
      <c r="F321" s="227"/>
      <c r="G321" s="227"/>
      <c r="H321" s="227"/>
      <c r="I321" s="227"/>
      <c r="J321" s="227"/>
      <c r="K321" s="227"/>
      <c r="L321" s="227"/>
      <c r="M321" s="227"/>
      <c r="N321" s="227"/>
      <c r="O321" s="227"/>
      <c r="P321" s="227"/>
      <c r="Q321" s="227"/>
      <c r="R321" s="227"/>
      <c r="S321" s="227"/>
      <c r="T321" s="227"/>
      <c r="U321" s="227"/>
      <c r="V321" s="227"/>
      <c r="W321" s="227"/>
      <c r="X321" s="227"/>
      <c r="Y321" s="227"/>
      <c r="Z321" s="227"/>
      <c r="AA321" s="227"/>
      <c r="AB321" s="227"/>
      <c r="AC321" s="227"/>
      <c r="AD321" s="227"/>
      <c r="AE321" s="227"/>
      <c r="AF321" s="227"/>
      <c r="AG321" s="227"/>
      <c r="AH321" s="227"/>
      <c r="AI321" s="227"/>
      <c r="AJ321" s="227"/>
      <c r="AK321" s="227"/>
      <c r="AL321" s="227"/>
    </row>
    <row r="322" spans="1:38" ht="13.5" customHeight="1">
      <c r="A322" s="227"/>
      <c r="B322" s="227"/>
      <c r="C322" s="227"/>
      <c r="D322" s="227"/>
      <c r="E322" s="227"/>
      <c r="F322" s="227"/>
      <c r="G322" s="227"/>
      <c r="H322" s="227"/>
      <c r="I322" s="227"/>
      <c r="J322" s="227"/>
      <c r="K322" s="227"/>
      <c r="L322" s="227"/>
      <c r="M322" s="227"/>
      <c r="N322" s="227"/>
      <c r="O322" s="227"/>
      <c r="P322" s="227"/>
      <c r="Q322" s="227"/>
      <c r="R322" s="227"/>
      <c r="S322" s="227"/>
      <c r="T322" s="227"/>
      <c r="U322" s="227"/>
      <c r="V322" s="227"/>
      <c r="W322" s="227"/>
      <c r="X322" s="227"/>
      <c r="Y322" s="227"/>
      <c r="Z322" s="227"/>
      <c r="AA322" s="227"/>
      <c r="AB322" s="227"/>
      <c r="AC322" s="227"/>
      <c r="AD322" s="227"/>
      <c r="AE322" s="227"/>
      <c r="AF322" s="227"/>
      <c r="AG322" s="227"/>
      <c r="AH322" s="227"/>
      <c r="AI322" s="227"/>
      <c r="AJ322" s="227"/>
      <c r="AK322" s="227"/>
      <c r="AL322" s="227"/>
    </row>
    <row r="323" spans="1:38" ht="13.5" customHeight="1">
      <c r="A323" s="227"/>
      <c r="B323" s="227"/>
      <c r="C323" s="227"/>
      <c r="D323" s="227"/>
      <c r="E323" s="227"/>
      <c r="F323" s="227"/>
      <c r="G323" s="227"/>
      <c r="H323" s="227"/>
      <c r="I323" s="227"/>
      <c r="J323" s="227"/>
      <c r="K323" s="227"/>
      <c r="L323" s="227"/>
      <c r="M323" s="227"/>
      <c r="N323" s="227"/>
      <c r="O323" s="227"/>
      <c r="P323" s="227"/>
      <c r="Q323" s="227"/>
      <c r="R323" s="227"/>
      <c r="S323" s="227"/>
      <c r="T323" s="227"/>
      <c r="U323" s="227"/>
      <c r="V323" s="227"/>
      <c r="W323" s="227"/>
      <c r="X323" s="227"/>
      <c r="Y323" s="227"/>
      <c r="Z323" s="227"/>
      <c r="AA323" s="227"/>
      <c r="AB323" s="227"/>
      <c r="AC323" s="227"/>
      <c r="AD323" s="227"/>
      <c r="AE323" s="227"/>
      <c r="AF323" s="227"/>
      <c r="AG323" s="227"/>
      <c r="AH323" s="227"/>
      <c r="AI323" s="227"/>
      <c r="AJ323" s="227"/>
      <c r="AK323" s="227"/>
      <c r="AL323" s="227"/>
    </row>
    <row r="324" spans="1:38" ht="13.5" customHeight="1">
      <c r="A324" s="227"/>
      <c r="B324" s="227"/>
      <c r="C324" s="227"/>
      <c r="D324" s="227"/>
      <c r="E324" s="227"/>
      <c r="F324" s="227"/>
      <c r="G324" s="227"/>
      <c r="H324" s="227"/>
      <c r="I324" s="227"/>
      <c r="J324" s="227"/>
      <c r="K324" s="227"/>
      <c r="L324" s="227"/>
      <c r="M324" s="227"/>
      <c r="N324" s="227"/>
      <c r="O324" s="227"/>
      <c r="P324" s="227"/>
      <c r="Q324" s="227"/>
      <c r="R324" s="227"/>
      <c r="S324" s="227"/>
      <c r="T324" s="227"/>
      <c r="U324" s="227"/>
      <c r="V324" s="227"/>
      <c r="W324" s="227"/>
      <c r="X324" s="227"/>
      <c r="Y324" s="227"/>
      <c r="Z324" s="227"/>
      <c r="AA324" s="227"/>
      <c r="AB324" s="227"/>
      <c r="AC324" s="227"/>
      <c r="AD324" s="227"/>
      <c r="AE324" s="227"/>
      <c r="AF324" s="227"/>
      <c r="AG324" s="227"/>
      <c r="AH324" s="227"/>
      <c r="AI324" s="227"/>
      <c r="AJ324" s="227"/>
      <c r="AK324" s="227"/>
      <c r="AL324" s="227"/>
    </row>
    <row r="325" spans="1:38" ht="13.5" customHeight="1">
      <c r="A325" s="227"/>
      <c r="B325" s="227"/>
      <c r="C325" s="227"/>
      <c r="D325" s="227"/>
      <c r="E325" s="227"/>
      <c r="F325" s="227"/>
      <c r="G325" s="227"/>
      <c r="H325" s="227"/>
      <c r="I325" s="227"/>
      <c r="J325" s="227"/>
      <c r="K325" s="227"/>
      <c r="L325" s="227"/>
      <c r="M325" s="227"/>
      <c r="N325" s="227"/>
      <c r="O325" s="227"/>
      <c r="P325" s="227"/>
      <c r="Q325" s="227"/>
      <c r="R325" s="227"/>
      <c r="S325" s="227"/>
      <c r="T325" s="227"/>
      <c r="U325" s="227"/>
      <c r="V325" s="227"/>
      <c r="W325" s="227"/>
      <c r="X325" s="227"/>
      <c r="Y325" s="227"/>
      <c r="Z325" s="227"/>
      <c r="AA325" s="227"/>
      <c r="AB325" s="227"/>
      <c r="AC325" s="227"/>
      <c r="AD325" s="227"/>
      <c r="AE325" s="227"/>
      <c r="AF325" s="227"/>
      <c r="AG325" s="227"/>
      <c r="AH325" s="227"/>
      <c r="AI325" s="227"/>
      <c r="AJ325" s="227"/>
      <c r="AK325" s="227"/>
      <c r="AL325" s="227"/>
    </row>
    <row r="326" spans="1:38" ht="13.5" customHeight="1">
      <c r="A326" s="227"/>
      <c r="B326" s="227"/>
      <c r="C326" s="227"/>
      <c r="D326" s="227"/>
      <c r="E326" s="227"/>
      <c r="F326" s="227"/>
      <c r="G326" s="227"/>
      <c r="H326" s="227"/>
      <c r="I326" s="227"/>
      <c r="J326" s="227"/>
      <c r="K326" s="227"/>
      <c r="L326" s="227"/>
      <c r="M326" s="227"/>
      <c r="N326" s="227"/>
      <c r="O326" s="227"/>
      <c r="P326" s="227"/>
      <c r="Q326" s="227"/>
      <c r="R326" s="227"/>
      <c r="S326" s="227"/>
      <c r="T326" s="227"/>
      <c r="U326" s="227"/>
      <c r="V326" s="227"/>
      <c r="W326" s="227"/>
      <c r="X326" s="227"/>
      <c r="Y326" s="227"/>
      <c r="Z326" s="227"/>
      <c r="AA326" s="227"/>
      <c r="AB326" s="227"/>
      <c r="AC326" s="227"/>
      <c r="AD326" s="227"/>
      <c r="AE326" s="227"/>
      <c r="AF326" s="227"/>
      <c r="AG326" s="227"/>
      <c r="AH326" s="227"/>
      <c r="AI326" s="227"/>
      <c r="AJ326" s="227"/>
      <c r="AK326" s="227"/>
      <c r="AL326" s="227"/>
    </row>
    <row r="327" spans="1:38" ht="13.5" customHeight="1">
      <c r="A327" s="227"/>
      <c r="B327" s="227"/>
      <c r="C327" s="227"/>
      <c r="D327" s="227"/>
      <c r="E327" s="227"/>
      <c r="F327" s="227"/>
      <c r="G327" s="227"/>
      <c r="H327" s="227"/>
      <c r="I327" s="227"/>
      <c r="J327" s="227"/>
      <c r="K327" s="227"/>
      <c r="L327" s="227"/>
      <c r="M327" s="227"/>
      <c r="N327" s="227"/>
      <c r="O327" s="227"/>
      <c r="P327" s="227"/>
      <c r="Q327" s="227"/>
      <c r="R327" s="227"/>
      <c r="S327" s="227"/>
      <c r="T327" s="227"/>
      <c r="U327" s="227"/>
      <c r="V327" s="227"/>
      <c r="W327" s="227"/>
      <c r="X327" s="227"/>
      <c r="Y327" s="227"/>
      <c r="Z327" s="227"/>
      <c r="AA327" s="227"/>
      <c r="AB327" s="227"/>
      <c r="AC327" s="227"/>
      <c r="AD327" s="227"/>
      <c r="AE327" s="227"/>
      <c r="AF327" s="227"/>
      <c r="AG327" s="227"/>
      <c r="AH327" s="227"/>
      <c r="AI327" s="227"/>
      <c r="AJ327" s="227"/>
      <c r="AK327" s="227"/>
      <c r="AL327" s="227"/>
    </row>
    <row r="328" spans="1:38" ht="13.5" customHeight="1">
      <c r="A328" s="227"/>
      <c r="B328" s="227"/>
      <c r="C328" s="227"/>
      <c r="D328" s="227"/>
      <c r="E328" s="227"/>
      <c r="F328" s="227"/>
      <c r="G328" s="227"/>
      <c r="H328" s="227"/>
      <c r="I328" s="227"/>
      <c r="J328" s="227"/>
      <c r="K328" s="227"/>
      <c r="L328" s="227"/>
      <c r="M328" s="227"/>
      <c r="N328" s="227"/>
      <c r="O328" s="227"/>
      <c r="P328" s="227"/>
      <c r="Q328" s="227"/>
      <c r="R328" s="227"/>
      <c r="S328" s="227"/>
      <c r="T328" s="227"/>
      <c r="U328" s="227"/>
      <c r="V328" s="227"/>
      <c r="W328" s="227"/>
      <c r="X328" s="227"/>
      <c r="Y328" s="227"/>
      <c r="Z328" s="227"/>
      <c r="AA328" s="227"/>
      <c r="AB328" s="227"/>
      <c r="AC328" s="227"/>
      <c r="AD328" s="227"/>
      <c r="AE328" s="227"/>
      <c r="AF328" s="227"/>
      <c r="AG328" s="227"/>
      <c r="AH328" s="227"/>
      <c r="AI328" s="227"/>
      <c r="AJ328" s="227"/>
      <c r="AK328" s="227"/>
      <c r="AL328" s="227"/>
    </row>
    <row r="329" spans="1:38" ht="13.5" customHeight="1">
      <c r="A329" s="227"/>
      <c r="B329" s="227"/>
      <c r="C329" s="227"/>
      <c r="D329" s="227"/>
      <c r="E329" s="227"/>
      <c r="F329" s="227"/>
      <c r="G329" s="227"/>
      <c r="H329" s="227"/>
      <c r="I329" s="227"/>
      <c r="J329" s="227"/>
      <c r="K329" s="227"/>
      <c r="L329" s="227"/>
      <c r="M329" s="227"/>
      <c r="N329" s="227"/>
      <c r="O329" s="227"/>
      <c r="P329" s="227"/>
      <c r="Q329" s="227"/>
      <c r="R329" s="227"/>
      <c r="S329" s="227"/>
      <c r="T329" s="227"/>
      <c r="U329" s="227"/>
      <c r="V329" s="227"/>
      <c r="W329" s="227"/>
      <c r="X329" s="227"/>
      <c r="Y329" s="227"/>
      <c r="Z329" s="227"/>
      <c r="AA329" s="227"/>
      <c r="AB329" s="227"/>
      <c r="AC329" s="227"/>
      <c r="AD329" s="227"/>
      <c r="AE329" s="227"/>
      <c r="AF329" s="227"/>
      <c r="AG329" s="227"/>
      <c r="AH329" s="227"/>
      <c r="AI329" s="227"/>
      <c r="AJ329" s="227"/>
      <c r="AK329" s="227"/>
      <c r="AL329" s="227"/>
    </row>
    <row r="330" spans="1:38" ht="13.5" customHeight="1">
      <c r="A330" s="227"/>
      <c r="B330" s="227"/>
      <c r="C330" s="227"/>
      <c r="D330" s="227"/>
      <c r="E330" s="227"/>
      <c r="F330" s="227"/>
      <c r="G330" s="227"/>
      <c r="H330" s="227"/>
      <c r="I330" s="227"/>
      <c r="J330" s="227"/>
      <c r="K330" s="227"/>
      <c r="L330" s="227"/>
      <c r="M330" s="227"/>
      <c r="N330" s="227"/>
      <c r="O330" s="227"/>
      <c r="P330" s="227"/>
      <c r="Q330" s="227"/>
      <c r="R330" s="227"/>
      <c r="S330" s="227"/>
      <c r="T330" s="227"/>
      <c r="U330" s="227"/>
      <c r="V330" s="227"/>
      <c r="W330" s="227"/>
      <c r="X330" s="227"/>
      <c r="Y330" s="227"/>
      <c r="Z330" s="227"/>
      <c r="AA330" s="227"/>
      <c r="AB330" s="227"/>
      <c r="AC330" s="227"/>
      <c r="AD330" s="227"/>
      <c r="AE330" s="227"/>
      <c r="AF330" s="227"/>
      <c r="AG330" s="227"/>
      <c r="AH330" s="227"/>
      <c r="AI330" s="227"/>
      <c r="AJ330" s="227"/>
      <c r="AK330" s="227"/>
      <c r="AL330" s="227"/>
    </row>
    <row r="331" spans="1:38" ht="13.5" customHeight="1">
      <c r="A331" s="227"/>
      <c r="B331" s="227"/>
      <c r="C331" s="227"/>
      <c r="D331" s="227"/>
      <c r="E331" s="227"/>
      <c r="F331" s="227"/>
      <c r="G331" s="227"/>
      <c r="H331" s="227"/>
      <c r="I331" s="227"/>
      <c r="J331" s="227"/>
      <c r="K331" s="227"/>
      <c r="L331" s="227"/>
      <c r="M331" s="227"/>
      <c r="N331" s="227"/>
      <c r="O331" s="227"/>
      <c r="P331" s="227"/>
      <c r="Q331" s="227"/>
      <c r="R331" s="227"/>
      <c r="S331" s="227"/>
      <c r="T331" s="227"/>
      <c r="U331" s="227"/>
      <c r="V331" s="227"/>
      <c r="W331" s="227"/>
      <c r="X331" s="227"/>
      <c r="Y331" s="227"/>
      <c r="Z331" s="227"/>
      <c r="AA331" s="227"/>
      <c r="AB331" s="227"/>
      <c r="AC331" s="227"/>
      <c r="AD331" s="227"/>
      <c r="AE331" s="227"/>
      <c r="AF331" s="227"/>
      <c r="AG331" s="227"/>
      <c r="AH331" s="227"/>
      <c r="AI331" s="227"/>
      <c r="AJ331" s="227"/>
      <c r="AK331" s="227"/>
      <c r="AL331" s="227"/>
    </row>
    <row r="332" spans="1:38" ht="13.5" customHeight="1">
      <c r="A332" s="227"/>
      <c r="B332" s="227"/>
      <c r="C332" s="227"/>
      <c r="D332" s="227"/>
      <c r="E332" s="227"/>
      <c r="F332" s="227"/>
      <c r="G332" s="227"/>
      <c r="H332" s="227"/>
      <c r="I332" s="227"/>
      <c r="J332" s="227"/>
      <c r="K332" s="227"/>
      <c r="L332" s="227"/>
      <c r="M332" s="227"/>
      <c r="N332" s="227"/>
      <c r="O332" s="227"/>
      <c r="P332" s="227"/>
      <c r="Q332" s="227"/>
      <c r="R332" s="227"/>
      <c r="S332" s="227"/>
      <c r="T332" s="227"/>
      <c r="U332" s="227"/>
      <c r="V332" s="227"/>
      <c r="W332" s="227"/>
      <c r="X332" s="227"/>
      <c r="Y332" s="227"/>
      <c r="Z332" s="227"/>
      <c r="AA332" s="227"/>
      <c r="AB332" s="227"/>
      <c r="AC332" s="227"/>
      <c r="AD332" s="227"/>
      <c r="AE332" s="227"/>
      <c r="AF332" s="227"/>
      <c r="AG332" s="227"/>
      <c r="AH332" s="227"/>
      <c r="AI332" s="227"/>
      <c r="AJ332" s="227"/>
      <c r="AK332" s="227"/>
      <c r="AL332" s="227"/>
    </row>
    <row r="333" spans="1:38" ht="13.5" customHeight="1">
      <c r="A333" s="227"/>
      <c r="B333" s="227"/>
      <c r="C333" s="227"/>
      <c r="D333" s="227"/>
      <c r="E333" s="227"/>
      <c r="F333" s="227"/>
      <c r="G333" s="227"/>
      <c r="H333" s="227"/>
      <c r="I333" s="227"/>
      <c r="J333" s="227"/>
      <c r="K333" s="227"/>
      <c r="L333" s="227"/>
      <c r="M333" s="227"/>
      <c r="N333" s="227"/>
      <c r="O333" s="227"/>
      <c r="P333" s="227"/>
      <c r="Q333" s="227"/>
      <c r="R333" s="227"/>
      <c r="S333" s="227"/>
      <c r="T333" s="227"/>
      <c r="U333" s="227"/>
      <c r="V333" s="227"/>
      <c r="W333" s="227"/>
      <c r="X333" s="227"/>
      <c r="Y333" s="227"/>
      <c r="Z333" s="227"/>
      <c r="AA333" s="227"/>
      <c r="AB333" s="227"/>
      <c r="AC333" s="227"/>
      <c r="AD333" s="227"/>
      <c r="AE333" s="227"/>
      <c r="AF333" s="227"/>
      <c r="AG333" s="227"/>
      <c r="AH333" s="227"/>
      <c r="AI333" s="227"/>
      <c r="AJ333" s="227"/>
      <c r="AK333" s="227"/>
      <c r="AL333" s="227"/>
    </row>
    <row r="334" spans="1:38" ht="13.5" customHeight="1">
      <c r="A334" s="227"/>
      <c r="B334" s="227"/>
      <c r="C334" s="227"/>
      <c r="D334" s="227"/>
      <c r="E334" s="227"/>
      <c r="F334" s="227"/>
      <c r="G334" s="227"/>
      <c r="H334" s="227"/>
      <c r="I334" s="227"/>
      <c r="J334" s="227"/>
      <c r="K334" s="227"/>
      <c r="L334" s="227"/>
      <c r="M334" s="227"/>
      <c r="N334" s="227"/>
      <c r="O334" s="227"/>
      <c r="P334" s="227"/>
      <c r="Q334" s="227"/>
      <c r="R334" s="227"/>
      <c r="S334" s="227"/>
      <c r="T334" s="227"/>
      <c r="U334" s="227"/>
      <c r="V334" s="227"/>
      <c r="W334" s="227"/>
      <c r="X334" s="227"/>
      <c r="Y334" s="227"/>
      <c r="Z334" s="227"/>
      <c r="AA334" s="227"/>
      <c r="AB334" s="227"/>
      <c r="AC334" s="227"/>
      <c r="AD334" s="227"/>
      <c r="AE334" s="227"/>
      <c r="AF334" s="227"/>
      <c r="AG334" s="227"/>
      <c r="AH334" s="227"/>
      <c r="AI334" s="227"/>
      <c r="AJ334" s="227"/>
      <c r="AK334" s="227"/>
      <c r="AL334" s="227"/>
    </row>
    <row r="335" spans="1:38" ht="13.5" customHeight="1">
      <c r="A335" s="227"/>
      <c r="B335" s="227"/>
      <c r="C335" s="227"/>
      <c r="D335" s="227"/>
      <c r="E335" s="227"/>
      <c r="F335" s="227"/>
      <c r="G335" s="227"/>
      <c r="H335" s="227"/>
      <c r="I335" s="227"/>
      <c r="J335" s="227"/>
      <c r="K335" s="227"/>
      <c r="L335" s="227"/>
      <c r="M335" s="227"/>
      <c r="N335" s="227"/>
      <c r="O335" s="227"/>
      <c r="P335" s="227"/>
      <c r="Q335" s="227"/>
      <c r="R335" s="227"/>
      <c r="S335" s="227"/>
      <c r="T335" s="227"/>
      <c r="U335" s="227"/>
      <c r="V335" s="227"/>
      <c r="W335" s="227"/>
      <c r="X335" s="227"/>
      <c r="Y335" s="227"/>
      <c r="Z335" s="227"/>
      <c r="AA335" s="227"/>
      <c r="AB335" s="227"/>
      <c r="AC335" s="227"/>
      <c r="AD335" s="227"/>
      <c r="AE335" s="227"/>
      <c r="AF335" s="227"/>
      <c r="AG335" s="227"/>
      <c r="AH335" s="227"/>
      <c r="AI335" s="227"/>
      <c r="AJ335" s="227"/>
      <c r="AK335" s="227"/>
      <c r="AL335" s="227"/>
    </row>
    <row r="336" spans="1:38" ht="13.5" customHeight="1">
      <c r="A336" s="227"/>
      <c r="B336" s="227"/>
      <c r="C336" s="227"/>
      <c r="D336" s="227"/>
      <c r="E336" s="227"/>
      <c r="F336" s="227"/>
      <c r="G336" s="227"/>
      <c r="H336" s="227"/>
      <c r="I336" s="227"/>
      <c r="J336" s="227"/>
      <c r="K336" s="227"/>
      <c r="L336" s="227"/>
      <c r="M336" s="227"/>
      <c r="N336" s="227"/>
      <c r="O336" s="227"/>
      <c r="P336" s="227"/>
      <c r="Q336" s="227"/>
      <c r="R336" s="227"/>
      <c r="S336" s="227"/>
      <c r="T336" s="227"/>
      <c r="U336" s="227"/>
      <c r="V336" s="227"/>
      <c r="W336" s="227"/>
      <c r="X336" s="227"/>
      <c r="Y336" s="227"/>
      <c r="Z336" s="227"/>
      <c r="AA336" s="227"/>
      <c r="AB336" s="227"/>
      <c r="AC336" s="227"/>
      <c r="AD336" s="227"/>
      <c r="AE336" s="227"/>
      <c r="AF336" s="227"/>
      <c r="AG336" s="227"/>
      <c r="AH336" s="227"/>
      <c r="AI336" s="227"/>
      <c r="AJ336" s="227"/>
      <c r="AK336" s="227"/>
      <c r="AL336" s="227"/>
    </row>
    <row r="337" spans="1:38" ht="13.5" customHeight="1">
      <c r="A337" s="227"/>
      <c r="B337" s="227"/>
      <c r="C337" s="227"/>
      <c r="D337" s="227"/>
      <c r="E337" s="227"/>
      <c r="F337" s="227"/>
      <c r="G337" s="227"/>
      <c r="H337" s="227"/>
      <c r="I337" s="227"/>
      <c r="J337" s="227"/>
      <c r="K337" s="227"/>
      <c r="L337" s="227"/>
      <c r="M337" s="227"/>
      <c r="N337" s="227"/>
      <c r="O337" s="227"/>
      <c r="P337" s="227"/>
      <c r="Q337" s="227"/>
      <c r="R337" s="227"/>
      <c r="S337" s="227"/>
      <c r="T337" s="227"/>
      <c r="U337" s="227"/>
      <c r="V337" s="227"/>
      <c r="W337" s="227"/>
      <c r="X337" s="227"/>
      <c r="Y337" s="227"/>
      <c r="Z337" s="227"/>
      <c r="AA337" s="227"/>
      <c r="AB337" s="227"/>
      <c r="AC337" s="227"/>
      <c r="AD337" s="227"/>
      <c r="AE337" s="227"/>
      <c r="AF337" s="227"/>
      <c r="AG337" s="227"/>
      <c r="AH337" s="227"/>
      <c r="AI337" s="227"/>
      <c r="AJ337" s="227"/>
      <c r="AK337" s="227"/>
      <c r="AL337" s="227"/>
    </row>
    <row r="338" spans="1:38" ht="13.5" customHeight="1">
      <c r="A338" s="227"/>
      <c r="B338" s="227"/>
      <c r="C338" s="227"/>
      <c r="D338" s="227"/>
      <c r="E338" s="227"/>
      <c r="F338" s="227"/>
      <c r="G338" s="227"/>
      <c r="H338" s="227"/>
      <c r="I338" s="227"/>
      <c r="J338" s="227"/>
      <c r="K338" s="227"/>
      <c r="L338" s="227"/>
      <c r="M338" s="227"/>
      <c r="N338" s="227"/>
      <c r="O338" s="227"/>
      <c r="P338" s="227"/>
      <c r="Q338" s="227"/>
      <c r="R338" s="227"/>
      <c r="S338" s="227"/>
      <c r="T338" s="227"/>
      <c r="U338" s="227"/>
      <c r="V338" s="227"/>
      <c r="W338" s="227"/>
      <c r="X338" s="227"/>
      <c r="Y338" s="227"/>
      <c r="Z338" s="227"/>
      <c r="AA338" s="227"/>
      <c r="AB338" s="227"/>
      <c r="AC338" s="227"/>
      <c r="AD338" s="227"/>
      <c r="AE338" s="227"/>
      <c r="AF338" s="227"/>
      <c r="AG338" s="227"/>
      <c r="AH338" s="227"/>
      <c r="AI338" s="227"/>
      <c r="AJ338" s="227"/>
      <c r="AK338" s="227"/>
      <c r="AL338" s="227"/>
    </row>
    <row r="339" spans="1:38" ht="13.5" customHeight="1">
      <c r="A339" s="227"/>
      <c r="B339" s="227"/>
      <c r="C339" s="227"/>
      <c r="D339" s="227"/>
      <c r="E339" s="227"/>
      <c r="F339" s="227"/>
      <c r="G339" s="227"/>
      <c r="H339" s="227"/>
      <c r="I339" s="227"/>
      <c r="J339" s="227"/>
      <c r="K339" s="227"/>
      <c r="L339" s="227"/>
      <c r="M339" s="227"/>
      <c r="N339" s="227"/>
      <c r="O339" s="227"/>
      <c r="P339" s="227"/>
      <c r="Q339" s="227"/>
      <c r="R339" s="227"/>
      <c r="S339" s="227"/>
      <c r="T339" s="227"/>
      <c r="U339" s="227"/>
      <c r="V339" s="227"/>
      <c r="W339" s="227"/>
      <c r="X339" s="227"/>
      <c r="Y339" s="227"/>
      <c r="Z339" s="227"/>
      <c r="AA339" s="227"/>
      <c r="AB339" s="227"/>
      <c r="AC339" s="227"/>
      <c r="AD339" s="227"/>
      <c r="AE339" s="227"/>
      <c r="AF339" s="227"/>
      <c r="AG339" s="227"/>
      <c r="AH339" s="227"/>
      <c r="AI339" s="227"/>
      <c r="AJ339" s="227"/>
      <c r="AK339" s="227"/>
      <c r="AL339" s="227"/>
    </row>
    <row r="340" spans="1:38" ht="13.5" customHeight="1">
      <c r="A340" s="227"/>
      <c r="B340" s="227"/>
      <c r="C340" s="227"/>
      <c r="D340" s="227"/>
      <c r="E340" s="227"/>
      <c r="F340" s="227"/>
      <c r="G340" s="227"/>
      <c r="H340" s="227"/>
      <c r="I340" s="227"/>
      <c r="J340" s="227"/>
      <c r="K340" s="227"/>
      <c r="L340" s="227"/>
      <c r="M340" s="227"/>
      <c r="N340" s="227"/>
      <c r="O340" s="227"/>
      <c r="P340" s="227"/>
      <c r="Q340" s="227"/>
      <c r="R340" s="227"/>
      <c r="S340" s="227"/>
      <c r="T340" s="227"/>
      <c r="U340" s="227"/>
      <c r="V340" s="227"/>
      <c r="W340" s="227"/>
      <c r="X340" s="227"/>
      <c r="Y340" s="227"/>
      <c r="Z340" s="227"/>
      <c r="AA340" s="227"/>
      <c r="AB340" s="227"/>
      <c r="AC340" s="227"/>
      <c r="AD340" s="227"/>
      <c r="AE340" s="227"/>
      <c r="AF340" s="227"/>
      <c r="AG340" s="227"/>
      <c r="AH340" s="227"/>
      <c r="AI340" s="227"/>
      <c r="AJ340" s="227"/>
      <c r="AK340" s="227"/>
      <c r="AL340" s="227"/>
    </row>
    <row r="341" spans="1:38" ht="13.5" customHeight="1">
      <c r="A341" s="227"/>
      <c r="B341" s="227"/>
      <c r="C341" s="227"/>
      <c r="D341" s="227"/>
      <c r="E341" s="227"/>
      <c r="F341" s="227"/>
      <c r="G341" s="227"/>
      <c r="H341" s="227"/>
      <c r="I341" s="227"/>
      <c r="J341" s="227"/>
      <c r="K341" s="227"/>
      <c r="L341" s="227"/>
      <c r="M341" s="227"/>
      <c r="N341" s="227"/>
      <c r="O341" s="227"/>
      <c r="P341" s="227"/>
      <c r="Q341" s="227"/>
      <c r="R341" s="227"/>
      <c r="S341" s="227"/>
      <c r="T341" s="227"/>
      <c r="U341" s="227"/>
      <c r="V341" s="227"/>
      <c r="W341" s="227"/>
      <c r="X341" s="227"/>
      <c r="Y341" s="227"/>
      <c r="Z341" s="227"/>
      <c r="AA341" s="227"/>
      <c r="AB341" s="227"/>
      <c r="AC341" s="227"/>
      <c r="AD341" s="227"/>
      <c r="AE341" s="227"/>
      <c r="AF341" s="227"/>
      <c r="AG341" s="227"/>
      <c r="AH341" s="227"/>
      <c r="AI341" s="227"/>
      <c r="AJ341" s="227"/>
      <c r="AK341" s="227"/>
      <c r="AL341" s="227"/>
    </row>
    <row r="342" spans="1:38" ht="13.5" customHeight="1">
      <c r="A342" s="227"/>
      <c r="B342" s="227"/>
      <c r="C342" s="227"/>
      <c r="D342" s="227"/>
      <c r="E342" s="227"/>
      <c r="F342" s="227"/>
      <c r="G342" s="227"/>
      <c r="H342" s="227"/>
      <c r="I342" s="227"/>
      <c r="J342" s="227"/>
      <c r="K342" s="227"/>
      <c r="L342" s="227"/>
      <c r="M342" s="227"/>
      <c r="N342" s="227"/>
      <c r="O342" s="227"/>
      <c r="P342" s="227"/>
      <c r="Q342" s="227"/>
      <c r="R342" s="227"/>
      <c r="S342" s="227"/>
      <c r="T342" s="227"/>
      <c r="U342" s="227"/>
      <c r="V342" s="227"/>
      <c r="W342" s="227"/>
      <c r="X342" s="227"/>
      <c r="Y342" s="227"/>
      <c r="Z342" s="227"/>
      <c r="AA342" s="227"/>
      <c r="AB342" s="227"/>
      <c r="AC342" s="227"/>
      <c r="AD342" s="227"/>
      <c r="AE342" s="227"/>
      <c r="AF342" s="227"/>
      <c r="AG342" s="227"/>
      <c r="AH342" s="227"/>
      <c r="AI342" s="227"/>
      <c r="AJ342" s="227"/>
      <c r="AK342" s="227"/>
      <c r="AL342" s="227"/>
    </row>
    <row r="343" spans="1:38" ht="13.5" customHeight="1">
      <c r="A343" s="227"/>
      <c r="B343" s="227"/>
      <c r="C343" s="227"/>
      <c r="D343" s="227"/>
      <c r="E343" s="227"/>
      <c r="F343" s="227"/>
      <c r="G343" s="227"/>
      <c r="H343" s="227"/>
      <c r="I343" s="227"/>
      <c r="J343" s="227"/>
      <c r="K343" s="227"/>
      <c r="L343" s="227"/>
      <c r="M343" s="227"/>
      <c r="N343" s="227"/>
      <c r="O343" s="227"/>
      <c r="P343" s="227"/>
      <c r="Q343" s="227"/>
      <c r="R343" s="227"/>
      <c r="S343" s="227"/>
      <c r="T343" s="227"/>
      <c r="U343" s="227"/>
      <c r="V343" s="227"/>
      <c r="W343" s="227"/>
      <c r="X343" s="227"/>
      <c r="Y343" s="227"/>
      <c r="Z343" s="227"/>
      <c r="AA343" s="227"/>
      <c r="AB343" s="227"/>
      <c r="AC343" s="227"/>
      <c r="AD343" s="227"/>
      <c r="AE343" s="227"/>
      <c r="AF343" s="227"/>
      <c r="AG343" s="227"/>
      <c r="AH343" s="227"/>
      <c r="AI343" s="227"/>
      <c r="AJ343" s="227"/>
      <c r="AK343" s="227"/>
      <c r="AL343" s="227"/>
    </row>
    <row r="344" spans="1:38" ht="13.5" customHeight="1">
      <c r="A344" s="227"/>
      <c r="B344" s="227"/>
      <c r="C344" s="227"/>
      <c r="D344" s="227"/>
      <c r="E344" s="227"/>
      <c r="F344" s="227"/>
      <c r="G344" s="227"/>
      <c r="H344" s="227"/>
      <c r="I344" s="227"/>
      <c r="J344" s="227"/>
      <c r="K344" s="227"/>
      <c r="L344" s="227"/>
      <c r="M344" s="227"/>
      <c r="N344" s="227"/>
      <c r="O344" s="227"/>
      <c r="P344" s="227"/>
      <c r="Q344" s="227"/>
      <c r="R344" s="227"/>
      <c r="S344" s="227"/>
      <c r="T344" s="227"/>
      <c r="U344" s="227"/>
      <c r="V344" s="227"/>
      <c r="W344" s="227"/>
      <c r="X344" s="227"/>
      <c r="Y344" s="227"/>
      <c r="Z344" s="227"/>
      <c r="AA344" s="227"/>
      <c r="AB344" s="227"/>
      <c r="AC344" s="227"/>
      <c r="AD344" s="227"/>
      <c r="AE344" s="227"/>
      <c r="AF344" s="227"/>
      <c r="AG344" s="227"/>
      <c r="AH344" s="227"/>
      <c r="AI344" s="227"/>
      <c r="AJ344" s="227"/>
      <c r="AK344" s="227"/>
      <c r="AL344" s="227"/>
    </row>
    <row r="345" spans="1:38" ht="13.5" customHeight="1">
      <c r="A345" s="227"/>
      <c r="B345" s="227"/>
      <c r="C345" s="227"/>
      <c r="D345" s="227"/>
      <c r="E345" s="227"/>
      <c r="F345" s="227"/>
      <c r="G345" s="227"/>
      <c r="H345" s="227"/>
      <c r="I345" s="227"/>
      <c r="J345" s="227"/>
      <c r="K345" s="227"/>
      <c r="L345" s="227"/>
      <c r="M345" s="227"/>
      <c r="N345" s="227"/>
      <c r="O345" s="227"/>
      <c r="P345" s="227"/>
      <c r="Q345" s="227"/>
      <c r="R345" s="227"/>
      <c r="S345" s="227"/>
      <c r="T345" s="227"/>
      <c r="U345" s="227"/>
      <c r="V345" s="227"/>
      <c r="W345" s="227"/>
      <c r="X345" s="227"/>
      <c r="Y345" s="227"/>
      <c r="Z345" s="227"/>
      <c r="AA345" s="227"/>
      <c r="AB345" s="227"/>
      <c r="AC345" s="227"/>
      <c r="AD345" s="227"/>
      <c r="AE345" s="227"/>
      <c r="AF345" s="227"/>
      <c r="AG345" s="227"/>
      <c r="AH345" s="227"/>
      <c r="AI345" s="227"/>
      <c r="AJ345" s="227"/>
      <c r="AK345" s="227"/>
      <c r="AL345" s="227"/>
    </row>
    <row r="346" spans="1:38" ht="13.5" customHeight="1">
      <c r="A346" s="227"/>
      <c r="B346" s="227"/>
      <c r="C346" s="227"/>
      <c r="D346" s="227"/>
      <c r="E346" s="227"/>
      <c r="F346" s="227"/>
      <c r="G346" s="227"/>
      <c r="H346" s="227"/>
      <c r="I346" s="227"/>
      <c r="J346" s="227"/>
      <c r="K346" s="227"/>
      <c r="L346" s="227"/>
      <c r="M346" s="227"/>
      <c r="N346" s="227"/>
      <c r="O346" s="227"/>
      <c r="P346" s="227"/>
      <c r="Q346" s="227"/>
      <c r="R346" s="227"/>
      <c r="S346" s="227"/>
      <c r="T346" s="227"/>
      <c r="U346" s="227"/>
      <c r="V346" s="227"/>
      <c r="W346" s="227"/>
      <c r="X346" s="227"/>
      <c r="Y346" s="227"/>
      <c r="Z346" s="227"/>
      <c r="AA346" s="227"/>
      <c r="AB346" s="227"/>
      <c r="AC346" s="227"/>
      <c r="AD346" s="227"/>
      <c r="AE346" s="227"/>
      <c r="AF346" s="227"/>
      <c r="AG346" s="227"/>
      <c r="AH346" s="227"/>
      <c r="AI346" s="227"/>
      <c r="AJ346" s="227"/>
      <c r="AK346" s="227"/>
      <c r="AL346" s="227"/>
    </row>
    <row r="347" spans="1:38" ht="13.5" customHeight="1">
      <c r="A347" s="227"/>
      <c r="B347" s="227"/>
      <c r="C347" s="227"/>
      <c r="D347" s="227"/>
      <c r="E347" s="227"/>
      <c r="F347" s="227"/>
      <c r="G347" s="227"/>
      <c r="H347" s="227"/>
      <c r="I347" s="227"/>
      <c r="J347" s="227"/>
      <c r="K347" s="227"/>
      <c r="L347" s="227"/>
      <c r="M347" s="227"/>
      <c r="N347" s="227"/>
      <c r="O347" s="227"/>
      <c r="P347" s="227"/>
      <c r="Q347" s="227"/>
      <c r="R347" s="227"/>
      <c r="S347" s="227"/>
      <c r="T347" s="227"/>
      <c r="U347" s="227"/>
      <c r="V347" s="227"/>
      <c r="W347" s="227"/>
      <c r="X347" s="227"/>
      <c r="Y347" s="227"/>
      <c r="Z347" s="227"/>
      <c r="AA347" s="227"/>
      <c r="AB347" s="227"/>
      <c r="AC347" s="227"/>
      <c r="AD347" s="227"/>
      <c r="AE347" s="227"/>
      <c r="AF347" s="227"/>
      <c r="AG347" s="227"/>
      <c r="AH347" s="227"/>
      <c r="AI347" s="227"/>
      <c r="AJ347" s="227"/>
      <c r="AK347" s="227"/>
      <c r="AL347" s="227"/>
    </row>
    <row r="348" spans="1:38" ht="13.5" customHeight="1">
      <c r="A348" s="227"/>
      <c r="B348" s="227"/>
      <c r="C348" s="227"/>
      <c r="D348" s="227"/>
      <c r="E348" s="227"/>
      <c r="F348" s="227"/>
      <c r="G348" s="227"/>
      <c r="H348" s="227"/>
      <c r="I348" s="227"/>
      <c r="J348" s="227"/>
      <c r="K348" s="227"/>
      <c r="L348" s="227"/>
      <c r="M348" s="227"/>
      <c r="N348" s="227"/>
      <c r="O348" s="227"/>
      <c r="P348" s="227"/>
      <c r="Q348" s="227"/>
      <c r="R348" s="227"/>
      <c r="S348" s="227"/>
      <c r="T348" s="227"/>
      <c r="U348" s="227"/>
      <c r="V348" s="227"/>
      <c r="W348" s="227"/>
      <c r="X348" s="227"/>
      <c r="Y348" s="227"/>
      <c r="Z348" s="227"/>
      <c r="AA348" s="227"/>
      <c r="AB348" s="227"/>
      <c r="AC348" s="227"/>
      <c r="AD348" s="227"/>
      <c r="AE348" s="227"/>
      <c r="AF348" s="227"/>
      <c r="AG348" s="227"/>
      <c r="AH348" s="227"/>
      <c r="AI348" s="227"/>
      <c r="AJ348" s="227"/>
      <c r="AK348" s="227"/>
      <c r="AL348" s="227"/>
    </row>
    <row r="349" spans="1:38" ht="13.5" customHeight="1">
      <c r="A349" s="227"/>
      <c r="B349" s="227"/>
      <c r="C349" s="227"/>
      <c r="D349" s="227"/>
      <c r="E349" s="227"/>
      <c r="F349" s="227"/>
      <c r="G349" s="227"/>
      <c r="H349" s="227"/>
      <c r="I349" s="227"/>
      <c r="J349" s="227"/>
      <c r="K349" s="227"/>
      <c r="L349" s="227"/>
      <c r="M349" s="227"/>
      <c r="N349" s="227"/>
      <c r="O349" s="227"/>
      <c r="P349" s="227"/>
      <c r="Q349" s="227"/>
      <c r="R349" s="227"/>
      <c r="S349" s="227"/>
      <c r="T349" s="227"/>
      <c r="U349" s="227"/>
      <c r="V349" s="227"/>
      <c r="W349" s="227"/>
      <c r="X349" s="227"/>
      <c r="Y349" s="227"/>
      <c r="Z349" s="227"/>
      <c r="AA349" s="227"/>
      <c r="AB349" s="227"/>
      <c r="AC349" s="227"/>
      <c r="AD349" s="227"/>
      <c r="AE349" s="227"/>
      <c r="AF349" s="227"/>
      <c r="AG349" s="227"/>
      <c r="AH349" s="227"/>
      <c r="AI349" s="227"/>
      <c r="AJ349" s="227"/>
      <c r="AK349" s="227"/>
      <c r="AL349" s="227"/>
    </row>
    <row r="350" spans="1:38" ht="13.5" customHeight="1">
      <c r="A350" s="227"/>
      <c r="B350" s="227"/>
      <c r="C350" s="227"/>
      <c r="D350" s="227"/>
      <c r="E350" s="227"/>
      <c r="F350" s="227"/>
      <c r="G350" s="227"/>
      <c r="H350" s="227"/>
      <c r="I350" s="227"/>
      <c r="J350" s="227"/>
      <c r="K350" s="227"/>
      <c r="L350" s="227"/>
      <c r="M350" s="227"/>
      <c r="N350" s="227"/>
      <c r="O350" s="227"/>
      <c r="P350" s="227"/>
      <c r="Q350" s="227"/>
      <c r="R350" s="227"/>
      <c r="S350" s="227"/>
      <c r="T350" s="227"/>
      <c r="U350" s="227"/>
      <c r="V350" s="227"/>
      <c r="W350" s="227"/>
      <c r="X350" s="227"/>
      <c r="Y350" s="227"/>
      <c r="Z350" s="227"/>
      <c r="AA350" s="227"/>
      <c r="AB350" s="227"/>
      <c r="AC350" s="227"/>
      <c r="AD350" s="227"/>
      <c r="AE350" s="227"/>
      <c r="AF350" s="227"/>
      <c r="AG350" s="227"/>
      <c r="AH350" s="227"/>
      <c r="AI350" s="227"/>
      <c r="AJ350" s="227"/>
      <c r="AK350" s="227"/>
      <c r="AL350" s="227"/>
    </row>
    <row r="351" spans="1:38" ht="13.5" customHeight="1">
      <c r="A351" s="227"/>
      <c r="B351" s="227"/>
      <c r="C351" s="227"/>
      <c r="D351" s="227"/>
      <c r="E351" s="227"/>
      <c r="F351" s="227"/>
      <c r="G351" s="227"/>
      <c r="H351" s="227"/>
      <c r="I351" s="227"/>
      <c r="J351" s="227"/>
      <c r="K351" s="227"/>
      <c r="L351" s="227"/>
      <c r="M351" s="227"/>
      <c r="N351" s="227"/>
      <c r="O351" s="227"/>
      <c r="P351" s="227"/>
      <c r="Q351" s="227"/>
      <c r="R351" s="227"/>
      <c r="S351" s="227"/>
      <c r="T351" s="227"/>
      <c r="U351" s="227"/>
      <c r="V351" s="227"/>
      <c r="W351" s="227"/>
      <c r="X351" s="227"/>
      <c r="Y351" s="227"/>
      <c r="Z351" s="227"/>
      <c r="AA351" s="227"/>
      <c r="AB351" s="227"/>
      <c r="AC351" s="227"/>
      <c r="AD351" s="227"/>
      <c r="AE351" s="227"/>
      <c r="AF351" s="227"/>
      <c r="AG351" s="227"/>
      <c r="AH351" s="227"/>
      <c r="AI351" s="227"/>
      <c r="AJ351" s="227"/>
      <c r="AK351" s="227"/>
      <c r="AL351" s="227"/>
    </row>
    <row r="352" spans="1:38" ht="13.5" customHeight="1">
      <c r="A352" s="227"/>
      <c r="B352" s="227"/>
      <c r="C352" s="227"/>
      <c r="D352" s="227"/>
      <c r="E352" s="227"/>
      <c r="F352" s="227"/>
      <c r="G352" s="227"/>
      <c r="H352" s="227"/>
      <c r="I352" s="227"/>
      <c r="J352" s="227"/>
      <c r="K352" s="227"/>
      <c r="L352" s="227"/>
      <c r="M352" s="227"/>
      <c r="N352" s="227"/>
      <c r="O352" s="227"/>
      <c r="P352" s="227"/>
      <c r="Q352" s="227"/>
      <c r="R352" s="227"/>
      <c r="S352" s="227"/>
      <c r="T352" s="227"/>
      <c r="U352" s="227"/>
      <c r="V352" s="227"/>
      <c r="W352" s="227"/>
      <c r="X352" s="227"/>
      <c r="Y352" s="227"/>
      <c r="Z352" s="227"/>
      <c r="AA352" s="227"/>
      <c r="AB352" s="227"/>
      <c r="AC352" s="227"/>
      <c r="AD352" s="227"/>
      <c r="AE352" s="227"/>
      <c r="AF352" s="227"/>
      <c r="AG352" s="227"/>
      <c r="AH352" s="227"/>
      <c r="AI352" s="227"/>
      <c r="AJ352" s="227"/>
      <c r="AK352" s="227"/>
      <c r="AL352" s="227"/>
    </row>
    <row r="353" spans="1:38" ht="13.5" customHeight="1">
      <c r="A353" s="227"/>
      <c r="B353" s="227"/>
      <c r="C353" s="227"/>
      <c r="D353" s="227"/>
      <c r="E353" s="227"/>
      <c r="F353" s="227"/>
      <c r="G353" s="227"/>
      <c r="H353" s="227"/>
      <c r="I353" s="227"/>
      <c r="J353" s="227"/>
      <c r="K353" s="227"/>
      <c r="L353" s="227"/>
      <c r="M353" s="227"/>
      <c r="N353" s="227"/>
      <c r="O353" s="227"/>
      <c r="P353" s="227"/>
      <c r="Q353" s="227"/>
      <c r="R353" s="227"/>
      <c r="S353" s="227"/>
      <c r="T353" s="227"/>
      <c r="U353" s="227"/>
      <c r="V353" s="227"/>
      <c r="W353" s="227"/>
      <c r="X353" s="227"/>
      <c r="Y353" s="227"/>
      <c r="Z353" s="227"/>
      <c r="AA353" s="227"/>
      <c r="AB353" s="227"/>
      <c r="AC353" s="227"/>
      <c r="AD353" s="227"/>
      <c r="AE353" s="227"/>
      <c r="AF353" s="227"/>
      <c r="AG353" s="227"/>
      <c r="AH353" s="227"/>
      <c r="AI353" s="227"/>
      <c r="AJ353" s="227"/>
      <c r="AK353" s="227"/>
      <c r="AL353" s="227"/>
    </row>
    <row r="354" spans="1:38" ht="13.5" customHeight="1">
      <c r="A354" s="227"/>
      <c r="B354" s="227"/>
      <c r="C354" s="227"/>
      <c r="D354" s="227"/>
      <c r="E354" s="227"/>
      <c r="F354" s="227"/>
      <c r="G354" s="227"/>
      <c r="H354" s="227"/>
      <c r="I354" s="227"/>
      <c r="J354" s="227"/>
      <c r="K354" s="227"/>
      <c r="L354" s="227"/>
      <c r="M354" s="227"/>
      <c r="N354" s="227"/>
      <c r="O354" s="227"/>
      <c r="P354" s="227"/>
      <c r="Q354" s="227"/>
      <c r="R354" s="227"/>
      <c r="S354" s="227"/>
      <c r="T354" s="227"/>
      <c r="U354" s="227"/>
      <c r="V354" s="227"/>
      <c r="W354" s="227"/>
      <c r="X354" s="227"/>
      <c r="Y354" s="227"/>
      <c r="Z354" s="227"/>
      <c r="AA354" s="227"/>
      <c r="AB354" s="227"/>
      <c r="AC354" s="227"/>
      <c r="AD354" s="227"/>
      <c r="AE354" s="227"/>
      <c r="AF354" s="227"/>
      <c r="AG354" s="227"/>
      <c r="AH354" s="227"/>
      <c r="AI354" s="227"/>
      <c r="AJ354" s="227"/>
      <c r="AK354" s="227"/>
      <c r="AL354" s="227"/>
    </row>
    <row r="355" spans="1:38" ht="13.5" customHeight="1">
      <c r="A355" s="227"/>
      <c r="B355" s="227"/>
      <c r="C355" s="227"/>
      <c r="D355" s="227"/>
      <c r="E355" s="227"/>
      <c r="F355" s="227"/>
      <c r="G355" s="227"/>
      <c r="H355" s="227"/>
      <c r="I355" s="227"/>
      <c r="J355" s="227"/>
      <c r="K355" s="227"/>
      <c r="L355" s="227"/>
      <c r="M355" s="227"/>
      <c r="N355" s="227"/>
      <c r="O355" s="227"/>
      <c r="P355" s="227"/>
      <c r="Q355" s="227"/>
      <c r="R355" s="227"/>
      <c r="S355" s="227"/>
      <c r="T355" s="227"/>
      <c r="U355" s="227"/>
      <c r="V355" s="227"/>
      <c r="W355" s="227"/>
      <c r="X355" s="227"/>
      <c r="Y355" s="227"/>
      <c r="Z355" s="227"/>
      <c r="AA355" s="227"/>
      <c r="AB355" s="227"/>
      <c r="AC355" s="227"/>
      <c r="AD355" s="227"/>
      <c r="AE355" s="227"/>
      <c r="AF355" s="227"/>
      <c r="AG355" s="227"/>
      <c r="AH355" s="227"/>
      <c r="AI355" s="227"/>
      <c r="AJ355" s="227"/>
      <c r="AK355" s="227"/>
      <c r="AL355" s="227"/>
    </row>
    <row r="356" spans="1:38" ht="13.5" customHeight="1">
      <c r="A356" s="227"/>
      <c r="B356" s="227"/>
      <c r="C356" s="227"/>
      <c r="D356" s="227"/>
      <c r="E356" s="227"/>
      <c r="F356" s="227"/>
      <c r="G356" s="227"/>
      <c r="H356" s="227"/>
      <c r="I356" s="227"/>
      <c r="J356" s="227"/>
      <c r="K356" s="227"/>
      <c r="L356" s="227"/>
      <c r="M356" s="227"/>
      <c r="N356" s="227"/>
      <c r="O356" s="227"/>
      <c r="P356" s="227"/>
      <c r="Q356" s="227"/>
      <c r="R356" s="227"/>
      <c r="S356" s="227"/>
      <c r="T356" s="227"/>
      <c r="U356" s="227"/>
      <c r="V356" s="227"/>
      <c r="W356" s="227"/>
      <c r="X356" s="227"/>
      <c r="Y356" s="227"/>
      <c r="Z356" s="227"/>
      <c r="AA356" s="227"/>
      <c r="AB356" s="227"/>
      <c r="AC356" s="227"/>
      <c r="AD356" s="227"/>
      <c r="AE356" s="227"/>
      <c r="AF356" s="227"/>
      <c r="AG356" s="227"/>
      <c r="AH356" s="227"/>
      <c r="AI356" s="227"/>
      <c r="AJ356" s="227"/>
      <c r="AK356" s="227"/>
      <c r="AL356" s="227"/>
    </row>
    <row r="357" spans="1:38" ht="13.5" customHeight="1">
      <c r="A357" s="227"/>
      <c r="B357" s="227"/>
      <c r="C357" s="227"/>
      <c r="D357" s="227"/>
      <c r="E357" s="227"/>
      <c r="F357" s="227"/>
      <c r="G357" s="227"/>
      <c r="H357" s="227"/>
      <c r="I357" s="227"/>
      <c r="J357" s="227"/>
      <c r="K357" s="227"/>
      <c r="L357" s="227"/>
      <c r="M357" s="227"/>
      <c r="N357" s="227"/>
      <c r="O357" s="227"/>
      <c r="P357" s="227"/>
      <c r="Q357" s="227"/>
      <c r="R357" s="227"/>
      <c r="S357" s="227"/>
      <c r="T357" s="227"/>
      <c r="U357" s="227"/>
      <c r="V357" s="227"/>
      <c r="W357" s="227"/>
      <c r="X357" s="227"/>
      <c r="Y357" s="227"/>
      <c r="Z357" s="227"/>
      <c r="AA357" s="227"/>
      <c r="AB357" s="227"/>
      <c r="AC357" s="227"/>
      <c r="AD357" s="227"/>
      <c r="AE357" s="227"/>
      <c r="AF357" s="227"/>
      <c r="AG357" s="227"/>
      <c r="AH357" s="227"/>
      <c r="AI357" s="227"/>
      <c r="AJ357" s="227"/>
      <c r="AK357" s="227"/>
      <c r="AL357" s="227"/>
    </row>
    <row r="358" spans="1:38" ht="13.5" customHeight="1">
      <c r="A358" s="227"/>
      <c r="B358" s="227"/>
      <c r="C358" s="227"/>
      <c r="D358" s="227"/>
      <c r="E358" s="227"/>
      <c r="F358" s="227"/>
      <c r="G358" s="227"/>
      <c r="H358" s="227"/>
      <c r="I358" s="227"/>
      <c r="J358" s="227"/>
      <c r="K358" s="227"/>
      <c r="L358" s="227"/>
      <c r="M358" s="227"/>
      <c r="N358" s="227"/>
      <c r="O358" s="227"/>
      <c r="P358" s="227"/>
      <c r="Q358" s="227"/>
      <c r="R358" s="227"/>
      <c r="S358" s="227"/>
      <c r="T358" s="227"/>
      <c r="U358" s="227"/>
      <c r="V358" s="227"/>
      <c r="W358" s="227"/>
      <c r="X358" s="227"/>
      <c r="Y358" s="227"/>
      <c r="Z358" s="227"/>
      <c r="AA358" s="227"/>
      <c r="AB358" s="227"/>
      <c r="AC358" s="227"/>
      <c r="AD358" s="227"/>
      <c r="AE358" s="227"/>
      <c r="AF358" s="227"/>
      <c r="AG358" s="227"/>
      <c r="AH358" s="227"/>
      <c r="AI358" s="227"/>
      <c r="AJ358" s="227"/>
      <c r="AK358" s="227"/>
      <c r="AL358" s="227"/>
    </row>
    <row r="359" spans="1:38" ht="13.5" customHeight="1">
      <c r="A359" s="227"/>
      <c r="B359" s="227"/>
      <c r="C359" s="227"/>
      <c r="D359" s="227"/>
      <c r="E359" s="227"/>
      <c r="F359" s="227"/>
      <c r="G359" s="227"/>
      <c r="H359" s="227"/>
      <c r="I359" s="227"/>
      <c r="J359" s="227"/>
      <c r="K359" s="227"/>
      <c r="L359" s="227"/>
      <c r="M359" s="227"/>
      <c r="N359" s="227"/>
      <c r="O359" s="227"/>
      <c r="P359" s="227"/>
      <c r="Q359" s="227"/>
      <c r="R359" s="227"/>
      <c r="S359" s="227"/>
      <c r="T359" s="227"/>
      <c r="U359" s="227"/>
      <c r="V359" s="227"/>
      <c r="W359" s="227"/>
      <c r="X359" s="227"/>
      <c r="Y359" s="227"/>
      <c r="Z359" s="227"/>
      <c r="AA359" s="227"/>
      <c r="AB359" s="227"/>
      <c r="AC359" s="227"/>
      <c r="AD359" s="227"/>
      <c r="AE359" s="227"/>
      <c r="AF359" s="227"/>
      <c r="AG359" s="227"/>
      <c r="AH359" s="227"/>
      <c r="AI359" s="227"/>
      <c r="AJ359" s="227"/>
      <c r="AK359" s="227"/>
      <c r="AL359" s="227"/>
    </row>
    <row r="360" spans="1:38" ht="13.5" customHeight="1">
      <c r="A360" s="227"/>
      <c r="B360" s="227"/>
      <c r="C360" s="227"/>
      <c r="D360" s="227"/>
      <c r="E360" s="227"/>
      <c r="F360" s="227"/>
      <c r="G360" s="227"/>
      <c r="H360" s="227"/>
      <c r="I360" s="227"/>
      <c r="J360" s="227"/>
      <c r="K360" s="227"/>
      <c r="L360" s="227"/>
      <c r="M360" s="227"/>
      <c r="N360" s="227"/>
      <c r="O360" s="227"/>
      <c r="P360" s="227"/>
      <c r="Q360" s="227"/>
      <c r="R360" s="227"/>
      <c r="S360" s="227"/>
      <c r="T360" s="227"/>
      <c r="U360" s="227"/>
      <c r="V360" s="227"/>
      <c r="W360" s="227"/>
      <c r="X360" s="227"/>
      <c r="Y360" s="227"/>
      <c r="Z360" s="227"/>
      <c r="AA360" s="227"/>
      <c r="AB360" s="227"/>
      <c r="AC360" s="227"/>
      <c r="AD360" s="227"/>
      <c r="AE360" s="227"/>
      <c r="AF360" s="227"/>
      <c r="AG360" s="227"/>
      <c r="AH360" s="227"/>
      <c r="AI360" s="227"/>
      <c r="AJ360" s="227"/>
      <c r="AK360" s="227"/>
      <c r="AL360" s="227"/>
    </row>
    <row r="361" spans="1:38" ht="13.5" customHeight="1">
      <c r="A361" s="227"/>
      <c r="B361" s="227"/>
      <c r="C361" s="227"/>
      <c r="D361" s="227"/>
      <c r="E361" s="227"/>
      <c r="F361" s="227"/>
      <c r="G361" s="227"/>
      <c r="H361" s="227"/>
      <c r="I361" s="227"/>
      <c r="J361" s="227"/>
      <c r="K361" s="227"/>
      <c r="L361" s="227"/>
      <c r="M361" s="227"/>
      <c r="N361" s="227"/>
      <c r="O361" s="227"/>
      <c r="P361" s="227"/>
      <c r="Q361" s="227"/>
      <c r="R361" s="227"/>
      <c r="S361" s="227"/>
      <c r="T361" s="227"/>
      <c r="U361" s="227"/>
      <c r="V361" s="227"/>
      <c r="W361" s="227"/>
      <c r="X361" s="227"/>
      <c r="Y361" s="227"/>
      <c r="Z361" s="227"/>
      <c r="AA361" s="227"/>
      <c r="AB361" s="227"/>
      <c r="AC361" s="227"/>
      <c r="AD361" s="227"/>
      <c r="AE361" s="227"/>
      <c r="AF361" s="227"/>
      <c r="AG361" s="227"/>
      <c r="AH361" s="227"/>
      <c r="AI361" s="227"/>
      <c r="AJ361" s="227"/>
      <c r="AK361" s="227"/>
      <c r="AL361" s="227"/>
    </row>
    <row r="362" spans="1:38" ht="13.5" customHeight="1">
      <c r="A362" s="227"/>
      <c r="B362" s="227"/>
      <c r="C362" s="227"/>
      <c r="D362" s="227"/>
      <c r="E362" s="227"/>
      <c r="F362" s="227"/>
      <c r="G362" s="227"/>
      <c r="H362" s="227"/>
      <c r="I362" s="227"/>
      <c r="J362" s="227"/>
      <c r="K362" s="227"/>
      <c r="L362" s="227"/>
      <c r="M362" s="227"/>
      <c r="N362" s="227"/>
      <c r="O362" s="227"/>
      <c r="P362" s="227"/>
      <c r="Q362" s="227"/>
      <c r="R362" s="227"/>
      <c r="S362" s="227"/>
      <c r="T362" s="227"/>
      <c r="U362" s="227"/>
      <c r="V362" s="227"/>
      <c r="W362" s="227"/>
      <c r="X362" s="227"/>
      <c r="Y362" s="227"/>
      <c r="Z362" s="227"/>
      <c r="AA362" s="227"/>
      <c r="AB362" s="227"/>
      <c r="AC362" s="227"/>
      <c r="AD362" s="227"/>
      <c r="AE362" s="227"/>
      <c r="AF362" s="227"/>
      <c r="AG362" s="227"/>
      <c r="AH362" s="227"/>
      <c r="AI362" s="227"/>
      <c r="AJ362" s="227"/>
      <c r="AK362" s="227"/>
      <c r="AL362" s="227"/>
    </row>
    <row r="363" spans="1:38" ht="13.5" customHeight="1">
      <c r="A363" s="227"/>
      <c r="B363" s="227"/>
      <c r="C363" s="227"/>
      <c r="D363" s="227"/>
      <c r="E363" s="227"/>
      <c r="F363" s="227"/>
      <c r="G363" s="227"/>
      <c r="H363" s="227"/>
      <c r="I363" s="227"/>
      <c r="J363" s="227"/>
      <c r="K363" s="227"/>
      <c r="L363" s="227"/>
      <c r="M363" s="227"/>
      <c r="N363" s="227"/>
      <c r="O363" s="227"/>
      <c r="P363" s="227"/>
      <c r="Q363" s="227"/>
      <c r="R363" s="227"/>
      <c r="S363" s="227"/>
      <c r="T363" s="227"/>
      <c r="U363" s="227"/>
      <c r="V363" s="227"/>
      <c r="W363" s="227"/>
      <c r="X363" s="227"/>
      <c r="Y363" s="227"/>
      <c r="Z363" s="227"/>
      <c r="AA363" s="227"/>
      <c r="AB363" s="227"/>
      <c r="AC363" s="227"/>
      <c r="AD363" s="227"/>
      <c r="AE363" s="227"/>
      <c r="AF363" s="227"/>
      <c r="AG363" s="227"/>
      <c r="AH363" s="227"/>
      <c r="AI363" s="227"/>
      <c r="AJ363" s="227"/>
      <c r="AK363" s="227"/>
      <c r="AL363" s="227"/>
    </row>
    <row r="364" spans="1:38" ht="13.5" customHeight="1">
      <c r="A364" s="227"/>
      <c r="B364" s="227"/>
      <c r="C364" s="227"/>
      <c r="D364" s="227"/>
      <c r="E364" s="227"/>
      <c r="F364" s="227"/>
      <c r="G364" s="227"/>
      <c r="H364" s="227"/>
      <c r="I364" s="227"/>
      <c r="J364" s="227"/>
      <c r="K364" s="227"/>
      <c r="L364" s="227"/>
      <c r="M364" s="227"/>
      <c r="N364" s="227"/>
      <c r="O364" s="227"/>
      <c r="P364" s="227"/>
      <c r="Q364" s="227"/>
      <c r="R364" s="227"/>
      <c r="S364" s="227"/>
      <c r="T364" s="227"/>
      <c r="U364" s="227"/>
      <c r="V364" s="227"/>
      <c r="W364" s="227"/>
      <c r="X364" s="227"/>
      <c r="Y364" s="227"/>
      <c r="Z364" s="227"/>
      <c r="AA364" s="227"/>
      <c r="AB364" s="227"/>
      <c r="AC364" s="227"/>
      <c r="AD364" s="227"/>
      <c r="AE364" s="227"/>
      <c r="AF364" s="227"/>
      <c r="AG364" s="227"/>
      <c r="AH364" s="227"/>
      <c r="AI364" s="227"/>
      <c r="AJ364" s="227"/>
      <c r="AK364" s="227"/>
      <c r="AL364" s="227"/>
    </row>
    <row r="365" spans="1:38" ht="13.5" customHeight="1">
      <c r="A365" s="227"/>
      <c r="B365" s="227"/>
      <c r="C365" s="227"/>
      <c r="D365" s="227"/>
      <c r="E365" s="227"/>
      <c r="F365" s="227"/>
      <c r="G365" s="227"/>
      <c r="H365" s="227"/>
      <c r="I365" s="227"/>
      <c r="J365" s="227"/>
      <c r="K365" s="227"/>
      <c r="L365" s="227"/>
      <c r="M365" s="227"/>
      <c r="N365" s="227"/>
      <c r="O365" s="227"/>
      <c r="P365" s="227"/>
      <c r="Q365" s="227"/>
      <c r="R365" s="227"/>
      <c r="S365" s="227"/>
      <c r="T365" s="227"/>
      <c r="U365" s="227"/>
      <c r="V365" s="227"/>
      <c r="W365" s="227"/>
      <c r="X365" s="227"/>
      <c r="Y365" s="227"/>
      <c r="Z365" s="227"/>
      <c r="AA365" s="227"/>
      <c r="AB365" s="227"/>
      <c r="AC365" s="227"/>
      <c r="AD365" s="227"/>
      <c r="AE365" s="227"/>
      <c r="AF365" s="227"/>
      <c r="AG365" s="227"/>
      <c r="AH365" s="227"/>
      <c r="AI365" s="227"/>
      <c r="AJ365" s="227"/>
      <c r="AK365" s="227"/>
      <c r="AL365" s="227"/>
    </row>
    <row r="366" spans="1:38" ht="13.5" customHeight="1">
      <c r="A366" s="227"/>
      <c r="B366" s="227"/>
      <c r="C366" s="227"/>
      <c r="D366" s="227"/>
      <c r="E366" s="227"/>
      <c r="F366" s="227"/>
      <c r="G366" s="227"/>
      <c r="H366" s="227"/>
      <c r="I366" s="227"/>
      <c r="J366" s="227"/>
      <c r="K366" s="227"/>
      <c r="L366" s="227"/>
      <c r="M366" s="227"/>
      <c r="N366" s="227"/>
      <c r="O366" s="227"/>
      <c r="P366" s="227"/>
      <c r="Q366" s="227"/>
      <c r="R366" s="227"/>
      <c r="S366" s="227"/>
      <c r="T366" s="227"/>
      <c r="U366" s="227"/>
      <c r="V366" s="227"/>
      <c r="W366" s="227"/>
      <c r="X366" s="227"/>
      <c r="Y366" s="227"/>
      <c r="Z366" s="227"/>
      <c r="AA366" s="227"/>
      <c r="AB366" s="227"/>
      <c r="AC366" s="227"/>
      <c r="AD366" s="227"/>
      <c r="AE366" s="227"/>
      <c r="AF366" s="227"/>
      <c r="AG366" s="227"/>
      <c r="AH366" s="227"/>
      <c r="AI366" s="227"/>
      <c r="AJ366" s="227"/>
      <c r="AK366" s="227"/>
      <c r="AL366" s="227"/>
    </row>
    <row r="367" spans="1:38" ht="13.5" customHeight="1">
      <c r="A367" s="227"/>
      <c r="B367" s="227"/>
      <c r="C367" s="227"/>
      <c r="D367" s="227"/>
      <c r="E367" s="227"/>
      <c r="F367" s="227"/>
      <c r="G367" s="227"/>
      <c r="H367" s="227"/>
      <c r="I367" s="227"/>
      <c r="J367" s="227"/>
      <c r="K367" s="227"/>
      <c r="L367" s="227"/>
      <c r="M367" s="227"/>
      <c r="N367" s="227"/>
      <c r="O367" s="227"/>
      <c r="P367" s="227"/>
      <c r="Q367" s="227"/>
      <c r="R367" s="227"/>
      <c r="S367" s="227"/>
      <c r="T367" s="227"/>
      <c r="U367" s="227"/>
      <c r="V367" s="227"/>
      <c r="W367" s="227"/>
      <c r="X367" s="227"/>
      <c r="Y367" s="227"/>
      <c r="Z367" s="227"/>
      <c r="AA367" s="227"/>
      <c r="AB367" s="227"/>
      <c r="AC367" s="227"/>
      <c r="AD367" s="227"/>
      <c r="AE367" s="227"/>
      <c r="AF367" s="227"/>
      <c r="AG367" s="227"/>
      <c r="AH367" s="227"/>
      <c r="AI367" s="227"/>
      <c r="AJ367" s="227"/>
      <c r="AK367" s="227"/>
      <c r="AL367" s="227"/>
    </row>
    <row r="368" spans="1:38" ht="13.5" customHeight="1">
      <c r="A368" s="227"/>
      <c r="B368" s="227"/>
      <c r="C368" s="227"/>
      <c r="D368" s="227"/>
      <c r="E368" s="227"/>
      <c r="F368" s="227"/>
      <c r="G368" s="227"/>
      <c r="H368" s="227"/>
      <c r="I368" s="227"/>
      <c r="J368" s="227"/>
      <c r="K368" s="227"/>
      <c r="L368" s="227"/>
      <c r="M368" s="227"/>
      <c r="N368" s="227"/>
      <c r="O368" s="227"/>
      <c r="P368" s="227"/>
      <c r="Q368" s="227"/>
      <c r="R368" s="227"/>
      <c r="S368" s="227"/>
      <c r="T368" s="227"/>
      <c r="U368" s="227"/>
      <c r="V368" s="227"/>
      <c r="W368" s="227"/>
      <c r="X368" s="227"/>
      <c r="Y368" s="227"/>
      <c r="Z368" s="227"/>
      <c r="AA368" s="227"/>
      <c r="AB368" s="227"/>
      <c r="AC368" s="227"/>
      <c r="AD368" s="227"/>
      <c r="AE368" s="227"/>
      <c r="AF368" s="227"/>
      <c r="AG368" s="227"/>
      <c r="AH368" s="227"/>
      <c r="AI368" s="227"/>
      <c r="AJ368" s="227"/>
      <c r="AK368" s="227"/>
      <c r="AL368" s="227"/>
    </row>
    <row r="369" spans="1:38" ht="13.5" customHeight="1">
      <c r="A369" s="227"/>
      <c r="B369" s="227"/>
      <c r="C369" s="227"/>
      <c r="D369" s="227"/>
      <c r="E369" s="227"/>
      <c r="F369" s="227"/>
      <c r="G369" s="227"/>
      <c r="H369" s="227"/>
      <c r="I369" s="227"/>
      <c r="J369" s="227"/>
      <c r="K369" s="227"/>
      <c r="L369" s="227"/>
      <c r="M369" s="227"/>
      <c r="N369" s="227"/>
      <c r="O369" s="227"/>
      <c r="P369" s="227"/>
      <c r="Q369" s="227"/>
      <c r="R369" s="227"/>
      <c r="S369" s="227"/>
      <c r="T369" s="227"/>
      <c r="U369" s="227"/>
      <c r="V369" s="227"/>
      <c r="W369" s="227"/>
      <c r="X369" s="227"/>
      <c r="Y369" s="227"/>
      <c r="Z369" s="227"/>
      <c r="AA369" s="227"/>
      <c r="AB369" s="227"/>
      <c r="AC369" s="227"/>
      <c r="AD369" s="227"/>
      <c r="AE369" s="227"/>
      <c r="AF369" s="227"/>
      <c r="AG369" s="227"/>
      <c r="AH369" s="227"/>
      <c r="AI369" s="227"/>
      <c r="AJ369" s="227"/>
      <c r="AK369" s="227"/>
      <c r="AL369" s="227"/>
    </row>
    <row r="370" spans="1:38" ht="13.5" customHeight="1">
      <c r="A370" s="227"/>
      <c r="B370" s="227"/>
      <c r="C370" s="227"/>
      <c r="D370" s="227"/>
      <c r="E370" s="227"/>
      <c r="F370" s="227"/>
      <c r="G370" s="227"/>
      <c r="H370" s="227"/>
      <c r="I370" s="227"/>
      <c r="J370" s="227"/>
      <c r="K370" s="227"/>
      <c r="L370" s="227"/>
      <c r="M370" s="227"/>
      <c r="N370" s="227"/>
      <c r="O370" s="227"/>
      <c r="P370" s="227"/>
      <c r="Q370" s="227"/>
      <c r="R370" s="227"/>
      <c r="S370" s="227"/>
      <c r="T370" s="227"/>
      <c r="U370" s="227"/>
      <c r="V370" s="227"/>
      <c r="W370" s="227"/>
      <c r="X370" s="227"/>
      <c r="Y370" s="227"/>
      <c r="Z370" s="227"/>
      <c r="AA370" s="227"/>
      <c r="AB370" s="227"/>
      <c r="AC370" s="227"/>
      <c r="AD370" s="227"/>
      <c r="AE370" s="227"/>
      <c r="AF370" s="227"/>
      <c r="AG370" s="227"/>
      <c r="AH370" s="227"/>
      <c r="AI370" s="227"/>
      <c r="AJ370" s="227"/>
      <c r="AK370" s="227"/>
      <c r="AL370" s="227"/>
    </row>
    <row r="371" spans="1:38" ht="13.5" customHeight="1">
      <c r="A371" s="227"/>
      <c r="B371" s="227"/>
      <c r="C371" s="227"/>
      <c r="D371" s="227"/>
      <c r="E371" s="227"/>
      <c r="F371" s="227"/>
      <c r="G371" s="227"/>
      <c r="H371" s="227"/>
      <c r="I371" s="227"/>
      <c r="J371" s="227"/>
      <c r="K371" s="227"/>
      <c r="L371" s="227"/>
      <c r="M371" s="227"/>
      <c r="N371" s="227"/>
      <c r="O371" s="227"/>
      <c r="P371" s="227"/>
      <c r="Q371" s="227"/>
      <c r="R371" s="227"/>
      <c r="S371" s="227"/>
      <c r="T371" s="227"/>
      <c r="U371" s="227"/>
      <c r="V371" s="227"/>
      <c r="W371" s="227"/>
      <c r="X371" s="227"/>
      <c r="Y371" s="227"/>
      <c r="Z371" s="227"/>
      <c r="AA371" s="227"/>
      <c r="AB371" s="227"/>
      <c r="AC371" s="227"/>
      <c r="AD371" s="227"/>
      <c r="AE371" s="227"/>
      <c r="AF371" s="227"/>
      <c r="AG371" s="227"/>
      <c r="AH371" s="227"/>
      <c r="AI371" s="227"/>
      <c r="AJ371" s="227"/>
      <c r="AK371" s="227"/>
      <c r="AL371" s="227"/>
    </row>
    <row r="372" spans="1:38" ht="13.5" customHeight="1">
      <c r="A372" s="227"/>
      <c r="B372" s="227"/>
      <c r="C372" s="227"/>
      <c r="D372" s="227"/>
      <c r="E372" s="227"/>
      <c r="F372" s="227"/>
      <c r="G372" s="227"/>
      <c r="H372" s="227"/>
      <c r="I372" s="227"/>
      <c r="J372" s="227"/>
      <c r="K372" s="227"/>
      <c r="L372" s="227"/>
      <c r="M372" s="227"/>
      <c r="N372" s="227"/>
      <c r="O372" s="227"/>
      <c r="P372" s="227"/>
      <c r="Q372" s="227"/>
      <c r="R372" s="227"/>
      <c r="S372" s="227"/>
      <c r="T372" s="227"/>
      <c r="U372" s="227"/>
      <c r="V372" s="227"/>
      <c r="W372" s="227"/>
      <c r="X372" s="227"/>
      <c r="Y372" s="227"/>
      <c r="Z372" s="227"/>
      <c r="AA372" s="227"/>
      <c r="AB372" s="227"/>
      <c r="AC372" s="227"/>
      <c r="AD372" s="227"/>
      <c r="AE372" s="227"/>
      <c r="AF372" s="227"/>
      <c r="AG372" s="227"/>
      <c r="AH372" s="227"/>
      <c r="AI372" s="227"/>
      <c r="AJ372" s="227"/>
      <c r="AK372" s="227"/>
      <c r="AL372" s="227"/>
    </row>
    <row r="373" spans="1:38" ht="13.5" customHeight="1">
      <c r="A373" s="227"/>
      <c r="B373" s="227"/>
      <c r="C373" s="227"/>
      <c r="D373" s="227"/>
      <c r="E373" s="227"/>
      <c r="F373" s="227"/>
      <c r="G373" s="227"/>
      <c r="H373" s="227"/>
      <c r="I373" s="227"/>
      <c r="J373" s="227"/>
      <c r="K373" s="227"/>
      <c r="L373" s="227"/>
      <c r="M373" s="227"/>
      <c r="N373" s="227"/>
      <c r="O373" s="227"/>
      <c r="P373" s="227"/>
      <c r="Q373" s="227"/>
      <c r="R373" s="227"/>
      <c r="S373" s="227"/>
      <c r="T373" s="227"/>
      <c r="U373" s="227"/>
      <c r="V373" s="227"/>
      <c r="W373" s="227"/>
      <c r="X373" s="227"/>
      <c r="Y373" s="227"/>
      <c r="Z373" s="227"/>
      <c r="AA373" s="227"/>
      <c r="AB373" s="227"/>
      <c r="AC373" s="227"/>
      <c r="AD373" s="227"/>
      <c r="AE373" s="227"/>
      <c r="AF373" s="227"/>
      <c r="AG373" s="227"/>
      <c r="AH373" s="227"/>
      <c r="AI373" s="227"/>
      <c r="AJ373" s="227"/>
      <c r="AK373" s="227"/>
      <c r="AL373" s="227"/>
    </row>
    <row r="374" spans="1:38" ht="13.5" customHeight="1">
      <c r="A374" s="227"/>
      <c r="B374" s="227"/>
      <c r="C374" s="227"/>
      <c r="D374" s="227"/>
      <c r="E374" s="227"/>
      <c r="F374" s="227"/>
      <c r="G374" s="227"/>
      <c r="H374" s="227"/>
      <c r="I374" s="227"/>
      <c r="J374" s="227"/>
      <c r="K374" s="227"/>
      <c r="L374" s="227"/>
      <c r="M374" s="227"/>
      <c r="N374" s="227"/>
      <c r="O374" s="227"/>
      <c r="P374" s="227"/>
      <c r="Q374" s="227"/>
      <c r="R374" s="227"/>
      <c r="S374" s="227"/>
      <c r="T374" s="227"/>
      <c r="U374" s="227"/>
      <c r="V374" s="227"/>
      <c r="W374" s="227"/>
      <c r="X374" s="227"/>
      <c r="Y374" s="227"/>
      <c r="Z374" s="227"/>
      <c r="AA374" s="227"/>
      <c r="AB374" s="227"/>
      <c r="AC374" s="227"/>
      <c r="AD374" s="227"/>
      <c r="AE374" s="227"/>
      <c r="AF374" s="227"/>
      <c r="AG374" s="227"/>
      <c r="AH374" s="227"/>
      <c r="AI374" s="227"/>
      <c r="AJ374" s="227"/>
      <c r="AK374" s="227"/>
      <c r="AL374" s="227"/>
    </row>
    <row r="375" spans="1:38" ht="13.5" customHeight="1">
      <c r="A375" s="227"/>
      <c r="B375" s="227"/>
      <c r="C375" s="227"/>
      <c r="D375" s="227"/>
      <c r="E375" s="227"/>
      <c r="F375" s="227"/>
      <c r="G375" s="227"/>
      <c r="H375" s="227"/>
      <c r="I375" s="227"/>
      <c r="J375" s="227"/>
      <c r="K375" s="227"/>
      <c r="L375" s="227"/>
      <c r="M375" s="227"/>
      <c r="N375" s="227"/>
      <c r="O375" s="227"/>
      <c r="P375" s="227"/>
      <c r="Q375" s="227"/>
      <c r="R375" s="227"/>
      <c r="S375" s="227"/>
      <c r="T375" s="227"/>
      <c r="U375" s="227"/>
      <c r="V375" s="227"/>
      <c r="W375" s="227"/>
      <c r="X375" s="227"/>
      <c r="Y375" s="227"/>
      <c r="Z375" s="227"/>
      <c r="AA375" s="227"/>
      <c r="AB375" s="227"/>
      <c r="AC375" s="227"/>
      <c r="AD375" s="227"/>
      <c r="AE375" s="227"/>
      <c r="AF375" s="227"/>
      <c r="AG375" s="227"/>
      <c r="AH375" s="227"/>
      <c r="AI375" s="227"/>
      <c r="AJ375" s="227"/>
      <c r="AK375" s="227"/>
      <c r="AL375" s="227"/>
    </row>
    <row r="376" spans="1:38" ht="13.5" customHeight="1">
      <c r="A376" s="227"/>
      <c r="B376" s="227"/>
      <c r="C376" s="227"/>
      <c r="D376" s="227"/>
      <c r="E376" s="227"/>
      <c r="F376" s="227"/>
      <c r="G376" s="227"/>
      <c r="H376" s="227"/>
      <c r="I376" s="227"/>
      <c r="J376" s="227"/>
      <c r="K376" s="227"/>
      <c r="L376" s="227"/>
      <c r="M376" s="227"/>
      <c r="N376" s="227"/>
      <c r="O376" s="227"/>
      <c r="P376" s="227"/>
      <c r="Q376" s="227"/>
      <c r="R376" s="227"/>
      <c r="S376" s="227"/>
      <c r="T376" s="227"/>
      <c r="U376" s="227"/>
      <c r="V376" s="227"/>
      <c r="W376" s="227"/>
      <c r="X376" s="227"/>
      <c r="Y376" s="227"/>
      <c r="Z376" s="227"/>
      <c r="AA376" s="227"/>
      <c r="AB376" s="227"/>
      <c r="AC376" s="227"/>
      <c r="AD376" s="227"/>
      <c r="AE376" s="227"/>
      <c r="AF376" s="227"/>
      <c r="AG376" s="227"/>
      <c r="AH376" s="227"/>
      <c r="AI376" s="227"/>
      <c r="AJ376" s="227"/>
      <c r="AK376" s="227"/>
      <c r="AL376" s="227"/>
    </row>
    <row r="377" spans="1:38" ht="13.5" customHeight="1">
      <c r="A377" s="227"/>
      <c r="B377" s="227"/>
      <c r="C377" s="227"/>
      <c r="D377" s="227"/>
      <c r="E377" s="227"/>
      <c r="F377" s="227"/>
      <c r="G377" s="227"/>
      <c r="H377" s="227"/>
      <c r="I377" s="227"/>
      <c r="J377" s="227"/>
      <c r="K377" s="227"/>
      <c r="L377" s="227"/>
      <c r="M377" s="227"/>
      <c r="N377" s="227"/>
      <c r="O377" s="227"/>
      <c r="P377" s="227"/>
      <c r="Q377" s="227"/>
      <c r="R377" s="227"/>
      <c r="S377" s="227"/>
      <c r="T377" s="227"/>
      <c r="U377" s="227"/>
      <c r="V377" s="227"/>
      <c r="W377" s="227"/>
      <c r="X377" s="227"/>
      <c r="Y377" s="227"/>
      <c r="Z377" s="227"/>
      <c r="AA377" s="227"/>
      <c r="AB377" s="227"/>
      <c r="AC377" s="227"/>
      <c r="AD377" s="227"/>
      <c r="AE377" s="227"/>
      <c r="AF377" s="227"/>
      <c r="AG377" s="227"/>
      <c r="AH377" s="227"/>
      <c r="AI377" s="227"/>
      <c r="AJ377" s="227"/>
      <c r="AK377" s="227"/>
      <c r="AL377" s="227"/>
    </row>
    <row r="378" spans="1:38" ht="13.5" customHeight="1">
      <c r="A378" s="227"/>
      <c r="B378" s="227"/>
      <c r="C378" s="227"/>
      <c r="D378" s="227"/>
      <c r="E378" s="227"/>
      <c r="F378" s="227"/>
      <c r="G378" s="227"/>
      <c r="H378" s="227"/>
      <c r="I378" s="227"/>
      <c r="J378" s="227"/>
      <c r="K378" s="227"/>
      <c r="L378" s="227"/>
      <c r="M378" s="227"/>
      <c r="N378" s="227"/>
      <c r="O378" s="227"/>
      <c r="P378" s="227"/>
      <c r="Q378" s="227"/>
      <c r="R378" s="227"/>
      <c r="S378" s="227"/>
      <c r="T378" s="227"/>
      <c r="U378" s="227"/>
      <c r="V378" s="227"/>
      <c r="W378" s="227"/>
      <c r="X378" s="227"/>
      <c r="Y378" s="227"/>
      <c r="Z378" s="227"/>
      <c r="AA378" s="227"/>
      <c r="AB378" s="227"/>
      <c r="AC378" s="227"/>
      <c r="AD378" s="227"/>
      <c r="AE378" s="227"/>
      <c r="AF378" s="227"/>
      <c r="AG378" s="227"/>
      <c r="AH378" s="227"/>
      <c r="AI378" s="227"/>
      <c r="AJ378" s="227"/>
      <c r="AK378" s="227"/>
      <c r="AL378" s="227"/>
    </row>
    <row r="379" spans="1:38" ht="13.5" customHeight="1">
      <c r="A379" s="227"/>
      <c r="B379" s="227"/>
      <c r="C379" s="227"/>
      <c r="D379" s="227"/>
      <c r="E379" s="227"/>
      <c r="F379" s="227"/>
      <c r="G379" s="227"/>
      <c r="H379" s="227"/>
      <c r="I379" s="227"/>
      <c r="J379" s="227"/>
      <c r="K379" s="227"/>
      <c r="L379" s="227"/>
      <c r="M379" s="227"/>
      <c r="N379" s="227"/>
      <c r="O379" s="227"/>
      <c r="P379" s="227"/>
      <c r="Q379" s="227"/>
      <c r="R379" s="227"/>
      <c r="S379" s="227"/>
      <c r="T379" s="227"/>
      <c r="U379" s="227"/>
      <c r="V379" s="227"/>
      <c r="W379" s="227"/>
      <c r="X379" s="227"/>
      <c r="Y379" s="227"/>
      <c r="Z379" s="227"/>
      <c r="AA379" s="227"/>
      <c r="AB379" s="227"/>
      <c r="AC379" s="227"/>
      <c r="AD379" s="227"/>
      <c r="AE379" s="227"/>
      <c r="AF379" s="227"/>
      <c r="AG379" s="227"/>
      <c r="AH379" s="227"/>
      <c r="AI379" s="227"/>
      <c r="AJ379" s="227"/>
      <c r="AK379" s="227"/>
      <c r="AL379" s="227"/>
    </row>
    <row r="380" spans="1:38" ht="13.5" customHeight="1">
      <c r="A380" s="227"/>
      <c r="B380" s="227"/>
      <c r="C380" s="227"/>
      <c r="D380" s="227"/>
      <c r="E380" s="227"/>
      <c r="F380" s="227"/>
      <c r="G380" s="227"/>
      <c r="H380" s="227"/>
      <c r="I380" s="227"/>
      <c r="J380" s="227"/>
      <c r="K380" s="227"/>
      <c r="L380" s="227"/>
      <c r="M380" s="227"/>
      <c r="N380" s="227"/>
      <c r="O380" s="227"/>
      <c r="P380" s="227"/>
      <c r="Q380" s="227"/>
      <c r="R380" s="227"/>
      <c r="S380" s="227"/>
      <c r="T380" s="227"/>
      <c r="U380" s="227"/>
      <c r="V380" s="227"/>
      <c r="W380" s="227"/>
      <c r="X380" s="227"/>
      <c r="Y380" s="227"/>
      <c r="Z380" s="227"/>
      <c r="AA380" s="227"/>
      <c r="AB380" s="227"/>
      <c r="AC380" s="227"/>
      <c r="AD380" s="227"/>
      <c r="AE380" s="227"/>
      <c r="AF380" s="227"/>
      <c r="AG380" s="227"/>
      <c r="AH380" s="227"/>
      <c r="AI380" s="227"/>
      <c r="AJ380" s="227"/>
      <c r="AK380" s="227"/>
      <c r="AL380" s="227"/>
    </row>
    <row r="381" spans="1:38" ht="13.5" customHeight="1">
      <c r="A381" s="227"/>
      <c r="B381" s="227"/>
      <c r="C381" s="227"/>
      <c r="D381" s="227"/>
      <c r="E381" s="227"/>
      <c r="F381" s="227"/>
      <c r="G381" s="227"/>
      <c r="H381" s="227"/>
      <c r="I381" s="227"/>
      <c r="J381" s="227"/>
      <c r="K381" s="227"/>
      <c r="L381" s="227"/>
      <c r="M381" s="227"/>
      <c r="N381" s="227"/>
      <c r="O381" s="227"/>
      <c r="P381" s="227"/>
      <c r="Q381" s="227"/>
      <c r="R381" s="227"/>
      <c r="S381" s="227"/>
      <c r="T381" s="227"/>
      <c r="U381" s="227"/>
      <c r="V381" s="227"/>
      <c r="W381" s="227"/>
      <c r="X381" s="227"/>
      <c r="Y381" s="227"/>
      <c r="Z381" s="227"/>
      <c r="AA381" s="227"/>
      <c r="AB381" s="227"/>
      <c r="AC381" s="227"/>
      <c r="AD381" s="227"/>
      <c r="AE381" s="227"/>
      <c r="AF381" s="227"/>
      <c r="AG381" s="227"/>
      <c r="AH381" s="227"/>
      <c r="AI381" s="227"/>
      <c r="AJ381" s="227"/>
      <c r="AK381" s="227"/>
      <c r="AL381" s="227"/>
    </row>
    <row r="382" spans="1:38" ht="13.5" customHeight="1">
      <c r="A382" s="227"/>
      <c r="B382" s="227"/>
      <c r="C382" s="227"/>
      <c r="D382" s="227"/>
      <c r="E382" s="227"/>
      <c r="F382" s="227"/>
      <c r="G382" s="227"/>
      <c r="H382" s="227"/>
      <c r="I382" s="227"/>
      <c r="J382" s="227"/>
      <c r="K382" s="227"/>
      <c r="L382" s="227"/>
      <c r="M382" s="227"/>
      <c r="N382" s="227"/>
      <c r="O382" s="227"/>
      <c r="P382" s="227"/>
      <c r="Q382" s="227"/>
      <c r="R382" s="227"/>
      <c r="S382" s="227"/>
      <c r="T382" s="227"/>
      <c r="U382" s="227"/>
      <c r="V382" s="227"/>
      <c r="W382" s="227"/>
      <c r="X382" s="227"/>
      <c r="Y382" s="227"/>
      <c r="Z382" s="227"/>
      <c r="AA382" s="227"/>
      <c r="AB382" s="227"/>
      <c r="AC382" s="227"/>
      <c r="AD382" s="227"/>
      <c r="AE382" s="227"/>
      <c r="AF382" s="227"/>
      <c r="AG382" s="227"/>
      <c r="AH382" s="227"/>
      <c r="AI382" s="227"/>
      <c r="AJ382" s="227"/>
      <c r="AK382" s="227"/>
      <c r="AL382" s="227"/>
    </row>
    <row r="383" spans="1:38" ht="13.5" customHeight="1">
      <c r="A383" s="227"/>
      <c r="B383" s="227"/>
      <c r="C383" s="227"/>
      <c r="D383" s="227"/>
      <c r="E383" s="227"/>
      <c r="F383" s="227"/>
      <c r="G383" s="227"/>
      <c r="H383" s="227"/>
      <c r="I383" s="227"/>
      <c r="J383" s="227"/>
      <c r="K383" s="227"/>
      <c r="L383" s="227"/>
      <c r="M383" s="227"/>
      <c r="N383" s="227"/>
      <c r="O383" s="227"/>
      <c r="P383" s="227"/>
      <c r="Q383" s="227"/>
      <c r="R383" s="227"/>
      <c r="S383" s="227"/>
      <c r="T383" s="227"/>
      <c r="U383" s="227"/>
      <c r="V383" s="227"/>
      <c r="W383" s="227"/>
      <c r="X383" s="227"/>
      <c r="Y383" s="227"/>
      <c r="Z383" s="227"/>
      <c r="AA383" s="227"/>
      <c r="AB383" s="227"/>
      <c r="AC383" s="227"/>
      <c r="AD383" s="227"/>
      <c r="AE383" s="227"/>
      <c r="AF383" s="227"/>
      <c r="AG383" s="227"/>
      <c r="AH383" s="227"/>
      <c r="AI383" s="227"/>
      <c r="AJ383" s="227"/>
      <c r="AK383" s="227"/>
      <c r="AL383" s="227"/>
    </row>
    <row r="384" spans="1:38" ht="13.5" customHeight="1">
      <c r="A384" s="227"/>
      <c r="B384" s="227"/>
      <c r="C384" s="227"/>
      <c r="D384" s="227"/>
      <c r="E384" s="227"/>
      <c r="F384" s="227"/>
      <c r="G384" s="227"/>
      <c r="H384" s="227"/>
      <c r="I384" s="227"/>
      <c r="J384" s="227"/>
      <c r="K384" s="227"/>
      <c r="L384" s="227"/>
      <c r="M384" s="227"/>
      <c r="N384" s="227"/>
      <c r="O384" s="227"/>
      <c r="P384" s="227"/>
      <c r="Q384" s="227"/>
      <c r="R384" s="227"/>
      <c r="S384" s="227"/>
      <c r="T384" s="227"/>
      <c r="U384" s="227"/>
      <c r="V384" s="227"/>
      <c r="W384" s="227"/>
      <c r="X384" s="227"/>
      <c r="Y384" s="227"/>
      <c r="Z384" s="227"/>
      <c r="AA384" s="227"/>
      <c r="AB384" s="227"/>
      <c r="AC384" s="227"/>
      <c r="AD384" s="227"/>
      <c r="AE384" s="227"/>
      <c r="AF384" s="227"/>
      <c r="AG384" s="227"/>
      <c r="AH384" s="227"/>
      <c r="AI384" s="227"/>
      <c r="AJ384" s="227"/>
      <c r="AK384" s="227"/>
      <c r="AL384" s="227"/>
    </row>
    <row r="385" spans="1:38" ht="13.5" customHeight="1">
      <c r="A385" s="227"/>
      <c r="B385" s="227"/>
      <c r="C385" s="227"/>
      <c r="D385" s="227"/>
      <c r="E385" s="227"/>
      <c r="F385" s="227"/>
      <c r="G385" s="227"/>
      <c r="H385" s="227"/>
      <c r="I385" s="227"/>
      <c r="J385" s="227"/>
      <c r="K385" s="227"/>
      <c r="L385" s="227"/>
      <c r="M385" s="227"/>
      <c r="N385" s="227"/>
      <c r="O385" s="227"/>
      <c r="P385" s="227"/>
      <c r="Q385" s="227"/>
      <c r="R385" s="227"/>
      <c r="S385" s="227"/>
      <c r="T385" s="227"/>
      <c r="U385" s="227"/>
      <c r="V385" s="227"/>
      <c r="W385" s="227"/>
      <c r="X385" s="227"/>
      <c r="Y385" s="227"/>
      <c r="Z385" s="227"/>
      <c r="AA385" s="227"/>
      <c r="AB385" s="227"/>
      <c r="AC385" s="227"/>
      <c r="AD385" s="227"/>
      <c r="AE385" s="227"/>
      <c r="AF385" s="227"/>
      <c r="AG385" s="227"/>
      <c r="AH385" s="227"/>
      <c r="AI385" s="227"/>
      <c r="AJ385" s="227"/>
      <c r="AK385" s="227"/>
      <c r="AL385" s="227"/>
    </row>
    <row r="386" spans="1:38" ht="13.5" customHeight="1">
      <c r="A386" s="227"/>
      <c r="B386" s="227"/>
      <c r="C386" s="227"/>
      <c r="D386" s="227"/>
      <c r="E386" s="227"/>
      <c r="F386" s="227"/>
      <c r="G386" s="227"/>
      <c r="H386" s="227"/>
      <c r="I386" s="227"/>
      <c r="J386" s="227"/>
      <c r="K386" s="227"/>
      <c r="L386" s="227"/>
      <c r="M386" s="227"/>
      <c r="N386" s="227"/>
      <c r="O386" s="227"/>
      <c r="P386" s="227"/>
      <c r="Q386" s="227"/>
      <c r="R386" s="227"/>
      <c r="S386" s="227"/>
      <c r="T386" s="227"/>
      <c r="U386" s="227"/>
      <c r="V386" s="227"/>
      <c r="W386" s="227"/>
      <c r="X386" s="227"/>
      <c r="Y386" s="227"/>
      <c r="Z386" s="227"/>
      <c r="AA386" s="227"/>
      <c r="AB386" s="227"/>
      <c r="AC386" s="227"/>
      <c r="AD386" s="227"/>
      <c r="AE386" s="227"/>
      <c r="AF386" s="227"/>
      <c r="AG386" s="227"/>
      <c r="AH386" s="227"/>
      <c r="AI386" s="227"/>
      <c r="AJ386" s="227"/>
      <c r="AK386" s="227"/>
      <c r="AL386" s="227"/>
    </row>
    <row r="387" spans="1:38" ht="13.5" customHeight="1">
      <c r="A387" s="227"/>
      <c r="B387" s="227"/>
      <c r="C387" s="227"/>
      <c r="D387" s="227"/>
      <c r="E387" s="227"/>
      <c r="F387" s="227"/>
      <c r="G387" s="227"/>
      <c r="H387" s="227"/>
      <c r="I387" s="227"/>
      <c r="J387" s="227"/>
      <c r="K387" s="227"/>
      <c r="L387" s="227"/>
      <c r="M387" s="227"/>
      <c r="N387" s="227"/>
      <c r="O387" s="227"/>
      <c r="P387" s="227"/>
      <c r="Q387" s="227"/>
      <c r="R387" s="227"/>
      <c r="S387" s="227"/>
      <c r="T387" s="227"/>
      <c r="U387" s="227"/>
      <c r="V387" s="227"/>
      <c r="W387" s="227"/>
      <c r="X387" s="227"/>
      <c r="Y387" s="227"/>
      <c r="Z387" s="227"/>
      <c r="AA387" s="227"/>
      <c r="AB387" s="227"/>
      <c r="AC387" s="227"/>
      <c r="AD387" s="227"/>
      <c r="AE387" s="227"/>
      <c r="AF387" s="227"/>
      <c r="AG387" s="227"/>
      <c r="AH387" s="227"/>
      <c r="AI387" s="227"/>
      <c r="AJ387" s="227"/>
      <c r="AK387" s="227"/>
      <c r="AL387" s="227"/>
    </row>
    <row r="388" spans="1:38" ht="13.5" customHeight="1">
      <c r="A388" s="227"/>
      <c r="B388" s="227"/>
      <c r="C388" s="227"/>
      <c r="D388" s="227"/>
      <c r="E388" s="227"/>
      <c r="F388" s="227"/>
      <c r="G388" s="227"/>
      <c r="H388" s="227"/>
      <c r="I388" s="227"/>
      <c r="J388" s="227"/>
      <c r="K388" s="227"/>
      <c r="L388" s="227"/>
      <c r="M388" s="227"/>
      <c r="N388" s="227"/>
      <c r="O388" s="227"/>
      <c r="P388" s="227"/>
      <c r="Q388" s="227"/>
      <c r="R388" s="227"/>
      <c r="S388" s="227"/>
      <c r="T388" s="227"/>
      <c r="U388" s="227"/>
      <c r="V388" s="227"/>
      <c r="W388" s="227"/>
      <c r="X388" s="227"/>
      <c r="Y388" s="227"/>
      <c r="Z388" s="227"/>
      <c r="AA388" s="227"/>
      <c r="AB388" s="227"/>
      <c r="AC388" s="227"/>
      <c r="AD388" s="227"/>
      <c r="AE388" s="227"/>
      <c r="AF388" s="227"/>
      <c r="AG388" s="227"/>
      <c r="AH388" s="227"/>
      <c r="AI388" s="227"/>
      <c r="AJ388" s="227"/>
      <c r="AK388" s="227"/>
      <c r="AL388" s="227"/>
    </row>
    <row r="389" spans="1:38" ht="13.5" customHeight="1">
      <c r="A389" s="227"/>
      <c r="B389" s="227"/>
      <c r="C389" s="227"/>
      <c r="D389" s="227"/>
      <c r="E389" s="227"/>
      <c r="F389" s="227"/>
      <c r="G389" s="227"/>
      <c r="H389" s="227"/>
      <c r="I389" s="227"/>
      <c r="J389" s="227"/>
      <c r="K389" s="227"/>
      <c r="L389" s="227"/>
      <c r="M389" s="227"/>
      <c r="N389" s="227"/>
      <c r="O389" s="227"/>
      <c r="P389" s="227"/>
      <c r="Q389" s="227"/>
      <c r="R389" s="227"/>
      <c r="S389" s="227"/>
      <c r="T389" s="227"/>
      <c r="U389" s="227"/>
      <c r="V389" s="227"/>
      <c r="W389" s="227"/>
      <c r="X389" s="227"/>
      <c r="Y389" s="227"/>
      <c r="Z389" s="227"/>
      <c r="AA389" s="227"/>
      <c r="AB389" s="227"/>
      <c r="AC389" s="227"/>
      <c r="AD389" s="227"/>
      <c r="AE389" s="227"/>
      <c r="AF389" s="227"/>
      <c r="AG389" s="227"/>
      <c r="AH389" s="227"/>
      <c r="AI389" s="227"/>
      <c r="AJ389" s="227"/>
      <c r="AK389" s="227"/>
      <c r="AL389" s="227"/>
    </row>
    <row r="390" spans="1:38" ht="13.5" customHeight="1">
      <c r="A390" s="227"/>
      <c r="B390" s="227"/>
      <c r="C390" s="227"/>
      <c r="D390" s="227"/>
      <c r="E390" s="227"/>
      <c r="F390" s="227"/>
      <c r="G390" s="227"/>
      <c r="H390" s="227"/>
      <c r="I390" s="227"/>
      <c r="J390" s="227"/>
      <c r="K390" s="227"/>
      <c r="L390" s="227"/>
      <c r="M390" s="227"/>
      <c r="N390" s="227"/>
      <c r="O390" s="227"/>
      <c r="P390" s="227"/>
      <c r="Q390" s="227"/>
      <c r="R390" s="227"/>
      <c r="S390" s="227"/>
      <c r="T390" s="227"/>
      <c r="U390" s="227"/>
      <c r="V390" s="227"/>
      <c r="W390" s="227"/>
      <c r="X390" s="227"/>
      <c r="Y390" s="227"/>
      <c r="Z390" s="227"/>
      <c r="AA390" s="227"/>
      <c r="AB390" s="227"/>
      <c r="AC390" s="227"/>
      <c r="AD390" s="227"/>
      <c r="AE390" s="227"/>
      <c r="AF390" s="227"/>
      <c r="AG390" s="227"/>
      <c r="AH390" s="227"/>
      <c r="AI390" s="227"/>
      <c r="AJ390" s="227"/>
      <c r="AK390" s="227"/>
      <c r="AL390" s="227"/>
    </row>
    <row r="391" spans="1:38" ht="13.5" customHeight="1">
      <c r="A391" s="227"/>
      <c r="B391" s="227"/>
      <c r="C391" s="227"/>
      <c r="D391" s="227"/>
      <c r="E391" s="227"/>
      <c r="F391" s="227"/>
      <c r="G391" s="227"/>
      <c r="H391" s="227"/>
      <c r="I391" s="227"/>
      <c r="J391" s="227"/>
      <c r="K391" s="227"/>
      <c r="L391" s="227"/>
      <c r="M391" s="227"/>
      <c r="N391" s="227"/>
      <c r="O391" s="227"/>
      <c r="P391" s="227"/>
      <c r="Q391" s="227"/>
      <c r="R391" s="227"/>
      <c r="S391" s="227"/>
      <c r="T391" s="227"/>
      <c r="U391" s="227"/>
      <c r="V391" s="227"/>
      <c r="W391" s="227"/>
      <c r="X391" s="227"/>
      <c r="Y391" s="227"/>
      <c r="Z391" s="227"/>
      <c r="AA391" s="227"/>
      <c r="AB391" s="227"/>
      <c r="AC391" s="227"/>
      <c r="AD391" s="227"/>
      <c r="AE391" s="227"/>
      <c r="AF391" s="227"/>
      <c r="AG391" s="227"/>
      <c r="AH391" s="227"/>
      <c r="AI391" s="227"/>
      <c r="AJ391" s="227"/>
      <c r="AK391" s="227"/>
      <c r="AL391" s="227"/>
    </row>
    <row r="392" spans="1:38" ht="13.5" customHeight="1">
      <c r="A392" s="227"/>
      <c r="B392" s="227"/>
      <c r="C392" s="227"/>
      <c r="D392" s="227"/>
      <c r="E392" s="227"/>
      <c r="F392" s="227"/>
      <c r="G392" s="227"/>
      <c r="H392" s="227"/>
      <c r="I392" s="227"/>
      <c r="J392" s="227"/>
      <c r="K392" s="227"/>
      <c r="L392" s="227"/>
      <c r="M392" s="227"/>
      <c r="N392" s="227"/>
      <c r="O392" s="227"/>
      <c r="P392" s="227"/>
      <c r="Q392" s="227"/>
      <c r="R392" s="227"/>
      <c r="S392" s="227"/>
      <c r="T392" s="227"/>
      <c r="U392" s="227"/>
      <c r="V392" s="227"/>
      <c r="W392" s="227"/>
      <c r="X392" s="227"/>
      <c r="Y392" s="227"/>
      <c r="Z392" s="227"/>
      <c r="AA392" s="227"/>
      <c r="AB392" s="227"/>
      <c r="AC392" s="227"/>
      <c r="AD392" s="227"/>
      <c r="AE392" s="227"/>
      <c r="AF392" s="227"/>
      <c r="AG392" s="227"/>
      <c r="AH392" s="227"/>
      <c r="AI392" s="227"/>
      <c r="AJ392" s="227"/>
      <c r="AK392" s="227"/>
      <c r="AL392" s="227"/>
    </row>
    <row r="393" spans="1:38" ht="13.5" customHeight="1">
      <c r="A393" s="227"/>
      <c r="B393" s="227"/>
      <c r="C393" s="227"/>
      <c r="D393" s="227"/>
      <c r="E393" s="227"/>
      <c r="F393" s="227"/>
      <c r="G393" s="227"/>
      <c r="H393" s="227"/>
      <c r="I393" s="227"/>
      <c r="J393" s="227"/>
      <c r="K393" s="227"/>
      <c r="L393" s="227"/>
      <c r="M393" s="227"/>
      <c r="N393" s="227"/>
      <c r="O393" s="227"/>
      <c r="P393" s="227"/>
      <c r="Q393" s="227"/>
      <c r="R393" s="227"/>
      <c r="S393" s="227"/>
      <c r="T393" s="227"/>
      <c r="U393" s="227"/>
      <c r="V393" s="227"/>
      <c r="W393" s="227"/>
      <c r="X393" s="227"/>
      <c r="Y393" s="227"/>
      <c r="Z393" s="227"/>
      <c r="AA393" s="227"/>
      <c r="AB393" s="227"/>
      <c r="AC393" s="227"/>
      <c r="AD393" s="227"/>
      <c r="AE393" s="227"/>
      <c r="AF393" s="227"/>
      <c r="AG393" s="227"/>
      <c r="AH393" s="227"/>
      <c r="AI393" s="227"/>
      <c r="AJ393" s="227"/>
      <c r="AK393" s="227"/>
      <c r="AL393" s="227"/>
    </row>
    <row r="394" spans="1:38" ht="13.5" customHeight="1">
      <c r="A394" s="227"/>
      <c r="B394" s="227"/>
      <c r="C394" s="227"/>
      <c r="D394" s="227"/>
      <c r="E394" s="227"/>
      <c r="F394" s="227"/>
      <c r="G394" s="227"/>
      <c r="H394" s="227"/>
      <c r="I394" s="227"/>
      <c r="J394" s="227"/>
      <c r="K394" s="227"/>
      <c r="L394" s="227"/>
      <c r="M394" s="227"/>
      <c r="N394" s="227"/>
      <c r="O394" s="227"/>
      <c r="P394" s="227"/>
      <c r="Q394" s="227"/>
      <c r="R394" s="227"/>
      <c r="S394" s="227"/>
      <c r="T394" s="227"/>
      <c r="U394" s="227"/>
      <c r="V394" s="227"/>
      <c r="W394" s="227"/>
      <c r="X394" s="227"/>
      <c r="Y394" s="227"/>
      <c r="Z394" s="227"/>
      <c r="AA394" s="227"/>
      <c r="AB394" s="227"/>
      <c r="AC394" s="227"/>
      <c r="AD394" s="227"/>
      <c r="AE394" s="227"/>
      <c r="AF394" s="227"/>
      <c r="AG394" s="227"/>
      <c r="AH394" s="227"/>
      <c r="AI394" s="227"/>
      <c r="AJ394" s="227"/>
      <c r="AK394" s="227"/>
      <c r="AL394" s="227"/>
    </row>
    <row r="395" spans="1:38" ht="13.5" customHeight="1">
      <c r="A395" s="227"/>
      <c r="B395" s="227"/>
      <c r="C395" s="227"/>
      <c r="D395" s="227"/>
      <c r="E395" s="227"/>
      <c r="F395" s="227"/>
      <c r="G395" s="227"/>
      <c r="H395" s="227"/>
      <c r="I395" s="227"/>
      <c r="J395" s="227"/>
      <c r="K395" s="227"/>
      <c r="L395" s="227"/>
      <c r="M395" s="227"/>
      <c r="N395" s="227"/>
      <c r="O395" s="227"/>
      <c r="P395" s="227"/>
      <c r="Q395" s="227"/>
      <c r="R395" s="227"/>
      <c r="S395" s="227"/>
      <c r="T395" s="227"/>
      <c r="U395" s="227"/>
      <c r="V395" s="227"/>
      <c r="W395" s="227"/>
      <c r="X395" s="227"/>
      <c r="Y395" s="227"/>
      <c r="Z395" s="227"/>
      <c r="AA395" s="227"/>
      <c r="AB395" s="227"/>
      <c r="AC395" s="227"/>
      <c r="AD395" s="227"/>
      <c r="AE395" s="227"/>
      <c r="AF395" s="227"/>
      <c r="AG395" s="227"/>
      <c r="AH395" s="227"/>
      <c r="AI395" s="227"/>
      <c r="AJ395" s="227"/>
      <c r="AK395" s="227"/>
      <c r="AL395" s="227"/>
    </row>
    <row r="396" spans="1:38" ht="13.5" customHeight="1">
      <c r="A396" s="227"/>
      <c r="B396" s="227"/>
      <c r="C396" s="227"/>
      <c r="D396" s="227"/>
      <c r="E396" s="227"/>
      <c r="F396" s="227"/>
      <c r="G396" s="227"/>
      <c r="H396" s="227"/>
      <c r="I396" s="227"/>
      <c r="J396" s="227"/>
      <c r="K396" s="227"/>
      <c r="L396" s="227"/>
      <c r="M396" s="227"/>
      <c r="N396" s="227"/>
      <c r="O396" s="227"/>
      <c r="P396" s="227"/>
      <c r="Q396" s="227"/>
      <c r="R396" s="227"/>
      <c r="S396" s="227"/>
      <c r="T396" s="227"/>
      <c r="U396" s="227"/>
      <c r="V396" s="227"/>
      <c r="W396" s="227"/>
      <c r="X396" s="227"/>
      <c r="Y396" s="227"/>
      <c r="Z396" s="227"/>
      <c r="AA396" s="227"/>
      <c r="AB396" s="227"/>
      <c r="AC396" s="227"/>
      <c r="AD396" s="227"/>
      <c r="AE396" s="227"/>
      <c r="AF396" s="227"/>
      <c r="AG396" s="227"/>
      <c r="AH396" s="227"/>
      <c r="AI396" s="227"/>
      <c r="AJ396" s="227"/>
      <c r="AK396" s="227"/>
      <c r="AL396" s="227"/>
    </row>
    <row r="397" spans="1:38" ht="13.5" customHeight="1">
      <c r="A397" s="227"/>
      <c r="B397" s="227"/>
      <c r="C397" s="227"/>
      <c r="D397" s="227"/>
      <c r="E397" s="227"/>
      <c r="F397" s="227"/>
      <c r="G397" s="227"/>
      <c r="H397" s="227"/>
      <c r="I397" s="227"/>
      <c r="J397" s="227"/>
      <c r="K397" s="227"/>
      <c r="L397" s="227"/>
      <c r="M397" s="227"/>
      <c r="N397" s="227"/>
      <c r="O397" s="227"/>
      <c r="P397" s="227"/>
      <c r="Q397" s="227"/>
      <c r="R397" s="227"/>
      <c r="S397" s="227"/>
      <c r="T397" s="227"/>
      <c r="U397" s="227"/>
      <c r="V397" s="227"/>
      <c r="W397" s="227"/>
      <c r="X397" s="227"/>
      <c r="Y397" s="227"/>
      <c r="Z397" s="227"/>
      <c r="AA397" s="227"/>
      <c r="AB397" s="227"/>
      <c r="AC397" s="227"/>
      <c r="AD397" s="227"/>
      <c r="AE397" s="227"/>
      <c r="AF397" s="227"/>
      <c r="AG397" s="227"/>
      <c r="AH397" s="227"/>
      <c r="AI397" s="227"/>
      <c r="AJ397" s="227"/>
      <c r="AK397" s="227"/>
      <c r="AL397" s="227"/>
    </row>
    <row r="398" spans="1:38" ht="13.5" customHeight="1">
      <c r="A398" s="227"/>
      <c r="B398" s="227"/>
      <c r="C398" s="227"/>
      <c r="D398" s="227"/>
      <c r="E398" s="227"/>
      <c r="F398" s="227"/>
      <c r="G398" s="227"/>
      <c r="H398" s="227"/>
      <c r="I398" s="227"/>
      <c r="J398" s="227"/>
      <c r="K398" s="227"/>
      <c r="L398" s="227"/>
      <c r="M398" s="227"/>
      <c r="N398" s="227"/>
      <c r="O398" s="227"/>
      <c r="P398" s="227"/>
      <c r="Q398" s="227"/>
      <c r="R398" s="227"/>
      <c r="S398" s="227"/>
      <c r="T398" s="227"/>
      <c r="U398" s="227"/>
      <c r="V398" s="227"/>
      <c r="W398" s="227"/>
      <c r="X398" s="227"/>
      <c r="Y398" s="227"/>
      <c r="Z398" s="227"/>
      <c r="AA398" s="227"/>
      <c r="AB398" s="227"/>
      <c r="AC398" s="227"/>
      <c r="AD398" s="227"/>
      <c r="AE398" s="227"/>
      <c r="AF398" s="227"/>
      <c r="AG398" s="227"/>
      <c r="AH398" s="227"/>
      <c r="AI398" s="227"/>
      <c r="AJ398" s="227"/>
      <c r="AK398" s="227"/>
      <c r="AL398" s="227"/>
    </row>
    <row r="399" spans="1:38" ht="13.5" customHeight="1">
      <c r="A399" s="227"/>
      <c r="B399" s="227"/>
      <c r="C399" s="227"/>
      <c r="D399" s="227"/>
      <c r="E399" s="227"/>
      <c r="F399" s="227"/>
      <c r="G399" s="227"/>
      <c r="H399" s="227"/>
      <c r="I399" s="227"/>
      <c r="J399" s="227"/>
      <c r="K399" s="227"/>
      <c r="L399" s="227"/>
      <c r="M399" s="227"/>
      <c r="N399" s="227"/>
      <c r="O399" s="227"/>
      <c r="P399" s="227"/>
      <c r="Q399" s="227"/>
      <c r="R399" s="227"/>
      <c r="S399" s="227"/>
      <c r="T399" s="227"/>
      <c r="U399" s="227"/>
      <c r="V399" s="227"/>
      <c r="W399" s="227"/>
      <c r="X399" s="227"/>
      <c r="Y399" s="227"/>
      <c r="Z399" s="227"/>
      <c r="AA399" s="227"/>
      <c r="AB399" s="227"/>
      <c r="AC399" s="227"/>
      <c r="AD399" s="227"/>
      <c r="AE399" s="227"/>
      <c r="AF399" s="227"/>
      <c r="AG399" s="227"/>
      <c r="AH399" s="227"/>
      <c r="AI399" s="227"/>
      <c r="AJ399" s="227"/>
      <c r="AK399" s="227"/>
      <c r="AL399" s="227"/>
    </row>
    <row r="400" spans="1:38" ht="13.5" customHeight="1">
      <c r="A400" s="227"/>
      <c r="B400" s="227"/>
      <c r="C400" s="227"/>
      <c r="D400" s="227"/>
      <c r="E400" s="227"/>
      <c r="F400" s="227"/>
      <c r="G400" s="227"/>
      <c r="H400" s="227"/>
      <c r="I400" s="227"/>
      <c r="J400" s="227"/>
      <c r="K400" s="227"/>
      <c r="L400" s="227"/>
      <c r="M400" s="227"/>
      <c r="N400" s="227"/>
      <c r="O400" s="227"/>
      <c r="P400" s="227"/>
      <c r="Q400" s="227"/>
      <c r="R400" s="227"/>
      <c r="S400" s="227"/>
      <c r="T400" s="227"/>
      <c r="U400" s="227"/>
      <c r="V400" s="227"/>
      <c r="W400" s="227"/>
      <c r="X400" s="227"/>
      <c r="Y400" s="227"/>
      <c r="Z400" s="227"/>
      <c r="AA400" s="227"/>
      <c r="AB400" s="227"/>
      <c r="AC400" s="227"/>
      <c r="AD400" s="227"/>
      <c r="AE400" s="227"/>
      <c r="AF400" s="227"/>
      <c r="AG400" s="227"/>
      <c r="AH400" s="227"/>
      <c r="AI400" s="227"/>
      <c r="AJ400" s="227"/>
      <c r="AK400" s="227"/>
      <c r="AL400" s="227"/>
    </row>
    <row r="401" spans="1:38" ht="13.5" customHeight="1">
      <c r="A401" s="227"/>
      <c r="B401" s="227"/>
      <c r="C401" s="227"/>
      <c r="D401" s="227"/>
      <c r="E401" s="227"/>
      <c r="F401" s="227"/>
      <c r="G401" s="227"/>
      <c r="H401" s="227"/>
      <c r="I401" s="227"/>
      <c r="J401" s="227"/>
      <c r="K401" s="227"/>
      <c r="L401" s="227"/>
      <c r="M401" s="227"/>
      <c r="N401" s="227"/>
      <c r="O401" s="227"/>
      <c r="P401" s="227"/>
      <c r="Q401" s="227"/>
      <c r="R401" s="227"/>
      <c r="S401" s="227"/>
      <c r="T401" s="227"/>
      <c r="U401" s="227"/>
      <c r="V401" s="227"/>
      <c r="W401" s="227"/>
      <c r="X401" s="227"/>
      <c r="Y401" s="227"/>
      <c r="Z401" s="227"/>
      <c r="AA401" s="227"/>
      <c r="AB401" s="227"/>
      <c r="AC401" s="227"/>
      <c r="AD401" s="227"/>
      <c r="AE401" s="227"/>
      <c r="AF401" s="227"/>
      <c r="AG401" s="227"/>
      <c r="AH401" s="227"/>
      <c r="AI401" s="227"/>
      <c r="AJ401" s="227"/>
      <c r="AK401" s="227"/>
      <c r="AL401" s="227"/>
    </row>
    <row r="402" spans="1:38" ht="13.5" customHeight="1">
      <c r="A402" s="227"/>
      <c r="B402" s="227"/>
      <c r="C402" s="227"/>
      <c r="D402" s="227"/>
      <c r="E402" s="227"/>
      <c r="F402" s="227"/>
      <c r="G402" s="227"/>
      <c r="H402" s="227"/>
      <c r="I402" s="227"/>
      <c r="J402" s="227"/>
      <c r="K402" s="227"/>
      <c r="L402" s="227"/>
      <c r="M402" s="227"/>
      <c r="N402" s="227"/>
      <c r="O402" s="227"/>
      <c r="P402" s="227"/>
      <c r="Q402" s="227"/>
      <c r="R402" s="227"/>
      <c r="S402" s="227"/>
      <c r="T402" s="227"/>
      <c r="U402" s="227"/>
      <c r="V402" s="227"/>
      <c r="W402" s="227"/>
      <c r="X402" s="227"/>
      <c r="Y402" s="227"/>
      <c r="Z402" s="227"/>
      <c r="AA402" s="227"/>
      <c r="AB402" s="227"/>
      <c r="AC402" s="227"/>
      <c r="AD402" s="227"/>
      <c r="AE402" s="227"/>
      <c r="AF402" s="227"/>
      <c r="AG402" s="227"/>
      <c r="AH402" s="227"/>
      <c r="AI402" s="227"/>
      <c r="AJ402" s="227"/>
      <c r="AK402" s="227"/>
      <c r="AL402" s="227"/>
    </row>
    <row r="403" spans="1:38" ht="13.5" customHeight="1">
      <c r="A403" s="227"/>
      <c r="B403" s="227"/>
      <c r="C403" s="227"/>
      <c r="D403" s="227"/>
      <c r="E403" s="227"/>
      <c r="F403" s="227"/>
      <c r="G403" s="227"/>
      <c r="H403" s="227"/>
      <c r="I403" s="227"/>
      <c r="J403" s="227"/>
      <c r="K403" s="227"/>
      <c r="L403" s="227"/>
      <c r="M403" s="227"/>
      <c r="N403" s="227"/>
      <c r="O403" s="227"/>
      <c r="P403" s="227"/>
      <c r="Q403" s="227"/>
      <c r="R403" s="227"/>
      <c r="S403" s="227"/>
      <c r="T403" s="227"/>
      <c r="U403" s="227"/>
      <c r="V403" s="227"/>
      <c r="W403" s="227"/>
      <c r="X403" s="227"/>
      <c r="Y403" s="227"/>
      <c r="Z403" s="227"/>
      <c r="AA403" s="227"/>
      <c r="AB403" s="227"/>
      <c r="AC403" s="227"/>
      <c r="AD403" s="227"/>
      <c r="AE403" s="227"/>
      <c r="AF403" s="227"/>
      <c r="AG403" s="227"/>
      <c r="AH403" s="227"/>
      <c r="AI403" s="227"/>
      <c r="AJ403" s="227"/>
      <c r="AK403" s="227"/>
      <c r="AL403" s="227"/>
    </row>
    <row r="404" spans="1:38" ht="13.5" customHeight="1">
      <c r="A404" s="227"/>
      <c r="B404" s="227"/>
      <c r="C404" s="227"/>
      <c r="D404" s="227"/>
      <c r="E404" s="227"/>
      <c r="F404" s="227"/>
      <c r="G404" s="227"/>
      <c r="H404" s="227"/>
      <c r="I404" s="227"/>
      <c r="J404" s="227"/>
      <c r="K404" s="227"/>
      <c r="L404" s="227"/>
      <c r="M404" s="227"/>
      <c r="N404" s="227"/>
      <c r="O404" s="227"/>
      <c r="P404" s="227"/>
      <c r="Q404" s="227"/>
      <c r="R404" s="227"/>
      <c r="S404" s="227"/>
      <c r="T404" s="227"/>
      <c r="U404" s="227"/>
      <c r="V404" s="227"/>
      <c r="W404" s="227"/>
      <c r="X404" s="227"/>
      <c r="Y404" s="227"/>
      <c r="Z404" s="227"/>
      <c r="AA404" s="227"/>
      <c r="AB404" s="227"/>
      <c r="AC404" s="227"/>
      <c r="AD404" s="227"/>
      <c r="AE404" s="227"/>
      <c r="AF404" s="227"/>
      <c r="AG404" s="227"/>
      <c r="AH404" s="227"/>
      <c r="AI404" s="227"/>
      <c r="AJ404" s="227"/>
      <c r="AK404" s="227"/>
      <c r="AL404" s="227"/>
    </row>
    <row r="405" spans="1:38" ht="13.5" customHeight="1">
      <c r="A405" s="227"/>
      <c r="B405" s="227"/>
      <c r="C405" s="227"/>
      <c r="D405" s="227"/>
      <c r="E405" s="227"/>
      <c r="F405" s="227"/>
      <c r="G405" s="227"/>
      <c r="H405" s="227"/>
      <c r="I405" s="227"/>
      <c r="J405" s="227"/>
      <c r="K405" s="227"/>
      <c r="L405" s="227"/>
      <c r="M405" s="227"/>
      <c r="N405" s="227"/>
      <c r="O405" s="227"/>
      <c r="P405" s="227"/>
      <c r="Q405" s="227"/>
      <c r="R405" s="227"/>
      <c r="S405" s="227"/>
      <c r="T405" s="227"/>
      <c r="U405" s="227"/>
      <c r="V405" s="227"/>
      <c r="W405" s="227"/>
      <c r="X405" s="227"/>
      <c r="Y405" s="227"/>
      <c r="Z405" s="227"/>
      <c r="AA405" s="227"/>
      <c r="AB405" s="227"/>
      <c r="AC405" s="227"/>
      <c r="AD405" s="227"/>
      <c r="AE405" s="227"/>
      <c r="AF405" s="227"/>
      <c r="AG405" s="227"/>
      <c r="AH405" s="227"/>
      <c r="AI405" s="227"/>
      <c r="AJ405" s="227"/>
      <c r="AK405" s="227"/>
      <c r="AL405" s="227"/>
    </row>
    <row r="406" spans="1:38" ht="13.5" customHeight="1">
      <c r="A406" s="227"/>
      <c r="B406" s="227"/>
      <c r="C406" s="227"/>
      <c r="D406" s="227"/>
      <c r="E406" s="227"/>
      <c r="F406" s="227"/>
      <c r="G406" s="227"/>
      <c r="H406" s="227"/>
      <c r="I406" s="227"/>
      <c r="J406" s="227"/>
      <c r="K406" s="227"/>
      <c r="L406" s="227"/>
      <c r="M406" s="227"/>
      <c r="N406" s="227"/>
      <c r="O406" s="227"/>
      <c r="P406" s="227"/>
      <c r="Q406" s="227"/>
      <c r="R406" s="227"/>
      <c r="S406" s="227"/>
      <c r="T406" s="227"/>
      <c r="U406" s="227"/>
      <c r="V406" s="227"/>
      <c r="W406" s="227"/>
      <c r="X406" s="227"/>
      <c r="Y406" s="227"/>
      <c r="Z406" s="227"/>
      <c r="AA406" s="227"/>
      <c r="AB406" s="227"/>
      <c r="AC406" s="227"/>
      <c r="AD406" s="227"/>
      <c r="AE406" s="227"/>
      <c r="AF406" s="227"/>
      <c r="AG406" s="227"/>
      <c r="AH406" s="227"/>
      <c r="AI406" s="227"/>
      <c r="AJ406" s="227"/>
      <c r="AK406" s="227"/>
      <c r="AL406" s="227"/>
    </row>
    <row r="407" spans="1:38" ht="13.5" customHeight="1">
      <c r="A407" s="227"/>
      <c r="B407" s="227"/>
      <c r="C407" s="227"/>
      <c r="D407" s="227"/>
      <c r="E407" s="227"/>
      <c r="F407" s="227"/>
      <c r="G407" s="227"/>
      <c r="H407" s="227"/>
      <c r="I407" s="227"/>
      <c r="J407" s="227"/>
      <c r="K407" s="227"/>
      <c r="L407" s="227"/>
      <c r="M407" s="227"/>
      <c r="N407" s="227"/>
      <c r="O407" s="227"/>
      <c r="P407" s="227"/>
      <c r="Q407" s="227"/>
      <c r="R407" s="227"/>
      <c r="S407" s="227"/>
      <c r="T407" s="227"/>
      <c r="U407" s="227"/>
      <c r="V407" s="227"/>
      <c r="W407" s="227"/>
      <c r="X407" s="227"/>
      <c r="Y407" s="227"/>
      <c r="Z407" s="227"/>
      <c r="AA407" s="227"/>
      <c r="AB407" s="227"/>
      <c r="AC407" s="227"/>
      <c r="AD407" s="227"/>
      <c r="AE407" s="227"/>
      <c r="AF407" s="227"/>
      <c r="AG407" s="227"/>
      <c r="AH407" s="227"/>
      <c r="AI407" s="227"/>
      <c r="AJ407" s="227"/>
      <c r="AK407" s="227"/>
      <c r="AL407" s="227"/>
    </row>
    <row r="408" spans="1:38" ht="13.5" customHeight="1">
      <c r="A408" s="227"/>
      <c r="B408" s="227"/>
      <c r="C408" s="227"/>
      <c r="D408" s="227"/>
      <c r="E408" s="227"/>
      <c r="F408" s="227"/>
      <c r="G408" s="227"/>
      <c r="H408" s="227"/>
      <c r="I408" s="227"/>
      <c r="J408" s="227"/>
      <c r="K408" s="227"/>
      <c r="L408" s="227"/>
      <c r="M408" s="227"/>
      <c r="N408" s="227"/>
      <c r="O408" s="227"/>
      <c r="P408" s="227"/>
      <c r="Q408" s="227"/>
      <c r="R408" s="227"/>
      <c r="S408" s="227"/>
      <c r="T408" s="227"/>
      <c r="U408" s="227"/>
      <c r="V408" s="227"/>
      <c r="W408" s="227"/>
      <c r="X408" s="227"/>
      <c r="Y408" s="227"/>
      <c r="Z408" s="227"/>
      <c r="AA408" s="227"/>
      <c r="AB408" s="227"/>
      <c r="AC408" s="227"/>
      <c r="AD408" s="227"/>
      <c r="AE408" s="227"/>
      <c r="AF408" s="227"/>
      <c r="AG408" s="227"/>
      <c r="AH408" s="227"/>
      <c r="AI408" s="227"/>
      <c r="AJ408" s="227"/>
      <c r="AK408" s="227"/>
      <c r="AL408" s="227"/>
    </row>
    <row r="409" spans="1:38" ht="13.5" customHeight="1">
      <c r="A409" s="227"/>
      <c r="B409" s="227"/>
      <c r="C409" s="227"/>
      <c r="D409" s="227"/>
      <c r="E409" s="227"/>
      <c r="F409" s="227"/>
      <c r="G409" s="227"/>
      <c r="H409" s="227"/>
      <c r="I409" s="227"/>
      <c r="J409" s="227"/>
      <c r="K409" s="227"/>
      <c r="L409" s="227"/>
      <c r="M409" s="227"/>
      <c r="N409" s="227"/>
      <c r="O409" s="227"/>
      <c r="P409" s="227"/>
      <c r="Q409" s="227"/>
      <c r="R409" s="227"/>
      <c r="S409" s="227"/>
      <c r="T409" s="227"/>
      <c r="U409" s="227"/>
      <c r="V409" s="227"/>
      <c r="W409" s="227"/>
      <c r="X409" s="227"/>
      <c r="Y409" s="227"/>
      <c r="Z409" s="227"/>
      <c r="AA409" s="227"/>
      <c r="AB409" s="227"/>
      <c r="AC409" s="227"/>
      <c r="AD409" s="227"/>
      <c r="AE409" s="227"/>
      <c r="AF409" s="227"/>
      <c r="AG409" s="227"/>
      <c r="AH409" s="227"/>
      <c r="AI409" s="227"/>
      <c r="AJ409" s="227"/>
      <c r="AK409" s="227"/>
      <c r="AL409" s="227"/>
    </row>
    <row r="410" spans="1:38" ht="13.5" customHeight="1">
      <c r="A410" s="227"/>
      <c r="B410" s="227"/>
      <c r="C410" s="227"/>
      <c r="D410" s="227"/>
      <c r="E410" s="227"/>
      <c r="F410" s="227"/>
      <c r="G410" s="227"/>
      <c r="H410" s="227"/>
      <c r="I410" s="227"/>
      <c r="J410" s="227"/>
      <c r="K410" s="227"/>
      <c r="L410" s="227"/>
      <c r="M410" s="227"/>
      <c r="N410" s="227"/>
      <c r="O410" s="227"/>
      <c r="P410" s="227"/>
      <c r="Q410" s="227"/>
      <c r="R410" s="227"/>
      <c r="S410" s="227"/>
      <c r="T410" s="227"/>
      <c r="U410" s="227"/>
      <c r="V410" s="227"/>
      <c r="W410" s="227"/>
      <c r="X410" s="227"/>
      <c r="Y410" s="227"/>
      <c r="Z410" s="227"/>
      <c r="AA410" s="227"/>
      <c r="AB410" s="227"/>
      <c r="AC410" s="227"/>
      <c r="AD410" s="227"/>
      <c r="AE410" s="227"/>
      <c r="AF410" s="227"/>
      <c r="AG410" s="227"/>
      <c r="AH410" s="227"/>
      <c r="AI410" s="227"/>
      <c r="AJ410" s="227"/>
      <c r="AK410" s="227"/>
      <c r="AL410" s="227"/>
    </row>
    <row r="411" spans="1:38" ht="13.5" customHeight="1">
      <c r="A411" s="227"/>
      <c r="B411" s="227"/>
      <c r="C411" s="227"/>
      <c r="D411" s="227"/>
      <c r="E411" s="227"/>
      <c r="F411" s="227"/>
      <c r="G411" s="227"/>
      <c r="H411" s="227"/>
      <c r="I411" s="227"/>
      <c r="J411" s="227"/>
      <c r="K411" s="227"/>
      <c r="L411" s="227"/>
      <c r="M411" s="227"/>
      <c r="N411" s="227"/>
      <c r="O411" s="227"/>
      <c r="P411" s="227"/>
      <c r="Q411" s="227"/>
      <c r="R411" s="227"/>
      <c r="S411" s="227"/>
      <c r="T411" s="227"/>
      <c r="U411" s="227"/>
      <c r="V411" s="227"/>
      <c r="W411" s="227"/>
      <c r="X411" s="227"/>
      <c r="Y411" s="227"/>
      <c r="Z411" s="227"/>
      <c r="AA411" s="227"/>
      <c r="AB411" s="227"/>
      <c r="AC411" s="227"/>
      <c r="AD411" s="227"/>
      <c r="AE411" s="227"/>
      <c r="AF411" s="227"/>
      <c r="AG411" s="227"/>
      <c r="AH411" s="227"/>
      <c r="AI411" s="227"/>
      <c r="AJ411" s="227"/>
      <c r="AK411" s="227"/>
      <c r="AL411" s="227"/>
    </row>
    <row r="412" spans="1:38" ht="13.5" customHeight="1">
      <c r="A412" s="227"/>
      <c r="B412" s="227"/>
      <c r="C412" s="227"/>
      <c r="D412" s="227"/>
      <c r="E412" s="227"/>
      <c r="F412" s="227"/>
      <c r="G412" s="227"/>
      <c r="H412" s="227"/>
      <c r="I412" s="227"/>
      <c r="J412" s="227"/>
      <c r="K412" s="227"/>
      <c r="L412" s="227"/>
      <c r="M412" s="227"/>
      <c r="N412" s="227"/>
      <c r="O412" s="227"/>
      <c r="P412" s="227"/>
      <c r="Q412" s="227"/>
      <c r="R412" s="227"/>
      <c r="S412" s="227"/>
      <c r="T412" s="227"/>
      <c r="U412" s="227"/>
      <c r="V412" s="227"/>
      <c r="W412" s="227"/>
      <c r="X412" s="227"/>
      <c r="Y412" s="227"/>
      <c r="Z412" s="227"/>
      <c r="AA412" s="227"/>
      <c r="AB412" s="227"/>
      <c r="AC412" s="227"/>
      <c r="AD412" s="227"/>
      <c r="AE412" s="227"/>
      <c r="AF412" s="227"/>
      <c r="AG412" s="227"/>
      <c r="AH412" s="227"/>
      <c r="AI412" s="227"/>
      <c r="AJ412" s="227"/>
      <c r="AK412" s="227"/>
      <c r="AL412" s="227"/>
    </row>
    <row r="413" spans="1:38" ht="13.5" customHeight="1">
      <c r="A413" s="227"/>
      <c r="B413" s="227"/>
      <c r="C413" s="227"/>
      <c r="D413" s="227"/>
      <c r="E413" s="227"/>
      <c r="F413" s="227"/>
      <c r="G413" s="227"/>
      <c r="H413" s="227"/>
      <c r="I413" s="227"/>
      <c r="J413" s="227"/>
      <c r="K413" s="227"/>
      <c r="L413" s="227"/>
      <c r="M413" s="227"/>
      <c r="N413" s="227"/>
      <c r="O413" s="227"/>
      <c r="P413" s="227"/>
      <c r="Q413" s="227"/>
      <c r="R413" s="227"/>
      <c r="S413" s="227"/>
      <c r="T413" s="227"/>
      <c r="U413" s="227"/>
      <c r="V413" s="227"/>
      <c r="W413" s="227"/>
      <c r="X413" s="227"/>
      <c r="Y413" s="227"/>
      <c r="Z413" s="227"/>
      <c r="AA413" s="227"/>
      <c r="AB413" s="227"/>
      <c r="AC413" s="227"/>
      <c r="AD413" s="227"/>
      <c r="AE413" s="227"/>
      <c r="AF413" s="227"/>
      <c r="AG413" s="227"/>
      <c r="AH413" s="227"/>
      <c r="AI413" s="227"/>
      <c r="AJ413" s="227"/>
      <c r="AK413" s="227"/>
      <c r="AL413" s="227"/>
    </row>
    <row r="414" spans="1:38" ht="13.5" customHeight="1">
      <c r="A414" s="227"/>
      <c r="B414" s="227"/>
      <c r="C414" s="227"/>
      <c r="D414" s="227"/>
      <c r="E414" s="227"/>
      <c r="F414" s="227"/>
      <c r="G414" s="227"/>
      <c r="H414" s="227"/>
      <c r="I414" s="227"/>
      <c r="J414" s="227"/>
      <c r="K414" s="227"/>
      <c r="L414" s="227"/>
      <c r="M414" s="227"/>
      <c r="N414" s="227"/>
      <c r="O414" s="227"/>
      <c r="P414" s="227"/>
      <c r="Q414" s="227"/>
      <c r="R414" s="227"/>
      <c r="S414" s="227"/>
      <c r="T414" s="227"/>
      <c r="U414" s="227"/>
      <c r="V414" s="227"/>
      <c r="W414" s="227"/>
      <c r="X414" s="227"/>
      <c r="Y414" s="227"/>
      <c r="Z414" s="227"/>
      <c r="AA414" s="227"/>
      <c r="AB414" s="227"/>
      <c r="AC414" s="227"/>
      <c r="AD414" s="227"/>
      <c r="AE414" s="227"/>
      <c r="AF414" s="227"/>
      <c r="AG414" s="227"/>
      <c r="AH414" s="227"/>
      <c r="AI414" s="227"/>
      <c r="AJ414" s="227"/>
      <c r="AK414" s="227"/>
      <c r="AL414" s="227"/>
    </row>
    <row r="415" spans="1:38" ht="13.5" customHeight="1">
      <c r="A415" s="227"/>
      <c r="B415" s="227"/>
      <c r="C415" s="227"/>
      <c r="D415" s="227"/>
      <c r="E415" s="227"/>
      <c r="F415" s="227"/>
      <c r="G415" s="227"/>
      <c r="H415" s="227"/>
      <c r="I415" s="227"/>
      <c r="J415" s="227"/>
      <c r="K415" s="227"/>
      <c r="L415" s="227"/>
      <c r="M415" s="227"/>
      <c r="N415" s="227"/>
      <c r="O415" s="227"/>
      <c r="P415" s="227"/>
      <c r="Q415" s="227"/>
      <c r="R415" s="227"/>
      <c r="S415" s="227"/>
      <c r="T415" s="227"/>
      <c r="U415" s="227"/>
      <c r="V415" s="227"/>
      <c r="W415" s="227"/>
      <c r="X415" s="227"/>
      <c r="Y415" s="227"/>
      <c r="Z415" s="227"/>
      <c r="AA415" s="227"/>
      <c r="AB415" s="227"/>
      <c r="AC415" s="227"/>
      <c r="AD415" s="227"/>
      <c r="AE415" s="227"/>
      <c r="AF415" s="227"/>
      <c r="AG415" s="227"/>
      <c r="AH415" s="227"/>
      <c r="AI415" s="227"/>
      <c r="AJ415" s="227"/>
      <c r="AK415" s="227"/>
      <c r="AL415" s="227"/>
    </row>
    <row r="416" spans="1:38" ht="13.5" customHeight="1">
      <c r="A416" s="227"/>
      <c r="B416" s="227"/>
      <c r="C416" s="227"/>
      <c r="D416" s="227"/>
      <c r="E416" s="227"/>
      <c r="F416" s="227"/>
      <c r="G416" s="227"/>
      <c r="H416" s="227"/>
      <c r="I416" s="227"/>
      <c r="J416" s="227"/>
      <c r="K416" s="227"/>
      <c r="L416" s="227"/>
      <c r="M416" s="227"/>
      <c r="N416" s="227"/>
      <c r="O416" s="227"/>
      <c r="P416" s="227"/>
      <c r="Q416" s="227"/>
      <c r="R416" s="227"/>
      <c r="S416" s="227"/>
      <c r="T416" s="227"/>
      <c r="U416" s="227"/>
      <c r="V416" s="227"/>
      <c r="W416" s="227"/>
      <c r="X416" s="227"/>
      <c r="Y416" s="227"/>
      <c r="Z416" s="227"/>
      <c r="AA416" s="227"/>
      <c r="AB416" s="227"/>
      <c r="AC416" s="227"/>
      <c r="AD416" s="227"/>
      <c r="AE416" s="227"/>
      <c r="AF416" s="227"/>
      <c r="AG416" s="227"/>
      <c r="AH416" s="227"/>
      <c r="AI416" s="227"/>
      <c r="AJ416" s="227"/>
      <c r="AK416" s="227"/>
      <c r="AL416" s="227"/>
    </row>
    <row r="417" spans="1:38" ht="15.75" customHeight="1">
      <c r="A417" s="167"/>
      <c r="B417" s="167"/>
      <c r="C417" s="167"/>
      <c r="D417" s="167"/>
      <c r="E417" s="167"/>
      <c r="F417" s="167"/>
      <c r="G417" s="167"/>
      <c r="H417" s="167"/>
      <c r="I417" s="167"/>
      <c r="J417" s="167"/>
      <c r="K417" s="167"/>
      <c r="L417" s="167"/>
      <c r="M417" s="167"/>
      <c r="N417" s="167"/>
      <c r="O417" s="167"/>
      <c r="P417" s="167"/>
      <c r="Q417" s="167"/>
      <c r="R417" s="167"/>
      <c r="S417" s="167"/>
      <c r="T417" s="167"/>
      <c r="U417" s="167"/>
      <c r="V417" s="167"/>
      <c r="W417" s="167"/>
      <c r="X417" s="167"/>
      <c r="Y417" s="167"/>
      <c r="Z417" s="167"/>
      <c r="AA417" s="167"/>
      <c r="AB417" s="167"/>
      <c r="AC417" s="167"/>
      <c r="AD417" s="167"/>
      <c r="AE417" s="167"/>
      <c r="AF417" s="167"/>
      <c r="AG417" s="167"/>
      <c r="AH417" s="167"/>
      <c r="AI417" s="167"/>
      <c r="AJ417" s="167"/>
      <c r="AK417" s="167"/>
      <c r="AL417" s="167"/>
    </row>
    <row r="418" spans="1:38" ht="15.75" customHeight="1">
      <c r="A418" s="167"/>
      <c r="B418" s="167"/>
      <c r="C418" s="167"/>
      <c r="D418" s="167"/>
      <c r="E418" s="167"/>
      <c r="F418" s="167"/>
      <c r="G418" s="167"/>
      <c r="H418" s="167"/>
      <c r="I418" s="167"/>
      <c r="J418" s="167"/>
      <c r="K418" s="167"/>
      <c r="L418" s="167"/>
      <c r="M418" s="167"/>
      <c r="N418" s="167"/>
      <c r="O418" s="167"/>
      <c r="P418" s="167"/>
      <c r="Q418" s="167"/>
      <c r="R418" s="167"/>
      <c r="S418" s="167"/>
      <c r="T418" s="167"/>
      <c r="U418" s="167"/>
      <c r="V418" s="167"/>
      <c r="W418" s="167"/>
      <c r="X418" s="167"/>
      <c r="Y418" s="167"/>
      <c r="Z418" s="167"/>
      <c r="AA418" s="167"/>
      <c r="AB418" s="167"/>
      <c r="AC418" s="167"/>
      <c r="AD418" s="167"/>
      <c r="AE418" s="167"/>
      <c r="AF418" s="167"/>
      <c r="AG418" s="167"/>
      <c r="AH418" s="167"/>
      <c r="AI418" s="167"/>
      <c r="AJ418" s="167"/>
      <c r="AK418" s="167"/>
      <c r="AL418" s="167"/>
    </row>
    <row r="419" spans="1:38" ht="15.75" customHeight="1">
      <c r="A419" s="167"/>
      <c r="B419" s="167"/>
      <c r="C419" s="167"/>
      <c r="D419" s="167"/>
      <c r="E419" s="167"/>
      <c r="F419" s="167"/>
      <c r="G419" s="167"/>
      <c r="H419" s="167"/>
      <c r="I419" s="167"/>
      <c r="J419" s="167"/>
      <c r="K419" s="167"/>
      <c r="L419" s="167"/>
      <c r="M419" s="167"/>
      <c r="N419" s="167"/>
      <c r="O419" s="167"/>
      <c r="P419" s="167"/>
      <c r="Q419" s="167"/>
      <c r="R419" s="167"/>
      <c r="S419" s="167"/>
      <c r="T419" s="167"/>
      <c r="U419" s="167"/>
      <c r="V419" s="167"/>
      <c r="W419" s="167"/>
      <c r="X419" s="167"/>
      <c r="Y419" s="167"/>
      <c r="Z419" s="167"/>
      <c r="AA419" s="167"/>
      <c r="AB419" s="167"/>
      <c r="AC419" s="167"/>
      <c r="AD419" s="167"/>
      <c r="AE419" s="167"/>
      <c r="AF419" s="167"/>
      <c r="AG419" s="167"/>
      <c r="AH419" s="167"/>
      <c r="AI419" s="167"/>
      <c r="AJ419" s="167"/>
      <c r="AK419" s="167"/>
      <c r="AL419" s="167"/>
    </row>
    <row r="420" spans="1:38" ht="15.75" customHeight="1">
      <c r="A420" s="167"/>
      <c r="B420" s="167"/>
      <c r="C420" s="167"/>
      <c r="D420" s="167"/>
      <c r="E420" s="167"/>
      <c r="F420" s="167"/>
      <c r="G420" s="167"/>
      <c r="H420" s="167"/>
      <c r="I420" s="167"/>
      <c r="J420" s="167"/>
      <c r="K420" s="167"/>
      <c r="L420" s="167"/>
      <c r="M420" s="167"/>
      <c r="N420" s="167"/>
      <c r="O420" s="167"/>
      <c r="P420" s="167"/>
      <c r="Q420" s="167"/>
      <c r="R420" s="167"/>
      <c r="S420" s="167"/>
      <c r="T420" s="167"/>
      <c r="U420" s="167"/>
      <c r="V420" s="167"/>
      <c r="W420" s="167"/>
      <c r="X420" s="167"/>
      <c r="Y420" s="167"/>
      <c r="Z420" s="167"/>
      <c r="AA420" s="167"/>
      <c r="AB420" s="167"/>
      <c r="AC420" s="167"/>
      <c r="AD420" s="167"/>
      <c r="AE420" s="167"/>
      <c r="AF420" s="167"/>
      <c r="AG420" s="167"/>
      <c r="AH420" s="167"/>
      <c r="AI420" s="167"/>
      <c r="AJ420" s="167"/>
      <c r="AK420" s="167"/>
      <c r="AL420" s="167"/>
    </row>
    <row r="421" spans="1:38" ht="15.75" customHeight="1">
      <c r="A421" s="167"/>
      <c r="B421" s="167"/>
      <c r="C421" s="167"/>
      <c r="D421" s="167"/>
      <c r="E421" s="167"/>
      <c r="F421" s="167"/>
      <c r="G421" s="167"/>
      <c r="H421" s="167"/>
      <c r="I421" s="167"/>
      <c r="J421" s="167"/>
      <c r="K421" s="167"/>
      <c r="L421" s="167"/>
      <c r="M421" s="167"/>
      <c r="N421" s="167"/>
      <c r="O421" s="167"/>
      <c r="P421" s="167"/>
      <c r="Q421" s="167"/>
      <c r="R421" s="167"/>
      <c r="S421" s="167"/>
      <c r="T421" s="167"/>
      <c r="U421" s="167"/>
      <c r="V421" s="167"/>
      <c r="W421" s="167"/>
      <c r="X421" s="167"/>
      <c r="Y421" s="167"/>
      <c r="Z421" s="167"/>
      <c r="AA421" s="167"/>
      <c r="AB421" s="167"/>
      <c r="AC421" s="167"/>
      <c r="AD421" s="167"/>
      <c r="AE421" s="167"/>
      <c r="AF421" s="167"/>
      <c r="AG421" s="167"/>
      <c r="AH421" s="167"/>
      <c r="AI421" s="167"/>
      <c r="AJ421" s="167"/>
      <c r="AK421" s="167"/>
      <c r="AL421" s="167"/>
    </row>
    <row r="422" spans="1:38" ht="15.75" customHeight="1">
      <c r="A422" s="167"/>
      <c r="B422" s="167"/>
      <c r="C422" s="167"/>
      <c r="D422" s="167"/>
      <c r="E422" s="167"/>
      <c r="F422" s="167"/>
      <c r="G422" s="167"/>
      <c r="H422" s="167"/>
      <c r="I422" s="167"/>
      <c r="J422" s="167"/>
      <c r="K422" s="167"/>
      <c r="L422" s="167"/>
      <c r="M422" s="167"/>
      <c r="N422" s="167"/>
      <c r="O422" s="167"/>
      <c r="P422" s="167"/>
      <c r="Q422" s="167"/>
      <c r="R422" s="167"/>
      <c r="S422" s="167"/>
      <c r="T422" s="167"/>
      <c r="U422" s="167"/>
      <c r="V422" s="167"/>
      <c r="W422" s="167"/>
      <c r="X422" s="167"/>
      <c r="Y422" s="167"/>
      <c r="Z422" s="167"/>
      <c r="AA422" s="167"/>
      <c r="AB422" s="167"/>
      <c r="AC422" s="167"/>
      <c r="AD422" s="167"/>
      <c r="AE422" s="167"/>
      <c r="AF422" s="167"/>
      <c r="AG422" s="167"/>
      <c r="AH422" s="167"/>
      <c r="AI422" s="167"/>
      <c r="AJ422" s="167"/>
      <c r="AK422" s="167"/>
      <c r="AL422" s="167"/>
    </row>
    <row r="423" spans="1:38" ht="15.75" customHeight="1">
      <c r="A423" s="167"/>
      <c r="B423" s="167"/>
      <c r="C423" s="167"/>
      <c r="D423" s="167"/>
      <c r="E423" s="167"/>
      <c r="F423" s="167"/>
      <c r="G423" s="167"/>
      <c r="H423" s="167"/>
      <c r="I423" s="167"/>
      <c r="J423" s="167"/>
      <c r="K423" s="167"/>
      <c r="L423" s="167"/>
      <c r="M423" s="167"/>
      <c r="N423" s="167"/>
      <c r="O423" s="167"/>
      <c r="P423" s="167"/>
      <c r="Q423" s="167"/>
      <c r="R423" s="167"/>
      <c r="S423" s="167"/>
      <c r="T423" s="167"/>
      <c r="U423" s="167"/>
      <c r="V423" s="167"/>
      <c r="W423" s="167"/>
      <c r="X423" s="167"/>
      <c r="Y423" s="167"/>
      <c r="Z423" s="167"/>
      <c r="AA423" s="167"/>
      <c r="AB423" s="167"/>
      <c r="AC423" s="167"/>
      <c r="AD423" s="167"/>
      <c r="AE423" s="167"/>
      <c r="AF423" s="167"/>
      <c r="AG423" s="167"/>
      <c r="AH423" s="167"/>
      <c r="AI423" s="167"/>
      <c r="AJ423" s="167"/>
      <c r="AK423" s="167"/>
      <c r="AL423" s="167"/>
    </row>
    <row r="424" spans="1:38" ht="15.75" customHeight="1">
      <c r="A424" s="167"/>
      <c r="B424" s="167"/>
      <c r="C424" s="167"/>
      <c r="D424" s="167"/>
      <c r="E424" s="167"/>
      <c r="F424" s="167"/>
      <c r="G424" s="167"/>
      <c r="H424" s="167"/>
      <c r="I424" s="167"/>
      <c r="J424" s="167"/>
      <c r="K424" s="167"/>
      <c r="L424" s="167"/>
      <c r="M424" s="167"/>
      <c r="N424" s="167"/>
      <c r="O424" s="167"/>
      <c r="P424" s="167"/>
      <c r="Q424" s="167"/>
      <c r="R424" s="167"/>
      <c r="S424" s="167"/>
      <c r="T424" s="167"/>
      <c r="U424" s="167"/>
      <c r="V424" s="167"/>
      <c r="W424" s="167"/>
      <c r="X424" s="167"/>
      <c r="Y424" s="167"/>
      <c r="Z424" s="167"/>
      <c r="AA424" s="167"/>
      <c r="AB424" s="167"/>
      <c r="AC424" s="167"/>
      <c r="AD424" s="167"/>
      <c r="AE424" s="167"/>
      <c r="AF424" s="167"/>
      <c r="AG424" s="167"/>
      <c r="AH424" s="167"/>
      <c r="AI424" s="167"/>
      <c r="AJ424" s="167"/>
      <c r="AK424" s="167"/>
      <c r="AL424" s="167"/>
    </row>
    <row r="425" spans="1:38" ht="15.75" customHeight="1">
      <c r="A425" s="167"/>
      <c r="B425" s="167"/>
      <c r="C425" s="167"/>
      <c r="D425" s="167"/>
      <c r="E425" s="167"/>
      <c r="F425" s="167"/>
      <c r="G425" s="167"/>
      <c r="H425" s="167"/>
      <c r="I425" s="167"/>
      <c r="J425" s="167"/>
      <c r="K425" s="167"/>
      <c r="L425" s="167"/>
      <c r="M425" s="167"/>
      <c r="N425" s="167"/>
      <c r="O425" s="167"/>
      <c r="P425" s="167"/>
      <c r="Q425" s="167"/>
      <c r="R425" s="167"/>
      <c r="S425" s="167"/>
      <c r="T425" s="167"/>
      <c r="U425" s="167"/>
      <c r="V425" s="167"/>
      <c r="W425" s="167"/>
      <c r="X425" s="167"/>
      <c r="Y425" s="167"/>
      <c r="Z425" s="167"/>
      <c r="AA425" s="167"/>
      <c r="AB425" s="167"/>
      <c r="AC425" s="167"/>
      <c r="AD425" s="167"/>
      <c r="AE425" s="167"/>
      <c r="AF425" s="167"/>
      <c r="AG425" s="167"/>
      <c r="AH425" s="167"/>
      <c r="AI425" s="167"/>
      <c r="AJ425" s="167"/>
      <c r="AK425" s="167"/>
      <c r="AL425" s="167"/>
    </row>
    <row r="426" spans="1:38" ht="15.75" customHeight="1">
      <c r="A426" s="167"/>
      <c r="B426" s="167"/>
      <c r="C426" s="167"/>
      <c r="D426" s="167"/>
      <c r="E426" s="167"/>
      <c r="F426" s="167"/>
      <c r="G426" s="167"/>
      <c r="H426" s="167"/>
      <c r="I426" s="167"/>
      <c r="J426" s="167"/>
      <c r="K426" s="167"/>
      <c r="L426" s="167"/>
      <c r="M426" s="167"/>
      <c r="N426" s="167"/>
      <c r="O426" s="167"/>
      <c r="P426" s="167"/>
      <c r="Q426" s="167"/>
      <c r="R426" s="167"/>
      <c r="S426" s="167"/>
      <c r="T426" s="167"/>
      <c r="U426" s="167"/>
      <c r="V426" s="167"/>
      <c r="W426" s="167"/>
      <c r="X426" s="167"/>
      <c r="Y426" s="167"/>
      <c r="Z426" s="167"/>
      <c r="AA426" s="167"/>
      <c r="AB426" s="167"/>
      <c r="AC426" s="167"/>
      <c r="AD426" s="167"/>
      <c r="AE426" s="167"/>
      <c r="AF426" s="167"/>
      <c r="AG426" s="167"/>
      <c r="AH426" s="167"/>
      <c r="AI426" s="167"/>
      <c r="AJ426" s="167"/>
      <c r="AK426" s="167"/>
      <c r="AL426" s="167"/>
    </row>
    <row r="427" spans="1:38" ht="15.75" customHeight="1">
      <c r="A427" s="167"/>
      <c r="B427" s="167"/>
      <c r="C427" s="167"/>
      <c r="D427" s="167"/>
      <c r="E427" s="167"/>
      <c r="F427" s="167"/>
      <c r="G427" s="167"/>
      <c r="H427" s="167"/>
      <c r="I427" s="167"/>
      <c r="J427" s="167"/>
      <c r="K427" s="167"/>
      <c r="L427" s="167"/>
      <c r="M427" s="167"/>
      <c r="N427" s="167"/>
      <c r="O427" s="167"/>
      <c r="P427" s="167"/>
      <c r="Q427" s="167"/>
      <c r="R427" s="167"/>
      <c r="S427" s="167"/>
      <c r="T427" s="167"/>
      <c r="U427" s="167"/>
      <c r="V427" s="167"/>
      <c r="W427" s="167"/>
      <c r="X427" s="167"/>
      <c r="Y427" s="167"/>
      <c r="Z427" s="167"/>
      <c r="AA427" s="167"/>
      <c r="AB427" s="167"/>
      <c r="AC427" s="167"/>
      <c r="AD427" s="167"/>
      <c r="AE427" s="167"/>
      <c r="AF427" s="167"/>
      <c r="AG427" s="167"/>
      <c r="AH427" s="167"/>
      <c r="AI427" s="167"/>
      <c r="AJ427" s="167"/>
      <c r="AK427" s="167"/>
      <c r="AL427" s="167"/>
    </row>
    <row r="428" spans="1:38" ht="15.75" customHeight="1">
      <c r="A428" s="167"/>
      <c r="B428" s="167"/>
      <c r="C428" s="167"/>
      <c r="D428" s="167"/>
      <c r="E428" s="167"/>
      <c r="F428" s="167"/>
      <c r="G428" s="167"/>
      <c r="H428" s="167"/>
      <c r="I428" s="167"/>
      <c r="J428" s="167"/>
      <c r="K428" s="167"/>
      <c r="L428" s="167"/>
      <c r="M428" s="167"/>
      <c r="N428" s="167"/>
      <c r="O428" s="167"/>
      <c r="P428" s="167"/>
      <c r="Q428" s="167"/>
      <c r="R428" s="167"/>
      <c r="S428" s="167"/>
      <c r="T428" s="167"/>
      <c r="U428" s="167"/>
      <c r="V428" s="167"/>
      <c r="W428" s="167"/>
      <c r="X428" s="167"/>
      <c r="Y428" s="167"/>
      <c r="Z428" s="167"/>
      <c r="AA428" s="167"/>
      <c r="AB428" s="167"/>
      <c r="AC428" s="167"/>
      <c r="AD428" s="167"/>
      <c r="AE428" s="167"/>
      <c r="AF428" s="167"/>
      <c r="AG428" s="167"/>
      <c r="AH428" s="167"/>
      <c r="AI428" s="167"/>
      <c r="AJ428" s="167"/>
      <c r="AK428" s="167"/>
      <c r="AL428" s="167"/>
    </row>
    <row r="429" spans="1:38" ht="15.75" customHeight="1">
      <c r="A429" s="167"/>
      <c r="B429" s="167"/>
      <c r="C429" s="167"/>
      <c r="D429" s="167"/>
      <c r="E429" s="167"/>
      <c r="F429" s="167"/>
      <c r="G429" s="167"/>
      <c r="H429" s="167"/>
      <c r="I429" s="167"/>
      <c r="J429" s="167"/>
      <c r="K429" s="167"/>
      <c r="L429" s="167"/>
      <c r="M429" s="167"/>
      <c r="N429" s="167"/>
      <c r="O429" s="167"/>
      <c r="P429" s="167"/>
      <c r="Q429" s="167"/>
      <c r="R429" s="167"/>
      <c r="S429" s="167"/>
      <c r="T429" s="167"/>
      <c r="U429" s="167"/>
      <c r="V429" s="167"/>
      <c r="W429" s="167"/>
      <c r="X429" s="167"/>
      <c r="Y429" s="167"/>
      <c r="Z429" s="167"/>
      <c r="AA429" s="167"/>
      <c r="AB429" s="167"/>
      <c r="AC429" s="167"/>
      <c r="AD429" s="167"/>
      <c r="AE429" s="167"/>
      <c r="AF429" s="167"/>
      <c r="AG429" s="167"/>
      <c r="AH429" s="167"/>
      <c r="AI429" s="167"/>
      <c r="AJ429" s="167"/>
      <c r="AK429" s="167"/>
      <c r="AL429" s="167"/>
    </row>
    <row r="430" spans="1:38" ht="15.75" customHeight="1">
      <c r="A430" s="167"/>
      <c r="B430" s="167"/>
      <c r="C430" s="167"/>
      <c r="D430" s="167"/>
      <c r="E430" s="167"/>
      <c r="F430" s="167"/>
      <c r="G430" s="167"/>
      <c r="H430" s="167"/>
      <c r="I430" s="167"/>
      <c r="J430" s="167"/>
      <c r="K430" s="167"/>
      <c r="L430" s="167"/>
      <c r="M430" s="167"/>
      <c r="N430" s="167"/>
      <c r="O430" s="167"/>
      <c r="P430" s="167"/>
      <c r="Q430" s="167"/>
      <c r="R430" s="167"/>
      <c r="S430" s="167"/>
      <c r="T430" s="167"/>
      <c r="U430" s="167"/>
      <c r="V430" s="167"/>
      <c r="W430" s="167"/>
      <c r="X430" s="167"/>
      <c r="Y430" s="167"/>
      <c r="Z430" s="167"/>
      <c r="AA430" s="167"/>
      <c r="AB430" s="167"/>
      <c r="AC430" s="167"/>
      <c r="AD430" s="167"/>
      <c r="AE430" s="167"/>
      <c r="AF430" s="167"/>
      <c r="AG430" s="167"/>
      <c r="AH430" s="167"/>
      <c r="AI430" s="167"/>
      <c r="AJ430" s="167"/>
      <c r="AK430" s="167"/>
      <c r="AL430" s="167"/>
    </row>
    <row r="431" spans="1:38" ht="15.75" customHeight="1">
      <c r="A431" s="167"/>
      <c r="B431" s="167"/>
      <c r="C431" s="167"/>
      <c r="D431" s="167"/>
      <c r="E431" s="167"/>
      <c r="F431" s="167"/>
      <c r="G431" s="167"/>
      <c r="H431" s="167"/>
      <c r="I431" s="167"/>
      <c r="J431" s="167"/>
      <c r="K431" s="167"/>
      <c r="L431" s="167"/>
      <c r="M431" s="167"/>
      <c r="N431" s="167"/>
      <c r="O431" s="167"/>
      <c r="P431" s="167"/>
      <c r="Q431" s="167"/>
      <c r="R431" s="167"/>
      <c r="S431" s="167"/>
      <c r="T431" s="167"/>
      <c r="U431" s="167"/>
      <c r="V431" s="167"/>
      <c r="W431" s="167"/>
      <c r="X431" s="167"/>
      <c r="Y431" s="167"/>
      <c r="Z431" s="167"/>
      <c r="AA431" s="167"/>
      <c r="AB431" s="167"/>
      <c r="AC431" s="167"/>
      <c r="AD431" s="167"/>
      <c r="AE431" s="167"/>
      <c r="AF431" s="167"/>
      <c r="AG431" s="167"/>
      <c r="AH431" s="167"/>
      <c r="AI431" s="167"/>
      <c r="AJ431" s="167"/>
      <c r="AK431" s="167"/>
      <c r="AL431" s="167"/>
    </row>
    <row r="432" spans="1:38" ht="15.75" customHeight="1">
      <c r="A432" s="167"/>
      <c r="B432" s="167"/>
      <c r="C432" s="167"/>
      <c r="D432" s="167"/>
      <c r="E432" s="167"/>
      <c r="F432" s="167"/>
      <c r="G432" s="167"/>
      <c r="H432" s="167"/>
      <c r="I432" s="167"/>
      <c r="J432" s="167"/>
      <c r="K432" s="167"/>
      <c r="L432" s="167"/>
      <c r="M432" s="167"/>
      <c r="N432" s="167"/>
      <c r="O432" s="167"/>
      <c r="P432" s="167"/>
      <c r="Q432" s="167"/>
      <c r="R432" s="167"/>
      <c r="S432" s="167"/>
      <c r="T432" s="167"/>
      <c r="U432" s="167"/>
      <c r="V432" s="167"/>
      <c r="W432" s="167"/>
      <c r="X432" s="167"/>
      <c r="Y432" s="167"/>
      <c r="Z432" s="167"/>
      <c r="AA432" s="167"/>
      <c r="AB432" s="167"/>
      <c r="AC432" s="167"/>
      <c r="AD432" s="167"/>
      <c r="AE432" s="167"/>
      <c r="AF432" s="167"/>
      <c r="AG432" s="167"/>
      <c r="AH432" s="167"/>
      <c r="AI432" s="167"/>
      <c r="AJ432" s="167"/>
      <c r="AK432" s="167"/>
      <c r="AL432" s="167"/>
    </row>
    <row r="433" spans="1:38" ht="15.75" customHeight="1">
      <c r="A433" s="167"/>
      <c r="B433" s="167"/>
      <c r="C433" s="167"/>
      <c r="D433" s="167"/>
      <c r="E433" s="167"/>
      <c r="F433" s="167"/>
      <c r="G433" s="167"/>
      <c r="H433" s="167"/>
      <c r="I433" s="167"/>
      <c r="J433" s="167"/>
      <c r="K433" s="167"/>
      <c r="L433" s="167"/>
      <c r="M433" s="167"/>
      <c r="N433" s="167"/>
      <c r="O433" s="167"/>
      <c r="P433" s="167"/>
      <c r="Q433" s="167"/>
      <c r="R433" s="167"/>
      <c r="S433" s="167"/>
      <c r="T433" s="167"/>
      <c r="U433" s="167"/>
      <c r="V433" s="167"/>
      <c r="W433" s="167"/>
      <c r="X433" s="167"/>
      <c r="Y433" s="167"/>
      <c r="Z433" s="167"/>
      <c r="AA433" s="167"/>
      <c r="AB433" s="167"/>
      <c r="AC433" s="167"/>
      <c r="AD433" s="167"/>
      <c r="AE433" s="167"/>
      <c r="AF433" s="167"/>
      <c r="AG433" s="167"/>
      <c r="AH433" s="167"/>
      <c r="AI433" s="167"/>
      <c r="AJ433" s="167"/>
      <c r="AK433" s="167"/>
      <c r="AL433" s="167"/>
    </row>
    <row r="434" spans="1:38" ht="15.75" customHeight="1">
      <c r="A434" s="167"/>
      <c r="B434" s="167"/>
      <c r="C434" s="167"/>
      <c r="D434" s="167"/>
      <c r="E434" s="167"/>
      <c r="F434" s="167"/>
      <c r="G434" s="167"/>
      <c r="H434" s="167"/>
      <c r="I434" s="167"/>
      <c r="J434" s="167"/>
      <c r="K434" s="167"/>
      <c r="L434" s="167"/>
      <c r="M434" s="167"/>
      <c r="N434" s="167"/>
      <c r="O434" s="167"/>
      <c r="P434" s="167"/>
      <c r="Q434" s="167"/>
      <c r="R434" s="167"/>
      <c r="S434" s="167"/>
      <c r="T434" s="167"/>
      <c r="U434" s="167"/>
      <c r="V434" s="167"/>
      <c r="W434" s="167"/>
      <c r="X434" s="167"/>
      <c r="Y434" s="167"/>
      <c r="Z434" s="167"/>
      <c r="AA434" s="167"/>
      <c r="AB434" s="167"/>
      <c r="AC434" s="167"/>
      <c r="AD434" s="167"/>
      <c r="AE434" s="167"/>
      <c r="AF434" s="167"/>
      <c r="AG434" s="167"/>
      <c r="AH434" s="167"/>
      <c r="AI434" s="167"/>
      <c r="AJ434" s="167"/>
      <c r="AK434" s="167"/>
      <c r="AL434" s="167"/>
    </row>
    <row r="435" spans="1:38" ht="15.75" customHeight="1">
      <c r="A435" s="167"/>
      <c r="B435" s="167"/>
      <c r="C435" s="167"/>
      <c r="D435" s="167"/>
      <c r="E435" s="167"/>
      <c r="F435" s="167"/>
      <c r="G435" s="167"/>
      <c r="H435" s="167"/>
      <c r="I435" s="167"/>
      <c r="J435" s="167"/>
      <c r="K435" s="167"/>
      <c r="L435" s="167"/>
      <c r="M435" s="167"/>
      <c r="N435" s="167"/>
      <c r="O435" s="167"/>
      <c r="P435" s="167"/>
      <c r="Q435" s="167"/>
      <c r="R435" s="167"/>
      <c r="S435" s="167"/>
      <c r="T435" s="167"/>
      <c r="U435" s="167"/>
      <c r="V435" s="167"/>
      <c r="W435" s="167"/>
      <c r="X435" s="167"/>
      <c r="Y435" s="167"/>
      <c r="Z435" s="167"/>
      <c r="AA435" s="167"/>
      <c r="AB435" s="167"/>
      <c r="AC435" s="167"/>
      <c r="AD435" s="167"/>
      <c r="AE435" s="167"/>
      <c r="AF435" s="167"/>
      <c r="AG435" s="167"/>
      <c r="AH435" s="167"/>
      <c r="AI435" s="167"/>
      <c r="AJ435" s="167"/>
      <c r="AK435" s="167"/>
      <c r="AL435" s="167"/>
    </row>
    <row r="436" spans="1:38" ht="15.75" customHeight="1">
      <c r="A436" s="167"/>
      <c r="B436" s="167"/>
      <c r="C436" s="167"/>
      <c r="D436" s="167"/>
      <c r="E436" s="167"/>
      <c r="F436" s="167"/>
      <c r="G436" s="167"/>
      <c r="H436" s="167"/>
      <c r="I436" s="167"/>
      <c r="J436" s="167"/>
      <c r="K436" s="167"/>
      <c r="L436" s="167"/>
      <c r="M436" s="167"/>
      <c r="N436" s="167"/>
      <c r="O436" s="167"/>
      <c r="P436" s="167"/>
      <c r="Q436" s="167"/>
      <c r="R436" s="167"/>
      <c r="S436" s="167"/>
      <c r="T436" s="167"/>
      <c r="U436" s="167"/>
      <c r="V436" s="167"/>
      <c r="W436" s="167"/>
      <c r="X436" s="167"/>
      <c r="Y436" s="167"/>
      <c r="Z436" s="167"/>
      <c r="AA436" s="167"/>
      <c r="AB436" s="167"/>
      <c r="AC436" s="167"/>
      <c r="AD436" s="167"/>
      <c r="AE436" s="167"/>
      <c r="AF436" s="167"/>
      <c r="AG436" s="167"/>
      <c r="AH436" s="167"/>
      <c r="AI436" s="167"/>
      <c r="AJ436" s="167"/>
      <c r="AK436" s="167"/>
      <c r="AL436" s="167"/>
    </row>
    <row r="437" spans="1:38" ht="15.75" customHeight="1">
      <c r="A437" s="167"/>
      <c r="B437" s="167"/>
      <c r="C437" s="167"/>
      <c r="D437" s="167"/>
      <c r="E437" s="167"/>
      <c r="F437" s="167"/>
      <c r="G437" s="167"/>
      <c r="H437" s="167"/>
      <c r="I437" s="167"/>
      <c r="J437" s="167"/>
      <c r="K437" s="167"/>
      <c r="L437" s="167"/>
      <c r="M437" s="167"/>
      <c r="N437" s="167"/>
      <c r="O437" s="167"/>
      <c r="P437" s="167"/>
      <c r="Q437" s="167"/>
      <c r="R437" s="167"/>
      <c r="S437" s="167"/>
      <c r="T437" s="167"/>
      <c r="U437" s="167"/>
      <c r="V437" s="167"/>
      <c r="W437" s="167"/>
      <c r="X437" s="167"/>
      <c r="Y437" s="167"/>
      <c r="Z437" s="167"/>
      <c r="AA437" s="167"/>
      <c r="AB437" s="167"/>
      <c r="AC437" s="167"/>
      <c r="AD437" s="167"/>
      <c r="AE437" s="167"/>
      <c r="AF437" s="167"/>
      <c r="AG437" s="167"/>
      <c r="AH437" s="167"/>
      <c r="AI437" s="167"/>
      <c r="AJ437" s="167"/>
      <c r="AK437" s="167"/>
      <c r="AL437" s="167"/>
    </row>
    <row r="438" spans="1:38" ht="15.75" customHeight="1">
      <c r="A438" s="167"/>
      <c r="B438" s="167"/>
      <c r="C438" s="167"/>
      <c r="D438" s="167"/>
      <c r="E438" s="167"/>
      <c r="F438" s="167"/>
      <c r="G438" s="167"/>
      <c r="H438" s="167"/>
      <c r="I438" s="167"/>
      <c r="J438" s="167"/>
      <c r="K438" s="167"/>
      <c r="L438" s="167"/>
      <c r="M438" s="167"/>
      <c r="N438" s="167"/>
      <c r="O438" s="167"/>
      <c r="P438" s="167"/>
      <c r="Q438" s="167"/>
      <c r="R438" s="167"/>
      <c r="S438" s="167"/>
      <c r="T438" s="167"/>
      <c r="U438" s="167"/>
      <c r="V438" s="167"/>
      <c r="W438" s="167"/>
      <c r="X438" s="167"/>
      <c r="Y438" s="167"/>
      <c r="Z438" s="167"/>
      <c r="AA438" s="167"/>
      <c r="AB438" s="167"/>
      <c r="AC438" s="167"/>
      <c r="AD438" s="167"/>
      <c r="AE438" s="167"/>
      <c r="AF438" s="167"/>
      <c r="AG438" s="167"/>
      <c r="AH438" s="167"/>
      <c r="AI438" s="167"/>
      <c r="AJ438" s="167"/>
      <c r="AK438" s="167"/>
      <c r="AL438" s="167"/>
    </row>
    <row r="439" spans="1:38" ht="15.75" customHeight="1">
      <c r="A439" s="167"/>
      <c r="B439" s="167"/>
      <c r="C439" s="167"/>
      <c r="D439" s="167"/>
      <c r="E439" s="167"/>
      <c r="F439" s="167"/>
      <c r="G439" s="167"/>
      <c r="H439" s="167"/>
      <c r="I439" s="167"/>
      <c r="J439" s="167"/>
      <c r="K439" s="167"/>
      <c r="L439" s="167"/>
      <c r="M439" s="167"/>
      <c r="N439" s="167"/>
      <c r="O439" s="167"/>
      <c r="P439" s="167"/>
      <c r="Q439" s="167"/>
      <c r="R439" s="167"/>
      <c r="S439" s="167"/>
      <c r="T439" s="167"/>
      <c r="U439" s="167"/>
      <c r="V439" s="167"/>
      <c r="W439" s="167"/>
      <c r="X439" s="167"/>
      <c r="Y439" s="167"/>
      <c r="Z439" s="167"/>
      <c r="AA439" s="167"/>
      <c r="AB439" s="167"/>
      <c r="AC439" s="167"/>
      <c r="AD439" s="167"/>
      <c r="AE439" s="167"/>
      <c r="AF439" s="167"/>
      <c r="AG439" s="167"/>
      <c r="AH439" s="167"/>
      <c r="AI439" s="167"/>
      <c r="AJ439" s="167"/>
      <c r="AK439" s="167"/>
      <c r="AL439" s="167"/>
    </row>
    <row r="440" spans="1:38" ht="15.75" customHeight="1">
      <c r="A440" s="167"/>
      <c r="B440" s="167"/>
      <c r="C440" s="167"/>
      <c r="D440" s="167"/>
      <c r="E440" s="167"/>
      <c r="F440" s="167"/>
      <c r="G440" s="167"/>
      <c r="H440" s="167"/>
      <c r="I440" s="167"/>
      <c r="J440" s="167"/>
      <c r="K440" s="167"/>
      <c r="L440" s="167"/>
      <c r="M440" s="167"/>
      <c r="N440" s="167"/>
      <c r="O440" s="167"/>
      <c r="P440" s="167"/>
      <c r="Q440" s="167"/>
      <c r="R440" s="167"/>
      <c r="S440" s="167"/>
      <c r="T440" s="167"/>
      <c r="U440" s="167"/>
      <c r="V440" s="167"/>
      <c r="W440" s="167"/>
      <c r="X440" s="167"/>
      <c r="Y440" s="167"/>
      <c r="Z440" s="167"/>
      <c r="AA440" s="167"/>
      <c r="AB440" s="167"/>
      <c r="AC440" s="167"/>
      <c r="AD440" s="167"/>
      <c r="AE440" s="167"/>
      <c r="AF440" s="167"/>
      <c r="AG440" s="167"/>
      <c r="AH440" s="167"/>
      <c r="AI440" s="167"/>
      <c r="AJ440" s="167"/>
      <c r="AK440" s="167"/>
      <c r="AL440" s="167"/>
    </row>
    <row r="441" spans="1:38" ht="15.75" customHeight="1">
      <c r="A441" s="167"/>
      <c r="B441" s="167"/>
      <c r="C441" s="167"/>
      <c r="D441" s="167"/>
      <c r="E441" s="167"/>
      <c r="F441" s="167"/>
      <c r="G441" s="167"/>
      <c r="H441" s="167"/>
      <c r="I441" s="167"/>
      <c r="J441" s="167"/>
      <c r="K441" s="167"/>
      <c r="L441" s="167"/>
      <c r="M441" s="167"/>
      <c r="N441" s="167"/>
      <c r="O441" s="167"/>
      <c r="P441" s="167"/>
      <c r="Q441" s="167"/>
      <c r="R441" s="167"/>
      <c r="S441" s="167"/>
      <c r="T441" s="167"/>
      <c r="U441" s="167"/>
      <c r="V441" s="167"/>
      <c r="W441" s="167"/>
      <c r="X441" s="167"/>
      <c r="Y441" s="167"/>
      <c r="Z441" s="167"/>
      <c r="AA441" s="167"/>
      <c r="AB441" s="167"/>
      <c r="AC441" s="167"/>
      <c r="AD441" s="167"/>
      <c r="AE441" s="167"/>
      <c r="AF441" s="167"/>
      <c r="AG441" s="167"/>
      <c r="AH441" s="167"/>
      <c r="AI441" s="167"/>
      <c r="AJ441" s="167"/>
      <c r="AK441" s="167"/>
      <c r="AL441" s="167"/>
    </row>
    <row r="442" spans="1:38" ht="15.75" customHeight="1">
      <c r="A442" s="167"/>
      <c r="B442" s="167"/>
      <c r="C442" s="167"/>
      <c r="D442" s="167"/>
      <c r="E442" s="167"/>
      <c r="F442" s="167"/>
      <c r="G442" s="167"/>
      <c r="H442" s="167"/>
      <c r="I442" s="167"/>
      <c r="J442" s="167"/>
      <c r="K442" s="167"/>
      <c r="L442" s="167"/>
      <c r="M442" s="167"/>
      <c r="N442" s="167"/>
      <c r="O442" s="167"/>
      <c r="P442" s="167"/>
      <c r="Q442" s="167"/>
      <c r="R442" s="167"/>
      <c r="S442" s="167"/>
      <c r="T442" s="167"/>
      <c r="U442" s="167"/>
      <c r="V442" s="167"/>
      <c r="W442" s="167"/>
      <c r="X442" s="167"/>
      <c r="Y442" s="167"/>
      <c r="Z442" s="167"/>
      <c r="AA442" s="167"/>
      <c r="AB442" s="167"/>
      <c r="AC442" s="167"/>
      <c r="AD442" s="167"/>
      <c r="AE442" s="167"/>
      <c r="AF442" s="167"/>
      <c r="AG442" s="167"/>
      <c r="AH442" s="167"/>
      <c r="AI442" s="167"/>
      <c r="AJ442" s="167"/>
      <c r="AK442" s="167"/>
      <c r="AL442" s="167"/>
    </row>
    <row r="443" spans="1:38" ht="15.75" customHeight="1">
      <c r="A443" s="167"/>
      <c r="B443" s="167"/>
      <c r="C443" s="167"/>
      <c r="D443" s="167"/>
      <c r="E443" s="167"/>
      <c r="F443" s="167"/>
      <c r="G443" s="167"/>
      <c r="H443" s="167"/>
      <c r="I443" s="167"/>
      <c r="J443" s="167"/>
      <c r="K443" s="167"/>
      <c r="L443" s="167"/>
      <c r="M443" s="167"/>
      <c r="N443" s="167"/>
      <c r="O443" s="167"/>
      <c r="P443" s="167"/>
      <c r="Q443" s="167"/>
      <c r="R443" s="167"/>
      <c r="S443" s="167"/>
      <c r="T443" s="167"/>
      <c r="U443" s="167"/>
      <c r="V443" s="167"/>
      <c r="W443" s="167"/>
      <c r="X443" s="167"/>
      <c r="Y443" s="167"/>
      <c r="Z443" s="167"/>
      <c r="AA443" s="167"/>
      <c r="AB443" s="167"/>
      <c r="AC443" s="167"/>
      <c r="AD443" s="167"/>
      <c r="AE443" s="167"/>
      <c r="AF443" s="167"/>
      <c r="AG443" s="167"/>
      <c r="AH443" s="167"/>
      <c r="AI443" s="167"/>
      <c r="AJ443" s="167"/>
      <c r="AK443" s="167"/>
      <c r="AL443" s="167"/>
    </row>
    <row r="444" spans="1:38" ht="15.75" customHeight="1">
      <c r="A444" s="167"/>
      <c r="B444" s="167"/>
      <c r="C444" s="167"/>
      <c r="D444" s="167"/>
      <c r="E444" s="167"/>
      <c r="F444" s="167"/>
      <c r="G444" s="167"/>
      <c r="H444" s="167"/>
      <c r="I444" s="167"/>
      <c r="J444" s="167"/>
      <c r="K444" s="167"/>
      <c r="L444" s="167"/>
      <c r="M444" s="167"/>
      <c r="N444" s="167"/>
      <c r="O444" s="167"/>
      <c r="P444" s="167"/>
      <c r="Q444" s="167"/>
      <c r="R444" s="167"/>
      <c r="S444" s="167"/>
      <c r="T444" s="167"/>
      <c r="U444" s="167"/>
      <c r="V444" s="167"/>
      <c r="W444" s="167"/>
      <c r="X444" s="167"/>
      <c r="Y444" s="167"/>
      <c r="Z444" s="167"/>
      <c r="AA444" s="167"/>
      <c r="AB444" s="167"/>
      <c r="AC444" s="167"/>
      <c r="AD444" s="167"/>
      <c r="AE444" s="167"/>
      <c r="AF444" s="167"/>
      <c r="AG444" s="167"/>
      <c r="AH444" s="167"/>
      <c r="AI444" s="167"/>
      <c r="AJ444" s="167"/>
      <c r="AK444" s="167"/>
      <c r="AL444" s="167"/>
    </row>
    <row r="445" spans="1:38" ht="15.75" customHeight="1">
      <c r="A445" s="167"/>
      <c r="B445" s="167"/>
      <c r="C445" s="167"/>
      <c r="D445" s="167"/>
      <c r="E445" s="167"/>
      <c r="F445" s="167"/>
      <c r="G445" s="167"/>
      <c r="H445" s="167"/>
      <c r="I445" s="167"/>
      <c r="J445" s="167"/>
      <c r="K445" s="167"/>
      <c r="L445" s="167"/>
      <c r="M445" s="167"/>
      <c r="N445" s="167"/>
      <c r="O445" s="167"/>
      <c r="P445" s="167"/>
      <c r="Q445" s="167"/>
      <c r="R445" s="167"/>
      <c r="S445" s="167"/>
      <c r="T445" s="167"/>
      <c r="U445" s="167"/>
      <c r="V445" s="167"/>
      <c r="W445" s="167"/>
      <c r="X445" s="167"/>
      <c r="Y445" s="167"/>
      <c r="Z445" s="167"/>
      <c r="AA445" s="167"/>
      <c r="AB445" s="167"/>
      <c r="AC445" s="167"/>
      <c r="AD445" s="167"/>
      <c r="AE445" s="167"/>
      <c r="AF445" s="167"/>
      <c r="AG445" s="167"/>
      <c r="AH445" s="167"/>
      <c r="AI445" s="167"/>
      <c r="AJ445" s="167"/>
      <c r="AK445" s="167"/>
      <c r="AL445" s="167"/>
    </row>
    <row r="446" spans="1:38" ht="15.75" customHeight="1">
      <c r="A446" s="167"/>
      <c r="B446" s="167"/>
      <c r="C446" s="167"/>
      <c r="D446" s="167"/>
      <c r="E446" s="167"/>
      <c r="F446" s="167"/>
      <c r="G446" s="167"/>
      <c r="H446" s="167"/>
      <c r="I446" s="167"/>
      <c r="J446" s="167"/>
      <c r="K446" s="167"/>
      <c r="L446" s="167"/>
      <c r="M446" s="167"/>
      <c r="N446" s="167"/>
      <c r="O446" s="167"/>
      <c r="P446" s="167"/>
      <c r="Q446" s="167"/>
      <c r="R446" s="167"/>
      <c r="S446" s="167"/>
      <c r="T446" s="167"/>
      <c r="U446" s="167"/>
      <c r="V446" s="167"/>
      <c r="W446" s="167"/>
      <c r="X446" s="167"/>
      <c r="Y446" s="167"/>
      <c r="Z446" s="167"/>
      <c r="AA446" s="167"/>
      <c r="AB446" s="167"/>
      <c r="AC446" s="167"/>
      <c r="AD446" s="167"/>
      <c r="AE446" s="167"/>
      <c r="AF446" s="167"/>
      <c r="AG446" s="167"/>
      <c r="AH446" s="167"/>
      <c r="AI446" s="167"/>
      <c r="AJ446" s="167"/>
      <c r="AK446" s="167"/>
      <c r="AL446" s="167"/>
    </row>
    <row r="447" spans="1:38" ht="15.75" customHeight="1">
      <c r="A447" s="167"/>
      <c r="B447" s="167"/>
      <c r="C447" s="167"/>
      <c r="D447" s="167"/>
      <c r="E447" s="167"/>
      <c r="F447" s="167"/>
      <c r="G447" s="167"/>
      <c r="H447" s="167"/>
      <c r="I447" s="167"/>
      <c r="J447" s="167"/>
      <c r="K447" s="167"/>
      <c r="L447" s="167"/>
      <c r="M447" s="167"/>
      <c r="N447" s="167"/>
      <c r="O447" s="167"/>
      <c r="P447" s="167"/>
      <c r="Q447" s="167"/>
      <c r="R447" s="167"/>
      <c r="S447" s="167"/>
      <c r="T447" s="167"/>
      <c r="U447" s="167"/>
      <c r="V447" s="167"/>
      <c r="W447" s="167"/>
      <c r="X447" s="167"/>
      <c r="Y447" s="167"/>
      <c r="Z447" s="167"/>
      <c r="AA447" s="167"/>
      <c r="AB447" s="167"/>
      <c r="AC447" s="167"/>
      <c r="AD447" s="167"/>
      <c r="AE447" s="167"/>
      <c r="AF447" s="167"/>
      <c r="AG447" s="167"/>
      <c r="AH447" s="167"/>
      <c r="AI447" s="167"/>
      <c r="AJ447" s="167"/>
      <c r="AK447" s="167"/>
      <c r="AL447" s="167"/>
    </row>
    <row r="448" spans="1:38" ht="15.75" customHeight="1">
      <c r="A448" s="167"/>
      <c r="B448" s="167"/>
      <c r="C448" s="167"/>
      <c r="D448" s="167"/>
      <c r="E448" s="167"/>
      <c r="F448" s="167"/>
      <c r="G448" s="167"/>
      <c r="H448" s="167"/>
      <c r="I448" s="167"/>
      <c r="J448" s="167"/>
      <c r="K448" s="167"/>
      <c r="L448" s="167"/>
      <c r="M448" s="167"/>
      <c r="N448" s="167"/>
      <c r="O448" s="167"/>
      <c r="P448" s="167"/>
      <c r="Q448" s="167"/>
      <c r="R448" s="167"/>
      <c r="S448" s="167"/>
      <c r="T448" s="167"/>
      <c r="U448" s="167"/>
      <c r="V448" s="167"/>
      <c r="W448" s="167"/>
      <c r="X448" s="167"/>
      <c r="Y448" s="167"/>
      <c r="Z448" s="167"/>
      <c r="AA448" s="167"/>
      <c r="AB448" s="167"/>
      <c r="AC448" s="167"/>
      <c r="AD448" s="167"/>
      <c r="AE448" s="167"/>
      <c r="AF448" s="167"/>
      <c r="AG448" s="167"/>
      <c r="AH448" s="167"/>
      <c r="AI448" s="167"/>
      <c r="AJ448" s="167"/>
      <c r="AK448" s="167"/>
      <c r="AL448" s="167"/>
    </row>
    <row r="449" spans="1:38" ht="15.75" customHeight="1">
      <c r="A449" s="167"/>
      <c r="B449" s="167"/>
      <c r="C449" s="167"/>
      <c r="D449" s="167"/>
      <c r="E449" s="167"/>
      <c r="F449" s="167"/>
      <c r="G449" s="167"/>
      <c r="H449" s="167"/>
      <c r="I449" s="167"/>
      <c r="J449" s="167"/>
      <c r="K449" s="167"/>
      <c r="L449" s="167"/>
      <c r="M449" s="167"/>
      <c r="N449" s="167"/>
      <c r="O449" s="167"/>
      <c r="P449" s="167"/>
      <c r="Q449" s="167"/>
      <c r="R449" s="167"/>
      <c r="S449" s="167"/>
      <c r="T449" s="167"/>
      <c r="U449" s="167"/>
      <c r="V449" s="167"/>
      <c r="W449" s="167"/>
      <c r="X449" s="167"/>
      <c r="Y449" s="167"/>
      <c r="Z449" s="167"/>
      <c r="AA449" s="167"/>
      <c r="AB449" s="167"/>
      <c r="AC449" s="167"/>
      <c r="AD449" s="167"/>
      <c r="AE449" s="167"/>
      <c r="AF449" s="167"/>
      <c r="AG449" s="167"/>
      <c r="AH449" s="167"/>
      <c r="AI449" s="167"/>
      <c r="AJ449" s="167"/>
      <c r="AK449" s="167"/>
      <c r="AL449" s="167"/>
    </row>
    <row r="450" spans="1:38" ht="15.75" customHeight="1">
      <c r="A450" s="167"/>
      <c r="B450" s="167"/>
      <c r="C450" s="167"/>
      <c r="D450" s="167"/>
      <c r="E450" s="167"/>
      <c r="F450" s="167"/>
      <c r="G450" s="167"/>
      <c r="H450" s="167"/>
      <c r="I450" s="167"/>
      <c r="J450" s="167"/>
      <c r="K450" s="167"/>
      <c r="L450" s="167"/>
      <c r="M450" s="167"/>
      <c r="N450" s="167"/>
      <c r="O450" s="167"/>
      <c r="P450" s="167"/>
      <c r="Q450" s="167"/>
      <c r="R450" s="167"/>
      <c r="S450" s="167"/>
      <c r="T450" s="167"/>
      <c r="U450" s="167"/>
      <c r="V450" s="167"/>
      <c r="W450" s="167"/>
      <c r="X450" s="167"/>
      <c r="Y450" s="167"/>
      <c r="Z450" s="167"/>
      <c r="AA450" s="167"/>
      <c r="AB450" s="167"/>
      <c r="AC450" s="167"/>
      <c r="AD450" s="167"/>
      <c r="AE450" s="167"/>
      <c r="AF450" s="167"/>
      <c r="AG450" s="167"/>
      <c r="AH450" s="167"/>
      <c r="AI450" s="167"/>
      <c r="AJ450" s="167"/>
      <c r="AK450" s="167"/>
      <c r="AL450" s="167"/>
    </row>
    <row r="451" spans="1:38" ht="15.75" customHeight="1">
      <c r="A451" s="167"/>
      <c r="B451" s="167"/>
      <c r="C451" s="167"/>
      <c r="D451" s="167"/>
      <c r="E451" s="167"/>
      <c r="F451" s="167"/>
      <c r="G451" s="167"/>
      <c r="H451" s="167"/>
      <c r="I451" s="167"/>
      <c r="J451" s="167"/>
      <c r="K451" s="167"/>
      <c r="L451" s="167"/>
      <c r="M451" s="167"/>
      <c r="N451" s="167"/>
      <c r="O451" s="167"/>
      <c r="P451" s="167"/>
      <c r="Q451" s="167"/>
      <c r="R451" s="167"/>
      <c r="S451" s="167"/>
      <c r="T451" s="167"/>
      <c r="U451" s="167"/>
      <c r="V451" s="167"/>
      <c r="W451" s="167"/>
      <c r="X451" s="167"/>
      <c r="Y451" s="167"/>
      <c r="Z451" s="167"/>
      <c r="AA451" s="167"/>
      <c r="AB451" s="167"/>
      <c r="AC451" s="167"/>
      <c r="AD451" s="167"/>
      <c r="AE451" s="167"/>
      <c r="AF451" s="167"/>
      <c r="AG451" s="167"/>
      <c r="AH451" s="167"/>
      <c r="AI451" s="167"/>
      <c r="AJ451" s="167"/>
      <c r="AK451" s="167"/>
      <c r="AL451" s="167"/>
    </row>
    <row r="452" spans="1:38" ht="15.75" customHeight="1">
      <c r="A452" s="167"/>
      <c r="B452" s="167"/>
      <c r="C452" s="167"/>
      <c r="D452" s="167"/>
      <c r="E452" s="167"/>
      <c r="F452" s="167"/>
      <c r="G452" s="167"/>
      <c r="H452" s="167"/>
      <c r="I452" s="167"/>
      <c r="J452" s="167"/>
      <c r="K452" s="167"/>
      <c r="L452" s="167"/>
      <c r="M452" s="167"/>
      <c r="N452" s="167"/>
      <c r="O452" s="167"/>
      <c r="P452" s="167"/>
      <c r="Q452" s="167"/>
      <c r="R452" s="167"/>
      <c r="S452" s="167"/>
      <c r="T452" s="167"/>
      <c r="U452" s="167"/>
      <c r="V452" s="167"/>
      <c r="W452" s="167"/>
      <c r="X452" s="167"/>
      <c r="Y452" s="167"/>
      <c r="Z452" s="167"/>
      <c r="AA452" s="167"/>
      <c r="AB452" s="167"/>
      <c r="AC452" s="167"/>
      <c r="AD452" s="167"/>
      <c r="AE452" s="167"/>
      <c r="AF452" s="167"/>
      <c r="AG452" s="167"/>
      <c r="AH452" s="167"/>
      <c r="AI452" s="167"/>
      <c r="AJ452" s="167"/>
      <c r="AK452" s="167"/>
      <c r="AL452" s="167"/>
    </row>
    <row r="453" spans="1:38" ht="15.75" customHeight="1">
      <c r="A453" s="167"/>
      <c r="B453" s="167"/>
      <c r="C453" s="167"/>
      <c r="D453" s="167"/>
      <c r="E453" s="167"/>
      <c r="F453" s="167"/>
      <c r="G453" s="167"/>
      <c r="H453" s="167"/>
      <c r="I453" s="167"/>
      <c r="J453" s="167"/>
      <c r="K453" s="167"/>
      <c r="L453" s="167"/>
      <c r="M453" s="167"/>
      <c r="N453" s="167"/>
      <c r="O453" s="167"/>
      <c r="P453" s="167"/>
      <c r="Q453" s="167"/>
      <c r="R453" s="167"/>
      <c r="S453" s="167"/>
      <c r="T453" s="167"/>
      <c r="U453" s="167"/>
      <c r="V453" s="167"/>
      <c r="W453" s="167"/>
      <c r="X453" s="167"/>
      <c r="Y453" s="167"/>
      <c r="Z453" s="167"/>
      <c r="AA453" s="167"/>
      <c r="AB453" s="167"/>
      <c r="AC453" s="167"/>
      <c r="AD453" s="167"/>
      <c r="AE453" s="167"/>
      <c r="AF453" s="167"/>
      <c r="AG453" s="167"/>
      <c r="AH453" s="167"/>
      <c r="AI453" s="167"/>
      <c r="AJ453" s="167"/>
      <c r="AK453" s="167"/>
      <c r="AL453" s="167"/>
    </row>
    <row r="454" spans="1:38" ht="15.75" customHeight="1">
      <c r="A454" s="167"/>
      <c r="B454" s="167"/>
      <c r="C454" s="167"/>
      <c r="D454" s="167"/>
      <c r="E454" s="167"/>
      <c r="F454" s="167"/>
      <c r="G454" s="167"/>
      <c r="H454" s="167"/>
      <c r="I454" s="167"/>
      <c r="J454" s="167"/>
      <c r="K454" s="167"/>
      <c r="L454" s="167"/>
      <c r="M454" s="167"/>
      <c r="N454" s="167"/>
      <c r="O454" s="167"/>
      <c r="P454" s="167"/>
      <c r="Q454" s="167"/>
      <c r="R454" s="167"/>
      <c r="S454" s="167"/>
      <c r="T454" s="167"/>
      <c r="U454" s="167"/>
      <c r="V454" s="167"/>
      <c r="W454" s="167"/>
      <c r="X454" s="167"/>
      <c r="Y454" s="167"/>
      <c r="Z454" s="167"/>
      <c r="AA454" s="167"/>
      <c r="AB454" s="167"/>
      <c r="AC454" s="167"/>
      <c r="AD454" s="167"/>
      <c r="AE454" s="167"/>
      <c r="AF454" s="167"/>
      <c r="AG454" s="167"/>
      <c r="AH454" s="167"/>
      <c r="AI454" s="167"/>
      <c r="AJ454" s="167"/>
      <c r="AK454" s="167"/>
      <c r="AL454" s="167"/>
    </row>
    <row r="455" spans="1:38" ht="15.75" customHeight="1">
      <c r="A455" s="167"/>
      <c r="B455" s="167"/>
      <c r="C455" s="167"/>
      <c r="D455" s="167"/>
      <c r="E455" s="167"/>
      <c r="F455" s="167"/>
      <c r="G455" s="167"/>
      <c r="H455" s="167"/>
      <c r="I455" s="167"/>
      <c r="J455" s="167"/>
      <c r="K455" s="167"/>
      <c r="L455" s="167"/>
      <c r="M455" s="167"/>
      <c r="N455" s="167"/>
      <c r="O455" s="167"/>
      <c r="P455" s="167"/>
      <c r="Q455" s="167"/>
      <c r="R455" s="167"/>
      <c r="S455" s="167"/>
      <c r="T455" s="167"/>
      <c r="U455" s="167"/>
      <c r="V455" s="167"/>
      <c r="W455" s="167"/>
      <c r="X455" s="167"/>
      <c r="Y455" s="167"/>
      <c r="Z455" s="167"/>
      <c r="AA455" s="167"/>
      <c r="AB455" s="167"/>
      <c r="AC455" s="167"/>
      <c r="AD455" s="167"/>
      <c r="AE455" s="167"/>
      <c r="AF455" s="167"/>
      <c r="AG455" s="167"/>
      <c r="AH455" s="167"/>
      <c r="AI455" s="167"/>
      <c r="AJ455" s="167"/>
      <c r="AK455" s="167"/>
      <c r="AL455" s="167"/>
    </row>
    <row r="456" spans="1:38" ht="15.75" customHeight="1">
      <c r="A456" s="167"/>
      <c r="B456" s="167"/>
      <c r="C456" s="167"/>
      <c r="D456" s="167"/>
      <c r="E456" s="167"/>
      <c r="F456" s="167"/>
      <c r="G456" s="167"/>
      <c r="H456" s="167"/>
      <c r="I456" s="167"/>
      <c r="J456" s="167"/>
      <c r="K456" s="167"/>
      <c r="L456" s="167"/>
      <c r="M456" s="167"/>
      <c r="N456" s="167"/>
      <c r="O456" s="167"/>
      <c r="P456" s="167"/>
      <c r="Q456" s="167"/>
      <c r="R456" s="167"/>
      <c r="S456" s="167"/>
      <c r="T456" s="167"/>
      <c r="U456" s="167"/>
      <c r="V456" s="167"/>
      <c r="W456" s="167"/>
      <c r="X456" s="167"/>
      <c r="Y456" s="167"/>
      <c r="Z456" s="167"/>
      <c r="AA456" s="167"/>
      <c r="AB456" s="167"/>
      <c r="AC456" s="167"/>
      <c r="AD456" s="167"/>
      <c r="AE456" s="167"/>
      <c r="AF456" s="167"/>
      <c r="AG456" s="167"/>
      <c r="AH456" s="167"/>
      <c r="AI456" s="167"/>
      <c r="AJ456" s="167"/>
      <c r="AK456" s="167"/>
      <c r="AL456" s="167"/>
    </row>
    <row r="457" spans="1:38" ht="15.75" customHeight="1">
      <c r="A457" s="167"/>
      <c r="B457" s="167"/>
      <c r="C457" s="167"/>
      <c r="D457" s="167"/>
      <c r="E457" s="167"/>
      <c r="F457" s="167"/>
      <c r="G457" s="167"/>
      <c r="H457" s="167"/>
      <c r="I457" s="167"/>
      <c r="J457" s="167"/>
      <c r="K457" s="167"/>
      <c r="L457" s="167"/>
      <c r="M457" s="167"/>
      <c r="N457" s="167"/>
      <c r="O457" s="167"/>
      <c r="P457" s="167"/>
      <c r="Q457" s="167"/>
      <c r="R457" s="167"/>
      <c r="S457" s="167"/>
      <c r="T457" s="167"/>
      <c r="U457" s="167"/>
      <c r="V457" s="167"/>
      <c r="W457" s="167"/>
      <c r="X457" s="167"/>
      <c r="Y457" s="167"/>
      <c r="Z457" s="167"/>
      <c r="AA457" s="167"/>
      <c r="AB457" s="167"/>
      <c r="AC457" s="167"/>
      <c r="AD457" s="167"/>
      <c r="AE457" s="167"/>
      <c r="AF457" s="167"/>
      <c r="AG457" s="167"/>
      <c r="AH457" s="167"/>
      <c r="AI457" s="167"/>
      <c r="AJ457" s="167"/>
      <c r="AK457" s="167"/>
      <c r="AL457" s="167"/>
    </row>
    <row r="458" spans="1:38" ht="15.75" customHeight="1">
      <c r="A458" s="167"/>
      <c r="B458" s="167"/>
      <c r="C458" s="167"/>
      <c r="D458" s="167"/>
      <c r="E458" s="167"/>
      <c r="F458" s="167"/>
      <c r="G458" s="167"/>
      <c r="H458" s="167"/>
      <c r="I458" s="167"/>
      <c r="J458" s="167"/>
      <c r="K458" s="167"/>
      <c r="L458" s="167"/>
      <c r="M458" s="167"/>
      <c r="N458" s="167"/>
      <c r="O458" s="167"/>
      <c r="P458" s="167"/>
      <c r="Q458" s="167"/>
      <c r="R458" s="167"/>
      <c r="S458" s="167"/>
      <c r="T458" s="167"/>
      <c r="U458" s="167"/>
      <c r="V458" s="167"/>
      <c r="W458" s="167"/>
      <c r="X458" s="167"/>
      <c r="Y458" s="167"/>
      <c r="Z458" s="167"/>
      <c r="AA458" s="167"/>
      <c r="AB458" s="167"/>
      <c r="AC458" s="167"/>
      <c r="AD458" s="167"/>
      <c r="AE458" s="167"/>
      <c r="AF458" s="167"/>
      <c r="AG458" s="167"/>
      <c r="AH458" s="167"/>
      <c r="AI458" s="167"/>
      <c r="AJ458" s="167"/>
      <c r="AK458" s="167"/>
      <c r="AL458" s="167"/>
    </row>
    <row r="459" spans="1:38" ht="15.75" customHeight="1">
      <c r="A459" s="167"/>
      <c r="B459" s="167"/>
      <c r="C459" s="167"/>
      <c r="D459" s="167"/>
      <c r="E459" s="167"/>
      <c r="F459" s="167"/>
      <c r="G459" s="167"/>
      <c r="H459" s="167"/>
      <c r="I459" s="167"/>
      <c r="J459" s="167"/>
      <c r="K459" s="167"/>
      <c r="L459" s="167"/>
      <c r="M459" s="167"/>
      <c r="N459" s="167"/>
      <c r="O459" s="167"/>
      <c r="P459" s="167"/>
      <c r="Q459" s="167"/>
      <c r="R459" s="167"/>
      <c r="S459" s="167"/>
      <c r="T459" s="167"/>
      <c r="U459" s="167"/>
      <c r="V459" s="167"/>
      <c r="W459" s="167"/>
      <c r="X459" s="167"/>
      <c r="Y459" s="167"/>
      <c r="Z459" s="167"/>
      <c r="AA459" s="167"/>
      <c r="AB459" s="167"/>
      <c r="AC459" s="167"/>
      <c r="AD459" s="167"/>
      <c r="AE459" s="167"/>
      <c r="AF459" s="167"/>
      <c r="AG459" s="167"/>
      <c r="AH459" s="167"/>
      <c r="AI459" s="167"/>
      <c r="AJ459" s="167"/>
      <c r="AK459" s="167"/>
      <c r="AL459" s="167"/>
    </row>
    <row r="460" spans="1:38" ht="15.75" customHeight="1">
      <c r="A460" s="167"/>
      <c r="B460" s="167"/>
      <c r="C460" s="167"/>
      <c r="D460" s="167"/>
      <c r="E460" s="167"/>
      <c r="F460" s="167"/>
      <c r="G460" s="167"/>
      <c r="H460" s="167"/>
      <c r="I460" s="167"/>
      <c r="J460" s="167"/>
      <c r="K460" s="167"/>
      <c r="L460" s="167"/>
      <c r="M460" s="167"/>
      <c r="N460" s="167"/>
      <c r="O460" s="167"/>
      <c r="P460" s="167"/>
      <c r="Q460" s="167"/>
      <c r="R460" s="167"/>
      <c r="S460" s="167"/>
      <c r="T460" s="167"/>
      <c r="U460" s="167"/>
      <c r="V460" s="167"/>
      <c r="W460" s="167"/>
      <c r="X460" s="167"/>
      <c r="Y460" s="167"/>
      <c r="Z460" s="167"/>
      <c r="AA460" s="167"/>
      <c r="AB460" s="167"/>
      <c r="AC460" s="167"/>
      <c r="AD460" s="167"/>
      <c r="AE460" s="167"/>
      <c r="AF460" s="167"/>
      <c r="AG460" s="167"/>
      <c r="AH460" s="167"/>
      <c r="AI460" s="167"/>
      <c r="AJ460" s="167"/>
      <c r="AK460" s="167"/>
      <c r="AL460" s="167"/>
    </row>
    <row r="461" spans="1:38" ht="15.75" customHeight="1">
      <c r="A461" s="167"/>
      <c r="B461" s="167"/>
      <c r="C461" s="167"/>
      <c r="D461" s="167"/>
      <c r="E461" s="167"/>
      <c r="F461" s="167"/>
      <c r="G461" s="167"/>
      <c r="H461" s="167"/>
      <c r="I461" s="167"/>
      <c r="J461" s="167"/>
      <c r="K461" s="167"/>
      <c r="L461" s="167"/>
      <c r="M461" s="167"/>
      <c r="N461" s="167"/>
      <c r="O461" s="167"/>
      <c r="P461" s="167"/>
      <c r="Q461" s="167"/>
      <c r="R461" s="167"/>
      <c r="S461" s="167"/>
      <c r="T461" s="167"/>
      <c r="U461" s="167"/>
      <c r="V461" s="167"/>
      <c r="W461" s="167"/>
      <c r="X461" s="167"/>
      <c r="Y461" s="167"/>
      <c r="Z461" s="167"/>
      <c r="AA461" s="167"/>
      <c r="AB461" s="167"/>
      <c r="AC461" s="167"/>
      <c r="AD461" s="167"/>
      <c r="AE461" s="167"/>
      <c r="AF461" s="167"/>
      <c r="AG461" s="167"/>
      <c r="AH461" s="167"/>
      <c r="AI461" s="167"/>
      <c r="AJ461" s="167"/>
      <c r="AK461" s="167"/>
      <c r="AL461" s="167"/>
    </row>
    <row r="462" spans="1:38" ht="15.75" customHeight="1">
      <c r="A462" s="167"/>
      <c r="B462" s="167"/>
      <c r="C462" s="167"/>
      <c r="D462" s="167"/>
      <c r="E462" s="167"/>
      <c r="F462" s="167"/>
      <c r="G462" s="167"/>
      <c r="H462" s="167"/>
      <c r="I462" s="167"/>
      <c r="J462" s="167"/>
      <c r="K462" s="167"/>
      <c r="L462" s="167"/>
      <c r="M462" s="167"/>
      <c r="N462" s="167"/>
      <c r="O462" s="167"/>
      <c r="P462" s="167"/>
      <c r="Q462" s="167"/>
      <c r="R462" s="167"/>
      <c r="S462" s="167"/>
      <c r="T462" s="167"/>
      <c r="U462" s="167"/>
      <c r="V462" s="167"/>
      <c r="W462" s="167"/>
      <c r="X462" s="167"/>
      <c r="Y462" s="167"/>
      <c r="Z462" s="167"/>
      <c r="AA462" s="167"/>
      <c r="AB462" s="167"/>
      <c r="AC462" s="167"/>
      <c r="AD462" s="167"/>
      <c r="AE462" s="167"/>
      <c r="AF462" s="167"/>
      <c r="AG462" s="167"/>
      <c r="AH462" s="167"/>
      <c r="AI462" s="167"/>
      <c r="AJ462" s="167"/>
      <c r="AK462" s="167"/>
      <c r="AL462" s="167"/>
    </row>
    <row r="463" spans="1:38" ht="15.75" customHeight="1">
      <c r="A463" s="167"/>
      <c r="B463" s="167"/>
      <c r="C463" s="167"/>
      <c r="D463" s="167"/>
      <c r="E463" s="167"/>
      <c r="F463" s="167"/>
      <c r="G463" s="167"/>
      <c r="H463" s="167"/>
      <c r="I463" s="167"/>
      <c r="J463" s="167"/>
      <c r="K463" s="167"/>
      <c r="L463" s="167"/>
      <c r="M463" s="167"/>
      <c r="N463" s="167"/>
      <c r="O463" s="167"/>
      <c r="P463" s="167"/>
      <c r="Q463" s="167"/>
      <c r="R463" s="167"/>
      <c r="S463" s="167"/>
      <c r="T463" s="167"/>
      <c r="U463" s="167"/>
      <c r="V463" s="167"/>
      <c r="W463" s="167"/>
      <c r="X463" s="167"/>
      <c r="Y463" s="167"/>
      <c r="Z463" s="167"/>
      <c r="AA463" s="167"/>
      <c r="AB463" s="167"/>
      <c r="AC463" s="167"/>
      <c r="AD463" s="167"/>
      <c r="AE463" s="167"/>
      <c r="AF463" s="167"/>
      <c r="AG463" s="167"/>
      <c r="AH463" s="167"/>
      <c r="AI463" s="167"/>
      <c r="AJ463" s="167"/>
      <c r="AK463" s="167"/>
      <c r="AL463" s="167"/>
    </row>
    <row r="464" spans="1:38" ht="15.75" customHeight="1">
      <c r="A464" s="167"/>
      <c r="B464" s="167"/>
      <c r="C464" s="167"/>
      <c r="D464" s="167"/>
      <c r="E464" s="167"/>
      <c r="F464" s="167"/>
      <c r="G464" s="167"/>
      <c r="H464" s="167"/>
      <c r="I464" s="167"/>
      <c r="J464" s="167"/>
      <c r="K464" s="167"/>
      <c r="L464" s="167"/>
      <c r="M464" s="167"/>
      <c r="N464" s="167"/>
      <c r="O464" s="167"/>
      <c r="P464" s="167"/>
      <c r="Q464" s="167"/>
      <c r="R464" s="167"/>
      <c r="S464" s="167"/>
      <c r="T464" s="167"/>
      <c r="U464" s="167"/>
      <c r="V464" s="167"/>
      <c r="W464" s="167"/>
      <c r="X464" s="167"/>
      <c r="Y464" s="167"/>
      <c r="Z464" s="167"/>
      <c r="AA464" s="167"/>
      <c r="AB464" s="167"/>
      <c r="AC464" s="167"/>
      <c r="AD464" s="167"/>
      <c r="AE464" s="167"/>
      <c r="AF464" s="167"/>
      <c r="AG464" s="167"/>
      <c r="AH464" s="167"/>
      <c r="AI464" s="167"/>
      <c r="AJ464" s="167"/>
      <c r="AK464" s="167"/>
      <c r="AL464" s="167"/>
    </row>
    <row r="465" spans="1:38" ht="15.75" customHeight="1">
      <c r="A465" s="167"/>
      <c r="B465" s="167"/>
      <c r="C465" s="167"/>
      <c r="D465" s="167"/>
      <c r="E465" s="167"/>
      <c r="F465" s="167"/>
      <c r="G465" s="167"/>
      <c r="H465" s="167"/>
      <c r="I465" s="167"/>
      <c r="J465" s="167"/>
      <c r="K465" s="167"/>
      <c r="L465" s="167"/>
      <c r="M465" s="167"/>
      <c r="N465" s="167"/>
      <c r="O465" s="167"/>
      <c r="P465" s="167"/>
      <c r="Q465" s="167"/>
      <c r="R465" s="167"/>
      <c r="S465" s="167"/>
      <c r="T465" s="167"/>
      <c r="U465" s="167"/>
      <c r="V465" s="167"/>
      <c r="W465" s="167"/>
      <c r="X465" s="167"/>
      <c r="Y465" s="167"/>
      <c r="Z465" s="167"/>
      <c r="AA465" s="167"/>
      <c r="AB465" s="167"/>
      <c r="AC465" s="167"/>
      <c r="AD465" s="167"/>
      <c r="AE465" s="167"/>
      <c r="AF465" s="167"/>
      <c r="AG465" s="167"/>
      <c r="AH465" s="167"/>
      <c r="AI465" s="167"/>
      <c r="AJ465" s="167"/>
      <c r="AK465" s="167"/>
      <c r="AL465" s="167"/>
    </row>
    <row r="466" spans="1:38" ht="15.75" customHeight="1">
      <c r="A466" s="167"/>
      <c r="B466" s="167"/>
      <c r="C466" s="167"/>
      <c r="D466" s="167"/>
      <c r="E466" s="167"/>
      <c r="F466" s="167"/>
      <c r="G466" s="167"/>
      <c r="H466" s="167"/>
      <c r="I466" s="167"/>
      <c r="J466" s="167"/>
      <c r="K466" s="167"/>
      <c r="L466" s="167"/>
      <c r="M466" s="167"/>
      <c r="N466" s="167"/>
      <c r="O466" s="167"/>
      <c r="P466" s="167"/>
      <c r="Q466" s="167"/>
      <c r="R466" s="167"/>
      <c r="S466" s="167"/>
      <c r="T466" s="167"/>
      <c r="U466" s="167"/>
      <c r="V466" s="167"/>
      <c r="W466" s="167"/>
      <c r="X466" s="167"/>
      <c r="Y466" s="167"/>
      <c r="Z466" s="167"/>
      <c r="AA466" s="167"/>
      <c r="AB466" s="167"/>
      <c r="AC466" s="167"/>
      <c r="AD466" s="167"/>
      <c r="AE466" s="167"/>
      <c r="AF466" s="167"/>
      <c r="AG466" s="167"/>
      <c r="AH466" s="167"/>
      <c r="AI466" s="167"/>
      <c r="AJ466" s="167"/>
      <c r="AK466" s="167"/>
      <c r="AL466" s="167"/>
    </row>
    <row r="467" spans="1:38" ht="15.75" customHeight="1">
      <c r="A467" s="167"/>
      <c r="B467" s="167"/>
      <c r="C467" s="167"/>
      <c r="D467" s="167"/>
      <c r="E467" s="167"/>
      <c r="F467" s="167"/>
      <c r="G467" s="167"/>
      <c r="H467" s="167"/>
      <c r="I467" s="167"/>
      <c r="J467" s="167"/>
      <c r="K467" s="167"/>
      <c r="L467" s="167"/>
      <c r="M467" s="167"/>
      <c r="N467" s="167"/>
      <c r="O467" s="167"/>
      <c r="P467" s="167"/>
      <c r="Q467" s="167"/>
      <c r="R467" s="167"/>
      <c r="S467" s="167"/>
      <c r="T467" s="167"/>
      <c r="U467" s="167"/>
      <c r="V467" s="167"/>
      <c r="W467" s="167"/>
      <c r="X467" s="167"/>
      <c r="Y467" s="167"/>
      <c r="Z467" s="167"/>
      <c r="AA467" s="167"/>
      <c r="AB467" s="167"/>
      <c r="AC467" s="167"/>
      <c r="AD467" s="167"/>
      <c r="AE467" s="167"/>
      <c r="AF467" s="167"/>
      <c r="AG467" s="167"/>
      <c r="AH467" s="167"/>
      <c r="AI467" s="167"/>
      <c r="AJ467" s="167"/>
      <c r="AK467" s="167"/>
      <c r="AL467" s="167"/>
    </row>
    <row r="468" spans="1:38" ht="15.75" customHeight="1">
      <c r="A468" s="167"/>
      <c r="B468" s="167"/>
      <c r="C468" s="167"/>
      <c r="D468" s="167"/>
      <c r="E468" s="167"/>
      <c r="F468" s="167"/>
      <c r="G468" s="167"/>
      <c r="H468" s="167"/>
      <c r="I468" s="167"/>
      <c r="J468" s="167"/>
      <c r="K468" s="167"/>
      <c r="L468" s="167"/>
      <c r="M468" s="167"/>
      <c r="N468" s="167"/>
      <c r="O468" s="167"/>
      <c r="P468" s="167"/>
      <c r="Q468" s="167"/>
      <c r="R468" s="167"/>
      <c r="S468" s="167"/>
      <c r="T468" s="167"/>
      <c r="U468" s="167"/>
      <c r="V468" s="167"/>
      <c r="W468" s="167"/>
      <c r="X468" s="167"/>
      <c r="Y468" s="167"/>
      <c r="Z468" s="167"/>
      <c r="AA468" s="167"/>
      <c r="AB468" s="167"/>
      <c r="AC468" s="167"/>
      <c r="AD468" s="167"/>
      <c r="AE468" s="167"/>
      <c r="AF468" s="167"/>
      <c r="AG468" s="167"/>
      <c r="AH468" s="167"/>
      <c r="AI468" s="167"/>
      <c r="AJ468" s="167"/>
      <c r="AK468" s="167"/>
      <c r="AL468" s="167"/>
    </row>
    <row r="469" spans="1:38" ht="15.75" customHeight="1">
      <c r="A469" s="167"/>
      <c r="B469" s="167"/>
      <c r="C469" s="167"/>
      <c r="D469" s="167"/>
      <c r="E469" s="167"/>
      <c r="F469" s="167"/>
      <c r="G469" s="167"/>
      <c r="H469" s="167"/>
      <c r="I469" s="167"/>
      <c r="J469" s="167"/>
      <c r="K469" s="167"/>
      <c r="L469" s="167"/>
      <c r="M469" s="167"/>
      <c r="N469" s="167"/>
      <c r="O469" s="167"/>
      <c r="P469" s="167"/>
      <c r="Q469" s="167"/>
      <c r="R469" s="167"/>
      <c r="S469" s="167"/>
      <c r="T469" s="167"/>
      <c r="U469" s="167"/>
      <c r="V469" s="167"/>
      <c r="W469" s="167"/>
      <c r="X469" s="167"/>
      <c r="Y469" s="167"/>
      <c r="Z469" s="167"/>
      <c r="AA469" s="167"/>
      <c r="AB469" s="167"/>
      <c r="AC469" s="167"/>
      <c r="AD469" s="167"/>
      <c r="AE469" s="167"/>
      <c r="AF469" s="167"/>
      <c r="AG469" s="167"/>
      <c r="AH469" s="167"/>
      <c r="AI469" s="167"/>
      <c r="AJ469" s="167"/>
      <c r="AK469" s="167"/>
      <c r="AL469" s="167"/>
    </row>
    <row r="470" spans="1:38" ht="15.75" customHeight="1">
      <c r="A470" s="167"/>
      <c r="B470" s="167"/>
      <c r="C470" s="167"/>
      <c r="D470" s="167"/>
      <c r="E470" s="167"/>
      <c r="F470" s="167"/>
      <c r="G470" s="167"/>
      <c r="H470" s="167"/>
      <c r="I470" s="167"/>
      <c r="J470" s="167"/>
      <c r="K470" s="167"/>
      <c r="L470" s="167"/>
      <c r="M470" s="167"/>
      <c r="N470" s="167"/>
      <c r="O470" s="167"/>
      <c r="P470" s="167"/>
      <c r="Q470" s="167"/>
      <c r="R470" s="167"/>
      <c r="S470" s="167"/>
      <c r="T470" s="167"/>
      <c r="U470" s="167"/>
      <c r="V470" s="167"/>
      <c r="W470" s="167"/>
      <c r="X470" s="167"/>
      <c r="Y470" s="167"/>
      <c r="Z470" s="167"/>
      <c r="AA470" s="167"/>
      <c r="AB470" s="167"/>
      <c r="AC470" s="167"/>
      <c r="AD470" s="167"/>
      <c r="AE470" s="167"/>
      <c r="AF470" s="167"/>
      <c r="AG470" s="167"/>
      <c r="AH470" s="167"/>
      <c r="AI470" s="167"/>
      <c r="AJ470" s="167"/>
      <c r="AK470" s="167"/>
      <c r="AL470" s="167"/>
    </row>
    <row r="471" spans="1:38" ht="15.75" customHeight="1">
      <c r="A471" s="167"/>
      <c r="B471" s="167"/>
      <c r="C471" s="167"/>
      <c r="D471" s="167"/>
      <c r="E471" s="167"/>
      <c r="F471" s="167"/>
      <c r="G471" s="167"/>
      <c r="H471" s="167"/>
      <c r="I471" s="167"/>
      <c r="J471" s="167"/>
      <c r="K471" s="167"/>
      <c r="L471" s="167"/>
      <c r="M471" s="167"/>
      <c r="N471" s="167"/>
      <c r="O471" s="167"/>
      <c r="P471" s="167"/>
      <c r="Q471" s="167"/>
      <c r="R471" s="167"/>
      <c r="S471" s="167"/>
      <c r="T471" s="167"/>
      <c r="U471" s="167"/>
      <c r="V471" s="167"/>
      <c r="W471" s="167"/>
      <c r="X471" s="167"/>
      <c r="Y471" s="167"/>
      <c r="Z471" s="167"/>
      <c r="AA471" s="167"/>
      <c r="AB471" s="167"/>
      <c r="AC471" s="167"/>
      <c r="AD471" s="167"/>
      <c r="AE471" s="167"/>
      <c r="AF471" s="167"/>
      <c r="AG471" s="167"/>
      <c r="AH471" s="167"/>
      <c r="AI471" s="167"/>
      <c r="AJ471" s="167"/>
      <c r="AK471" s="167"/>
      <c r="AL471" s="167"/>
    </row>
    <row r="472" spans="1:38" ht="15.75" customHeight="1">
      <c r="A472" s="167"/>
      <c r="B472" s="167"/>
      <c r="C472" s="167"/>
      <c r="D472" s="167"/>
      <c r="E472" s="167"/>
      <c r="F472" s="167"/>
      <c r="G472" s="167"/>
      <c r="H472" s="167"/>
      <c r="I472" s="167"/>
      <c r="J472" s="167"/>
      <c r="K472" s="167"/>
      <c r="L472" s="167"/>
      <c r="M472" s="167"/>
      <c r="N472" s="167"/>
      <c r="O472" s="167"/>
      <c r="P472" s="167"/>
      <c r="Q472" s="167"/>
      <c r="R472" s="167"/>
      <c r="S472" s="167"/>
      <c r="T472" s="167"/>
      <c r="U472" s="167"/>
      <c r="V472" s="167"/>
      <c r="W472" s="167"/>
      <c r="X472" s="167"/>
      <c r="Y472" s="167"/>
      <c r="Z472" s="167"/>
      <c r="AA472" s="167"/>
      <c r="AB472" s="167"/>
      <c r="AC472" s="167"/>
      <c r="AD472" s="167"/>
      <c r="AE472" s="167"/>
      <c r="AF472" s="167"/>
      <c r="AG472" s="167"/>
      <c r="AH472" s="167"/>
      <c r="AI472" s="167"/>
      <c r="AJ472" s="167"/>
      <c r="AK472" s="167"/>
      <c r="AL472" s="167"/>
    </row>
    <row r="473" spans="1:38" ht="15.75" customHeight="1">
      <c r="A473" s="167"/>
      <c r="B473" s="167"/>
      <c r="C473" s="167"/>
      <c r="D473" s="167"/>
      <c r="E473" s="167"/>
      <c r="F473" s="167"/>
      <c r="G473" s="167"/>
      <c r="H473" s="167"/>
      <c r="I473" s="167"/>
      <c r="J473" s="167"/>
      <c r="K473" s="167"/>
      <c r="L473" s="167"/>
      <c r="M473" s="167"/>
      <c r="N473" s="167"/>
      <c r="O473" s="167"/>
      <c r="P473" s="167"/>
      <c r="Q473" s="167"/>
      <c r="R473" s="167"/>
      <c r="S473" s="167"/>
      <c r="T473" s="167"/>
      <c r="U473" s="167"/>
      <c r="V473" s="167"/>
      <c r="W473" s="167"/>
      <c r="X473" s="167"/>
      <c r="Y473" s="167"/>
      <c r="Z473" s="167"/>
      <c r="AA473" s="167"/>
      <c r="AB473" s="167"/>
      <c r="AC473" s="167"/>
      <c r="AD473" s="167"/>
      <c r="AE473" s="167"/>
      <c r="AF473" s="167"/>
      <c r="AG473" s="167"/>
      <c r="AH473" s="167"/>
      <c r="AI473" s="167"/>
      <c r="AJ473" s="167"/>
      <c r="AK473" s="167"/>
      <c r="AL473" s="167"/>
    </row>
    <row r="474" spans="1:38" ht="15.75" customHeight="1">
      <c r="A474" s="167"/>
      <c r="B474" s="167"/>
      <c r="C474" s="167"/>
      <c r="D474" s="167"/>
      <c r="E474" s="167"/>
      <c r="F474" s="167"/>
      <c r="G474" s="167"/>
      <c r="H474" s="167"/>
      <c r="I474" s="167"/>
      <c r="J474" s="167"/>
      <c r="K474" s="167"/>
      <c r="L474" s="167"/>
      <c r="M474" s="167"/>
      <c r="N474" s="167"/>
      <c r="O474" s="167"/>
      <c r="P474" s="167"/>
      <c r="Q474" s="167"/>
      <c r="R474" s="167"/>
      <c r="S474" s="167"/>
      <c r="T474" s="167"/>
      <c r="U474" s="167"/>
      <c r="V474" s="167"/>
      <c r="W474" s="167"/>
      <c r="X474" s="167"/>
      <c r="Y474" s="167"/>
      <c r="Z474" s="167"/>
      <c r="AA474" s="167"/>
      <c r="AB474" s="167"/>
      <c r="AC474" s="167"/>
      <c r="AD474" s="167"/>
      <c r="AE474" s="167"/>
      <c r="AF474" s="167"/>
      <c r="AG474" s="167"/>
      <c r="AH474" s="167"/>
      <c r="AI474" s="167"/>
      <c r="AJ474" s="167"/>
      <c r="AK474" s="167"/>
      <c r="AL474" s="167"/>
    </row>
    <row r="475" spans="1:38" ht="15.75" customHeight="1">
      <c r="A475" s="167"/>
      <c r="B475" s="167"/>
      <c r="C475" s="167"/>
      <c r="D475" s="167"/>
      <c r="E475" s="167"/>
      <c r="F475" s="167"/>
      <c r="G475" s="167"/>
      <c r="H475" s="167"/>
      <c r="I475" s="167"/>
      <c r="J475" s="167"/>
      <c r="K475" s="167"/>
      <c r="L475" s="167"/>
      <c r="M475" s="167"/>
      <c r="N475" s="167"/>
      <c r="O475" s="167"/>
      <c r="P475" s="167"/>
      <c r="Q475" s="167"/>
      <c r="R475" s="167"/>
      <c r="S475" s="167"/>
      <c r="T475" s="167"/>
      <c r="U475" s="167"/>
      <c r="V475" s="167"/>
      <c r="W475" s="167"/>
      <c r="X475" s="167"/>
      <c r="Y475" s="167"/>
      <c r="Z475" s="167"/>
      <c r="AA475" s="167"/>
      <c r="AB475" s="167"/>
      <c r="AC475" s="167"/>
      <c r="AD475" s="167"/>
      <c r="AE475" s="167"/>
      <c r="AF475" s="167"/>
      <c r="AG475" s="167"/>
      <c r="AH475" s="167"/>
      <c r="AI475" s="167"/>
      <c r="AJ475" s="167"/>
      <c r="AK475" s="167"/>
      <c r="AL475" s="167"/>
    </row>
    <row r="476" spans="1:38" ht="15.75" customHeight="1">
      <c r="A476" s="167"/>
      <c r="B476" s="167"/>
      <c r="C476" s="167"/>
      <c r="D476" s="167"/>
      <c r="E476" s="167"/>
      <c r="F476" s="167"/>
      <c r="G476" s="167"/>
      <c r="H476" s="167"/>
      <c r="I476" s="167"/>
      <c r="J476" s="167"/>
      <c r="K476" s="167"/>
      <c r="L476" s="167"/>
      <c r="M476" s="167"/>
      <c r="N476" s="167"/>
      <c r="O476" s="167"/>
      <c r="P476" s="167"/>
      <c r="Q476" s="167"/>
      <c r="R476" s="167"/>
      <c r="S476" s="167"/>
      <c r="T476" s="167"/>
      <c r="U476" s="167"/>
      <c r="V476" s="167"/>
      <c r="W476" s="167"/>
      <c r="X476" s="167"/>
      <c r="Y476" s="167"/>
      <c r="Z476" s="167"/>
      <c r="AA476" s="167"/>
      <c r="AB476" s="167"/>
      <c r="AC476" s="167"/>
      <c r="AD476" s="167"/>
      <c r="AE476" s="167"/>
      <c r="AF476" s="167"/>
      <c r="AG476" s="167"/>
      <c r="AH476" s="167"/>
      <c r="AI476" s="167"/>
      <c r="AJ476" s="167"/>
      <c r="AK476" s="167"/>
      <c r="AL476" s="167"/>
    </row>
    <row r="477" spans="1:38" ht="15.75" customHeight="1">
      <c r="A477" s="167"/>
      <c r="B477" s="167"/>
      <c r="C477" s="167"/>
      <c r="D477" s="167"/>
      <c r="E477" s="167"/>
      <c r="F477" s="167"/>
      <c r="G477" s="167"/>
      <c r="H477" s="167"/>
      <c r="I477" s="167"/>
      <c r="J477" s="167"/>
      <c r="K477" s="167"/>
      <c r="L477" s="167"/>
      <c r="M477" s="167"/>
      <c r="N477" s="167"/>
      <c r="O477" s="167"/>
      <c r="P477" s="167"/>
      <c r="Q477" s="167"/>
      <c r="R477" s="167"/>
      <c r="S477" s="167"/>
      <c r="T477" s="167"/>
      <c r="U477" s="167"/>
      <c r="V477" s="167"/>
      <c r="W477" s="167"/>
      <c r="X477" s="167"/>
      <c r="Y477" s="167"/>
      <c r="Z477" s="167"/>
      <c r="AA477" s="167"/>
      <c r="AB477" s="167"/>
      <c r="AC477" s="167"/>
      <c r="AD477" s="167"/>
      <c r="AE477" s="167"/>
      <c r="AF477" s="167"/>
      <c r="AG477" s="167"/>
      <c r="AH477" s="167"/>
      <c r="AI477" s="167"/>
      <c r="AJ477" s="167"/>
      <c r="AK477" s="167"/>
      <c r="AL477" s="167"/>
    </row>
    <row r="478" spans="1:38" ht="15.75" customHeight="1">
      <c r="A478" s="167"/>
      <c r="B478" s="167"/>
      <c r="C478" s="167"/>
      <c r="D478" s="167"/>
      <c r="E478" s="167"/>
      <c r="F478" s="167"/>
      <c r="G478" s="167"/>
      <c r="H478" s="167"/>
      <c r="I478" s="167"/>
      <c r="J478" s="167"/>
      <c r="K478" s="167"/>
      <c r="L478" s="167"/>
      <c r="M478" s="167"/>
      <c r="N478" s="167"/>
      <c r="O478" s="167"/>
      <c r="P478" s="167"/>
      <c r="Q478" s="167"/>
      <c r="R478" s="167"/>
      <c r="S478" s="167"/>
      <c r="T478" s="167"/>
      <c r="U478" s="167"/>
      <c r="V478" s="167"/>
      <c r="W478" s="167"/>
      <c r="X478" s="167"/>
      <c r="Y478" s="167"/>
      <c r="Z478" s="167"/>
      <c r="AA478" s="167"/>
      <c r="AB478" s="167"/>
      <c r="AC478" s="167"/>
      <c r="AD478" s="167"/>
      <c r="AE478" s="167"/>
      <c r="AF478" s="167"/>
      <c r="AG478" s="167"/>
      <c r="AH478" s="167"/>
      <c r="AI478" s="167"/>
      <c r="AJ478" s="167"/>
      <c r="AK478" s="167"/>
      <c r="AL478" s="167"/>
    </row>
    <row r="479" spans="1:38" ht="15.75" customHeight="1">
      <c r="A479" s="167"/>
      <c r="B479" s="167"/>
      <c r="C479" s="167"/>
      <c r="D479" s="167"/>
      <c r="E479" s="167"/>
      <c r="F479" s="167"/>
      <c r="G479" s="167"/>
      <c r="H479" s="167"/>
      <c r="I479" s="167"/>
      <c r="J479" s="167"/>
      <c r="K479" s="167"/>
      <c r="L479" s="167"/>
      <c r="M479" s="167"/>
      <c r="N479" s="167"/>
      <c r="O479" s="167"/>
      <c r="P479" s="167"/>
      <c r="Q479" s="167"/>
      <c r="R479" s="167"/>
      <c r="S479" s="167"/>
      <c r="T479" s="167"/>
      <c r="U479" s="167"/>
      <c r="V479" s="167"/>
      <c r="W479" s="167"/>
      <c r="X479" s="167"/>
      <c r="Y479" s="167"/>
      <c r="Z479" s="167"/>
      <c r="AA479" s="167"/>
      <c r="AB479" s="167"/>
      <c r="AC479" s="167"/>
      <c r="AD479" s="167"/>
      <c r="AE479" s="167"/>
      <c r="AF479" s="167"/>
      <c r="AG479" s="167"/>
      <c r="AH479" s="167"/>
      <c r="AI479" s="167"/>
      <c r="AJ479" s="167"/>
      <c r="AK479" s="167"/>
      <c r="AL479" s="167"/>
    </row>
    <row r="480" spans="1:38" ht="15.75" customHeight="1">
      <c r="A480" s="167"/>
      <c r="B480" s="167"/>
      <c r="C480" s="167"/>
      <c r="D480" s="167"/>
      <c r="E480" s="167"/>
      <c r="F480" s="167"/>
      <c r="G480" s="167"/>
      <c r="H480" s="167"/>
      <c r="I480" s="167"/>
      <c r="J480" s="167"/>
      <c r="K480" s="167"/>
      <c r="L480" s="167"/>
      <c r="M480" s="167"/>
      <c r="N480" s="167"/>
      <c r="O480" s="167"/>
      <c r="P480" s="167"/>
      <c r="Q480" s="167"/>
      <c r="R480" s="167"/>
      <c r="S480" s="167"/>
      <c r="T480" s="167"/>
      <c r="U480" s="167"/>
      <c r="V480" s="167"/>
      <c r="W480" s="167"/>
      <c r="X480" s="167"/>
      <c r="Y480" s="167"/>
      <c r="Z480" s="167"/>
      <c r="AA480" s="167"/>
      <c r="AB480" s="167"/>
      <c r="AC480" s="167"/>
      <c r="AD480" s="167"/>
      <c r="AE480" s="167"/>
      <c r="AF480" s="167"/>
      <c r="AG480" s="167"/>
      <c r="AH480" s="167"/>
      <c r="AI480" s="167"/>
      <c r="AJ480" s="167"/>
      <c r="AK480" s="167"/>
      <c r="AL480" s="167"/>
    </row>
    <row r="481" spans="1:38" ht="15.75" customHeight="1">
      <c r="A481" s="167"/>
      <c r="B481" s="167"/>
      <c r="C481" s="167"/>
      <c r="D481" s="167"/>
      <c r="E481" s="167"/>
      <c r="F481" s="167"/>
      <c r="G481" s="167"/>
      <c r="H481" s="167"/>
      <c r="I481" s="167"/>
      <c r="J481" s="167"/>
      <c r="K481" s="167"/>
      <c r="L481" s="167"/>
      <c r="M481" s="167"/>
      <c r="N481" s="167"/>
      <c r="O481" s="167"/>
      <c r="P481" s="167"/>
      <c r="Q481" s="167"/>
      <c r="R481" s="167"/>
      <c r="S481" s="167"/>
      <c r="T481" s="167"/>
      <c r="U481" s="167"/>
      <c r="V481" s="167"/>
      <c r="W481" s="167"/>
      <c r="X481" s="167"/>
      <c r="Y481" s="167"/>
      <c r="Z481" s="167"/>
      <c r="AA481" s="167"/>
      <c r="AB481" s="167"/>
      <c r="AC481" s="167"/>
      <c r="AD481" s="167"/>
      <c r="AE481" s="167"/>
      <c r="AF481" s="167"/>
      <c r="AG481" s="167"/>
      <c r="AH481" s="167"/>
      <c r="AI481" s="167"/>
      <c r="AJ481" s="167"/>
      <c r="AK481" s="167"/>
      <c r="AL481" s="167"/>
    </row>
    <row r="482" spans="1:38" ht="15.75" customHeight="1">
      <c r="A482" s="167"/>
      <c r="B482" s="167"/>
      <c r="C482" s="167"/>
      <c r="D482" s="167"/>
      <c r="E482" s="167"/>
      <c r="F482" s="167"/>
      <c r="G482" s="167"/>
      <c r="H482" s="167"/>
      <c r="I482" s="167"/>
      <c r="J482" s="167"/>
      <c r="K482" s="167"/>
      <c r="L482" s="167"/>
      <c r="M482" s="167"/>
      <c r="N482" s="167"/>
      <c r="O482" s="167"/>
      <c r="P482" s="167"/>
      <c r="Q482" s="167"/>
      <c r="R482" s="167"/>
      <c r="S482" s="167"/>
      <c r="T482" s="167"/>
      <c r="U482" s="167"/>
      <c r="V482" s="167"/>
      <c r="W482" s="167"/>
      <c r="X482" s="167"/>
      <c r="Y482" s="167"/>
      <c r="Z482" s="167"/>
      <c r="AA482" s="167"/>
      <c r="AB482" s="167"/>
      <c r="AC482" s="167"/>
      <c r="AD482" s="167"/>
      <c r="AE482" s="167"/>
      <c r="AF482" s="167"/>
      <c r="AG482" s="167"/>
      <c r="AH482" s="167"/>
      <c r="AI482" s="167"/>
      <c r="AJ482" s="167"/>
      <c r="AK482" s="167"/>
      <c r="AL482" s="167"/>
    </row>
    <row r="483" spans="1:38" ht="15.75" customHeight="1">
      <c r="A483" s="167"/>
      <c r="B483" s="167"/>
      <c r="C483" s="167"/>
      <c r="D483" s="167"/>
      <c r="E483" s="167"/>
      <c r="F483" s="167"/>
      <c r="G483" s="167"/>
      <c r="H483" s="167"/>
      <c r="I483" s="167"/>
      <c r="J483" s="167"/>
      <c r="K483" s="167"/>
      <c r="L483" s="167"/>
      <c r="M483" s="167"/>
      <c r="N483" s="167"/>
      <c r="O483" s="167"/>
      <c r="P483" s="167"/>
      <c r="Q483" s="167"/>
      <c r="R483" s="167"/>
      <c r="S483" s="167"/>
      <c r="T483" s="167"/>
      <c r="U483" s="167"/>
      <c r="V483" s="167"/>
      <c r="W483" s="167"/>
      <c r="X483" s="167"/>
      <c r="Y483" s="167"/>
      <c r="Z483" s="167"/>
      <c r="AA483" s="167"/>
      <c r="AB483" s="167"/>
      <c r="AC483" s="167"/>
      <c r="AD483" s="167"/>
      <c r="AE483" s="167"/>
      <c r="AF483" s="167"/>
      <c r="AG483" s="167"/>
      <c r="AH483" s="167"/>
      <c r="AI483" s="167"/>
      <c r="AJ483" s="167"/>
      <c r="AK483" s="167"/>
      <c r="AL483" s="167"/>
    </row>
    <row r="484" spans="1:38" ht="15.75" customHeight="1">
      <c r="A484" s="167"/>
      <c r="B484" s="167"/>
      <c r="C484" s="167"/>
      <c r="D484" s="167"/>
      <c r="E484" s="167"/>
      <c r="F484" s="167"/>
      <c r="G484" s="167"/>
      <c r="H484" s="167"/>
      <c r="I484" s="167"/>
      <c r="J484" s="167"/>
      <c r="K484" s="167"/>
      <c r="L484" s="167"/>
      <c r="M484" s="167"/>
      <c r="N484" s="167"/>
      <c r="O484" s="167"/>
      <c r="P484" s="167"/>
      <c r="Q484" s="167"/>
      <c r="R484" s="167"/>
      <c r="S484" s="167"/>
      <c r="T484" s="167"/>
      <c r="U484" s="167"/>
      <c r="V484" s="167"/>
      <c r="W484" s="167"/>
      <c r="X484" s="167"/>
      <c r="Y484" s="167"/>
      <c r="Z484" s="167"/>
      <c r="AA484" s="167"/>
      <c r="AB484" s="167"/>
      <c r="AC484" s="167"/>
      <c r="AD484" s="167"/>
      <c r="AE484" s="167"/>
      <c r="AF484" s="167"/>
      <c r="AG484" s="167"/>
      <c r="AH484" s="167"/>
      <c r="AI484" s="167"/>
      <c r="AJ484" s="167"/>
      <c r="AK484" s="167"/>
      <c r="AL484" s="167"/>
    </row>
    <row r="485" spans="1:38" ht="15.75" customHeight="1">
      <c r="A485" s="167"/>
      <c r="B485" s="167"/>
      <c r="C485" s="167"/>
      <c r="D485" s="167"/>
      <c r="E485" s="167"/>
      <c r="F485" s="167"/>
      <c r="G485" s="167"/>
      <c r="H485" s="167"/>
      <c r="I485" s="167"/>
      <c r="J485" s="167"/>
      <c r="K485" s="167"/>
      <c r="L485" s="167"/>
      <c r="M485" s="167"/>
      <c r="N485" s="167"/>
      <c r="O485" s="167"/>
      <c r="P485" s="167"/>
      <c r="Q485" s="167"/>
      <c r="R485" s="167"/>
      <c r="S485" s="167"/>
      <c r="T485" s="167"/>
      <c r="U485" s="167"/>
      <c r="V485" s="167"/>
      <c r="W485" s="167"/>
      <c r="X485" s="167"/>
      <c r="Y485" s="167"/>
      <c r="Z485" s="167"/>
      <c r="AA485" s="167"/>
      <c r="AB485" s="167"/>
      <c r="AC485" s="167"/>
      <c r="AD485" s="167"/>
      <c r="AE485" s="167"/>
      <c r="AF485" s="167"/>
      <c r="AG485" s="167"/>
      <c r="AH485" s="167"/>
      <c r="AI485" s="167"/>
      <c r="AJ485" s="167"/>
      <c r="AK485" s="167"/>
      <c r="AL485" s="167"/>
    </row>
    <row r="486" spans="1:38" ht="15.75" customHeight="1">
      <c r="A486" s="167"/>
      <c r="B486" s="167"/>
      <c r="C486" s="167"/>
      <c r="D486" s="167"/>
      <c r="E486" s="167"/>
      <c r="F486" s="167"/>
      <c r="G486" s="167"/>
      <c r="H486" s="167"/>
      <c r="I486" s="167"/>
      <c r="J486" s="167"/>
      <c r="K486" s="167"/>
      <c r="L486" s="167"/>
      <c r="M486" s="167"/>
      <c r="N486" s="167"/>
      <c r="O486" s="167"/>
      <c r="P486" s="167"/>
      <c r="Q486" s="167"/>
      <c r="R486" s="167"/>
      <c r="S486" s="167"/>
      <c r="T486" s="167"/>
      <c r="U486" s="167"/>
      <c r="V486" s="167"/>
      <c r="W486" s="167"/>
      <c r="X486" s="167"/>
      <c r="Y486" s="167"/>
      <c r="Z486" s="167"/>
      <c r="AA486" s="167"/>
      <c r="AB486" s="167"/>
      <c r="AC486" s="167"/>
      <c r="AD486" s="167"/>
      <c r="AE486" s="167"/>
      <c r="AF486" s="167"/>
      <c r="AG486" s="167"/>
      <c r="AH486" s="167"/>
      <c r="AI486" s="167"/>
      <c r="AJ486" s="167"/>
      <c r="AK486" s="167"/>
      <c r="AL486" s="167"/>
    </row>
    <row r="487" spans="1:38" ht="15.75" customHeight="1">
      <c r="A487" s="167"/>
      <c r="B487" s="167"/>
      <c r="C487" s="167"/>
      <c r="D487" s="167"/>
      <c r="E487" s="167"/>
      <c r="F487" s="167"/>
      <c r="G487" s="167"/>
      <c r="H487" s="167"/>
      <c r="I487" s="167"/>
      <c r="J487" s="167"/>
      <c r="K487" s="167"/>
      <c r="L487" s="167"/>
      <c r="M487" s="167"/>
      <c r="N487" s="167"/>
      <c r="O487" s="167"/>
      <c r="P487" s="167"/>
      <c r="Q487" s="167"/>
      <c r="R487" s="167"/>
      <c r="S487" s="167"/>
      <c r="T487" s="167"/>
      <c r="U487" s="167"/>
      <c r="V487" s="167"/>
      <c r="W487" s="167"/>
      <c r="X487" s="167"/>
      <c r="Y487" s="167"/>
      <c r="Z487" s="167"/>
      <c r="AA487" s="167"/>
      <c r="AB487" s="167"/>
      <c r="AC487" s="167"/>
      <c r="AD487" s="167"/>
      <c r="AE487" s="167"/>
      <c r="AF487" s="167"/>
      <c r="AG487" s="167"/>
      <c r="AH487" s="167"/>
      <c r="AI487" s="167"/>
      <c r="AJ487" s="167"/>
      <c r="AK487" s="167"/>
      <c r="AL487" s="167"/>
    </row>
    <row r="488" spans="1:38" ht="15.75" customHeight="1">
      <c r="A488" s="167"/>
      <c r="B488" s="167"/>
      <c r="C488" s="167"/>
      <c r="D488" s="167"/>
      <c r="E488" s="167"/>
      <c r="F488" s="167"/>
      <c r="G488" s="167"/>
      <c r="H488" s="167"/>
      <c r="I488" s="167"/>
      <c r="J488" s="167"/>
      <c r="K488" s="167"/>
      <c r="L488" s="167"/>
      <c r="M488" s="167"/>
      <c r="N488" s="167"/>
      <c r="O488" s="167"/>
      <c r="P488" s="167"/>
      <c r="Q488" s="167"/>
      <c r="R488" s="167"/>
      <c r="S488" s="167"/>
      <c r="T488" s="167"/>
      <c r="U488" s="167"/>
      <c r="V488" s="167"/>
      <c r="W488" s="167"/>
      <c r="X488" s="167"/>
      <c r="Y488" s="167"/>
      <c r="Z488" s="167"/>
      <c r="AA488" s="167"/>
      <c r="AB488" s="167"/>
      <c r="AC488" s="167"/>
      <c r="AD488" s="167"/>
      <c r="AE488" s="167"/>
      <c r="AF488" s="167"/>
      <c r="AG488" s="167"/>
      <c r="AH488" s="167"/>
      <c r="AI488" s="167"/>
      <c r="AJ488" s="167"/>
      <c r="AK488" s="167"/>
      <c r="AL488" s="167"/>
    </row>
    <row r="489" spans="1:38" ht="15.75" customHeight="1">
      <c r="A489" s="167"/>
      <c r="B489" s="167"/>
      <c r="C489" s="167"/>
      <c r="D489" s="167"/>
      <c r="E489" s="167"/>
      <c r="F489" s="167"/>
      <c r="G489" s="167"/>
      <c r="H489" s="167"/>
      <c r="I489" s="167"/>
      <c r="J489" s="167"/>
      <c r="K489" s="167"/>
      <c r="L489" s="167"/>
      <c r="M489" s="167"/>
      <c r="N489" s="167"/>
      <c r="O489" s="167"/>
      <c r="P489" s="167"/>
      <c r="Q489" s="167"/>
      <c r="R489" s="167"/>
      <c r="S489" s="167"/>
      <c r="T489" s="167"/>
      <c r="U489" s="167"/>
      <c r="V489" s="167"/>
      <c r="W489" s="167"/>
      <c r="X489" s="167"/>
      <c r="Y489" s="167"/>
      <c r="Z489" s="167"/>
      <c r="AA489" s="167"/>
      <c r="AB489" s="167"/>
      <c r="AC489" s="167"/>
      <c r="AD489" s="167"/>
      <c r="AE489" s="167"/>
      <c r="AF489" s="167"/>
      <c r="AG489" s="167"/>
      <c r="AH489" s="167"/>
      <c r="AI489" s="167"/>
      <c r="AJ489" s="167"/>
      <c r="AK489" s="167"/>
      <c r="AL489" s="167"/>
    </row>
    <row r="490" spans="1:38" ht="15.75" customHeight="1">
      <c r="A490" s="167"/>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row>
    <row r="491" spans="1:38" ht="15.75" customHeight="1">
      <c r="A491" s="167"/>
      <c r="B491" s="167"/>
      <c r="C491" s="167"/>
      <c r="D491" s="167"/>
      <c r="E491" s="167"/>
      <c r="F491" s="167"/>
      <c r="G491" s="167"/>
      <c r="H491" s="167"/>
      <c r="I491" s="167"/>
      <c r="J491" s="167"/>
      <c r="K491" s="167"/>
      <c r="L491" s="167"/>
      <c r="M491" s="167"/>
      <c r="N491" s="167"/>
      <c r="O491" s="167"/>
      <c r="P491" s="167"/>
      <c r="Q491" s="167"/>
      <c r="R491" s="167"/>
      <c r="S491" s="167"/>
      <c r="T491" s="167"/>
      <c r="U491" s="167"/>
      <c r="V491" s="167"/>
      <c r="W491" s="167"/>
      <c r="X491" s="167"/>
      <c r="Y491" s="167"/>
      <c r="Z491" s="167"/>
      <c r="AA491" s="167"/>
      <c r="AB491" s="167"/>
      <c r="AC491" s="167"/>
      <c r="AD491" s="167"/>
      <c r="AE491" s="167"/>
      <c r="AF491" s="167"/>
      <c r="AG491" s="167"/>
      <c r="AH491" s="167"/>
      <c r="AI491" s="167"/>
      <c r="AJ491" s="167"/>
      <c r="AK491" s="167"/>
      <c r="AL491" s="167"/>
    </row>
    <row r="492" spans="1:38" ht="15.75" customHeight="1">
      <c r="A492" s="167"/>
      <c r="B492" s="167"/>
      <c r="C492" s="167"/>
      <c r="D492" s="167"/>
      <c r="E492" s="167"/>
      <c r="F492" s="167"/>
      <c r="G492" s="167"/>
      <c r="H492" s="167"/>
      <c r="I492" s="167"/>
      <c r="J492" s="167"/>
      <c r="K492" s="167"/>
      <c r="L492" s="167"/>
      <c r="M492" s="167"/>
      <c r="N492" s="167"/>
      <c r="O492" s="167"/>
      <c r="P492" s="167"/>
      <c r="Q492" s="167"/>
      <c r="R492" s="167"/>
      <c r="S492" s="167"/>
      <c r="T492" s="167"/>
      <c r="U492" s="167"/>
      <c r="V492" s="167"/>
      <c r="W492" s="167"/>
      <c r="X492" s="167"/>
      <c r="Y492" s="167"/>
      <c r="Z492" s="167"/>
      <c r="AA492" s="167"/>
      <c r="AB492" s="167"/>
      <c r="AC492" s="167"/>
      <c r="AD492" s="167"/>
      <c r="AE492" s="167"/>
      <c r="AF492" s="167"/>
      <c r="AG492" s="167"/>
      <c r="AH492" s="167"/>
      <c r="AI492" s="167"/>
      <c r="AJ492" s="167"/>
      <c r="AK492" s="167"/>
      <c r="AL492" s="167"/>
    </row>
    <row r="493" spans="1:38" ht="15.75" customHeight="1">
      <c r="A493" s="167"/>
      <c r="B493" s="167"/>
      <c r="C493" s="167"/>
      <c r="D493" s="167"/>
      <c r="E493" s="167"/>
      <c r="F493" s="167"/>
      <c r="G493" s="167"/>
      <c r="H493" s="167"/>
      <c r="I493" s="167"/>
      <c r="J493" s="167"/>
      <c r="K493" s="167"/>
      <c r="L493" s="167"/>
      <c r="M493" s="167"/>
      <c r="N493" s="167"/>
      <c r="O493" s="167"/>
      <c r="P493" s="167"/>
      <c r="Q493" s="167"/>
      <c r="R493" s="167"/>
      <c r="S493" s="167"/>
      <c r="T493" s="167"/>
      <c r="U493" s="167"/>
      <c r="V493" s="167"/>
      <c r="W493" s="167"/>
      <c r="X493" s="167"/>
      <c r="Y493" s="167"/>
      <c r="Z493" s="167"/>
      <c r="AA493" s="167"/>
      <c r="AB493" s="167"/>
      <c r="AC493" s="167"/>
      <c r="AD493" s="167"/>
      <c r="AE493" s="167"/>
      <c r="AF493" s="167"/>
      <c r="AG493" s="167"/>
      <c r="AH493" s="167"/>
      <c r="AI493" s="167"/>
      <c r="AJ493" s="167"/>
      <c r="AK493" s="167"/>
      <c r="AL493" s="167"/>
    </row>
    <row r="494" spans="1:38" ht="15.75" customHeight="1">
      <c r="A494" s="167"/>
      <c r="B494" s="167"/>
      <c r="C494" s="167"/>
      <c r="D494" s="167"/>
      <c r="E494" s="167"/>
      <c r="F494" s="167"/>
      <c r="G494" s="167"/>
      <c r="H494" s="167"/>
      <c r="I494" s="167"/>
      <c r="J494" s="167"/>
      <c r="K494" s="167"/>
      <c r="L494" s="167"/>
      <c r="M494" s="167"/>
      <c r="N494" s="167"/>
      <c r="O494" s="167"/>
      <c r="P494" s="167"/>
      <c r="Q494" s="167"/>
      <c r="R494" s="167"/>
      <c r="S494" s="167"/>
      <c r="T494" s="167"/>
      <c r="U494" s="167"/>
      <c r="V494" s="167"/>
      <c r="W494" s="167"/>
      <c r="X494" s="167"/>
      <c r="Y494" s="167"/>
      <c r="Z494" s="167"/>
      <c r="AA494" s="167"/>
      <c r="AB494" s="167"/>
      <c r="AC494" s="167"/>
      <c r="AD494" s="167"/>
      <c r="AE494" s="167"/>
      <c r="AF494" s="167"/>
      <c r="AG494" s="167"/>
      <c r="AH494" s="167"/>
      <c r="AI494" s="167"/>
      <c r="AJ494" s="167"/>
      <c r="AK494" s="167"/>
      <c r="AL494" s="167"/>
    </row>
    <row r="495" spans="1:38" ht="15.75" customHeight="1">
      <c r="A495" s="167"/>
      <c r="B495" s="167"/>
      <c r="C495" s="167"/>
      <c r="D495" s="167"/>
      <c r="E495" s="167"/>
      <c r="F495" s="167"/>
      <c r="G495" s="167"/>
      <c r="H495" s="167"/>
      <c r="I495" s="167"/>
      <c r="J495" s="167"/>
      <c r="K495" s="167"/>
      <c r="L495" s="167"/>
      <c r="M495" s="167"/>
      <c r="N495" s="167"/>
      <c r="O495" s="167"/>
      <c r="P495" s="167"/>
      <c r="Q495" s="167"/>
      <c r="R495" s="167"/>
      <c r="S495" s="167"/>
      <c r="T495" s="167"/>
      <c r="U495" s="167"/>
      <c r="V495" s="167"/>
      <c r="W495" s="167"/>
      <c r="X495" s="167"/>
      <c r="Y495" s="167"/>
      <c r="Z495" s="167"/>
      <c r="AA495" s="167"/>
      <c r="AB495" s="167"/>
      <c r="AC495" s="167"/>
      <c r="AD495" s="167"/>
      <c r="AE495" s="167"/>
      <c r="AF495" s="167"/>
      <c r="AG495" s="167"/>
      <c r="AH495" s="167"/>
      <c r="AI495" s="167"/>
      <c r="AJ495" s="167"/>
      <c r="AK495" s="167"/>
      <c r="AL495" s="167"/>
    </row>
    <row r="496" spans="1:38" ht="15.75" customHeight="1">
      <c r="A496" s="167"/>
      <c r="B496" s="167"/>
      <c r="C496" s="167"/>
      <c r="D496" s="167"/>
      <c r="E496" s="167"/>
      <c r="F496" s="167"/>
      <c r="G496" s="167"/>
      <c r="H496" s="167"/>
      <c r="I496" s="167"/>
      <c r="J496" s="167"/>
      <c r="K496" s="167"/>
      <c r="L496" s="167"/>
      <c r="M496" s="167"/>
      <c r="N496" s="167"/>
      <c r="O496" s="167"/>
      <c r="P496" s="167"/>
      <c r="Q496" s="167"/>
      <c r="R496" s="167"/>
      <c r="S496" s="167"/>
      <c r="T496" s="167"/>
      <c r="U496" s="167"/>
      <c r="V496" s="167"/>
      <c r="W496" s="167"/>
      <c r="X496" s="167"/>
      <c r="Y496" s="167"/>
      <c r="Z496" s="167"/>
      <c r="AA496" s="167"/>
      <c r="AB496" s="167"/>
      <c r="AC496" s="167"/>
      <c r="AD496" s="167"/>
      <c r="AE496" s="167"/>
      <c r="AF496" s="167"/>
      <c r="AG496" s="167"/>
      <c r="AH496" s="167"/>
      <c r="AI496" s="167"/>
      <c r="AJ496" s="167"/>
      <c r="AK496" s="167"/>
      <c r="AL496" s="167"/>
    </row>
    <row r="497" spans="1:38" ht="15.75" customHeight="1">
      <c r="A497" s="167"/>
      <c r="B497" s="167"/>
      <c r="C497" s="167"/>
      <c r="D497" s="167"/>
      <c r="E497" s="167"/>
      <c r="F497" s="167"/>
      <c r="G497" s="167"/>
      <c r="H497" s="167"/>
      <c r="I497" s="167"/>
      <c r="J497" s="167"/>
      <c r="K497" s="167"/>
      <c r="L497" s="167"/>
      <c r="M497" s="167"/>
      <c r="N497" s="167"/>
      <c r="O497" s="167"/>
      <c r="P497" s="167"/>
      <c r="Q497" s="167"/>
      <c r="R497" s="167"/>
      <c r="S497" s="167"/>
      <c r="T497" s="167"/>
      <c r="U497" s="167"/>
      <c r="V497" s="167"/>
      <c r="W497" s="167"/>
      <c r="X497" s="167"/>
      <c r="Y497" s="167"/>
      <c r="Z497" s="167"/>
      <c r="AA497" s="167"/>
      <c r="AB497" s="167"/>
      <c r="AC497" s="167"/>
      <c r="AD497" s="167"/>
      <c r="AE497" s="167"/>
      <c r="AF497" s="167"/>
      <c r="AG497" s="167"/>
      <c r="AH497" s="167"/>
      <c r="AI497" s="167"/>
      <c r="AJ497" s="167"/>
      <c r="AK497" s="167"/>
      <c r="AL497" s="167"/>
    </row>
    <row r="498" spans="1:38" ht="15.75" customHeight="1">
      <c r="A498" s="167"/>
      <c r="B498" s="167"/>
      <c r="C498" s="167"/>
      <c r="D498" s="167"/>
      <c r="E498" s="167"/>
      <c r="F498" s="167"/>
      <c r="G498" s="167"/>
      <c r="H498" s="167"/>
      <c r="I498" s="167"/>
      <c r="J498" s="167"/>
      <c r="K498" s="167"/>
      <c r="L498" s="167"/>
      <c r="M498" s="167"/>
      <c r="N498" s="167"/>
      <c r="O498" s="167"/>
      <c r="P498" s="167"/>
      <c r="Q498" s="167"/>
      <c r="R498" s="167"/>
      <c r="S498" s="167"/>
      <c r="T498" s="167"/>
      <c r="U498" s="167"/>
      <c r="V498" s="167"/>
      <c r="W498" s="167"/>
      <c r="X498" s="167"/>
      <c r="Y498" s="167"/>
      <c r="Z498" s="167"/>
      <c r="AA498" s="167"/>
      <c r="AB498" s="167"/>
      <c r="AC498" s="167"/>
      <c r="AD498" s="167"/>
      <c r="AE498" s="167"/>
      <c r="AF498" s="167"/>
      <c r="AG498" s="167"/>
      <c r="AH498" s="167"/>
      <c r="AI498" s="167"/>
      <c r="AJ498" s="167"/>
      <c r="AK498" s="167"/>
      <c r="AL498" s="167"/>
    </row>
    <row r="499" spans="1:38" ht="15.75" customHeight="1">
      <c r="A499" s="167"/>
      <c r="B499" s="167"/>
      <c r="C499" s="167"/>
      <c r="D499" s="167"/>
      <c r="E499" s="167"/>
      <c r="F499" s="167"/>
      <c r="G499" s="167"/>
      <c r="H499" s="167"/>
      <c r="I499" s="167"/>
      <c r="J499" s="167"/>
      <c r="K499" s="167"/>
      <c r="L499" s="167"/>
      <c r="M499" s="167"/>
      <c r="N499" s="167"/>
      <c r="O499" s="167"/>
      <c r="P499" s="167"/>
      <c r="Q499" s="167"/>
      <c r="R499" s="167"/>
      <c r="S499" s="167"/>
      <c r="T499" s="167"/>
      <c r="U499" s="167"/>
      <c r="V499" s="167"/>
      <c r="W499" s="167"/>
      <c r="X499" s="167"/>
      <c r="Y499" s="167"/>
      <c r="Z499" s="167"/>
      <c r="AA499" s="167"/>
      <c r="AB499" s="167"/>
      <c r="AC499" s="167"/>
      <c r="AD499" s="167"/>
      <c r="AE499" s="167"/>
      <c r="AF499" s="167"/>
      <c r="AG499" s="167"/>
      <c r="AH499" s="167"/>
      <c r="AI499" s="167"/>
      <c r="AJ499" s="167"/>
      <c r="AK499" s="167"/>
      <c r="AL499" s="167"/>
    </row>
    <row r="500" spans="1:38" ht="15.75" customHeight="1">
      <c r="A500" s="167"/>
      <c r="B500" s="167"/>
      <c r="C500" s="167"/>
      <c r="D500" s="167"/>
      <c r="E500" s="167"/>
      <c r="F500" s="167"/>
      <c r="G500" s="167"/>
      <c r="H500" s="167"/>
      <c r="I500" s="167"/>
      <c r="J500" s="167"/>
      <c r="K500" s="167"/>
      <c r="L500" s="167"/>
      <c r="M500" s="167"/>
      <c r="N500" s="167"/>
      <c r="O500" s="167"/>
      <c r="P500" s="167"/>
      <c r="Q500" s="167"/>
      <c r="R500" s="167"/>
      <c r="S500" s="167"/>
      <c r="T500" s="167"/>
      <c r="U500" s="167"/>
      <c r="V500" s="167"/>
      <c r="W500" s="167"/>
      <c r="X500" s="167"/>
      <c r="Y500" s="167"/>
      <c r="Z500" s="167"/>
      <c r="AA500" s="167"/>
      <c r="AB500" s="167"/>
      <c r="AC500" s="167"/>
      <c r="AD500" s="167"/>
      <c r="AE500" s="167"/>
      <c r="AF500" s="167"/>
      <c r="AG500" s="167"/>
      <c r="AH500" s="167"/>
      <c r="AI500" s="167"/>
      <c r="AJ500" s="167"/>
      <c r="AK500" s="167"/>
      <c r="AL500" s="167"/>
    </row>
    <row r="501" spans="1:38" ht="15.75" customHeight="1">
      <c r="A501" s="167"/>
      <c r="B501" s="167"/>
      <c r="C501" s="167"/>
      <c r="D501" s="167"/>
      <c r="E501" s="167"/>
      <c r="F501" s="167"/>
      <c r="G501" s="167"/>
      <c r="H501" s="167"/>
      <c r="I501" s="167"/>
      <c r="J501" s="167"/>
      <c r="K501" s="167"/>
      <c r="L501" s="167"/>
      <c r="M501" s="167"/>
      <c r="N501" s="167"/>
      <c r="O501" s="167"/>
      <c r="P501" s="167"/>
      <c r="Q501" s="167"/>
      <c r="R501" s="167"/>
      <c r="S501" s="167"/>
      <c r="T501" s="167"/>
      <c r="U501" s="167"/>
      <c r="V501" s="167"/>
      <c r="W501" s="167"/>
      <c r="X501" s="167"/>
      <c r="Y501" s="167"/>
      <c r="Z501" s="167"/>
      <c r="AA501" s="167"/>
      <c r="AB501" s="167"/>
      <c r="AC501" s="167"/>
      <c r="AD501" s="167"/>
      <c r="AE501" s="167"/>
      <c r="AF501" s="167"/>
      <c r="AG501" s="167"/>
      <c r="AH501" s="167"/>
      <c r="AI501" s="167"/>
      <c r="AJ501" s="167"/>
      <c r="AK501" s="167"/>
      <c r="AL501" s="167"/>
    </row>
    <row r="502" spans="1:38" ht="15.75" customHeight="1">
      <c r="A502" s="167"/>
      <c r="B502" s="167"/>
      <c r="C502" s="167"/>
      <c r="D502" s="167"/>
      <c r="E502" s="167"/>
      <c r="F502" s="167"/>
      <c r="G502" s="167"/>
      <c r="H502" s="167"/>
      <c r="I502" s="167"/>
      <c r="J502" s="167"/>
      <c r="K502" s="167"/>
      <c r="L502" s="167"/>
      <c r="M502" s="167"/>
      <c r="N502" s="167"/>
      <c r="O502" s="167"/>
      <c r="P502" s="167"/>
      <c r="Q502" s="167"/>
      <c r="R502" s="167"/>
      <c r="S502" s="167"/>
      <c r="T502" s="167"/>
      <c r="U502" s="167"/>
      <c r="V502" s="167"/>
      <c r="W502" s="167"/>
      <c r="X502" s="167"/>
      <c r="Y502" s="167"/>
      <c r="Z502" s="167"/>
      <c r="AA502" s="167"/>
      <c r="AB502" s="167"/>
      <c r="AC502" s="167"/>
      <c r="AD502" s="167"/>
      <c r="AE502" s="167"/>
      <c r="AF502" s="167"/>
      <c r="AG502" s="167"/>
      <c r="AH502" s="167"/>
      <c r="AI502" s="167"/>
      <c r="AJ502" s="167"/>
      <c r="AK502" s="167"/>
      <c r="AL502" s="167"/>
    </row>
    <row r="503" spans="1:38" ht="15.75" customHeight="1">
      <c r="A503" s="167"/>
      <c r="B503" s="167"/>
      <c r="C503" s="167"/>
      <c r="D503" s="167"/>
      <c r="E503" s="167"/>
      <c r="F503" s="167"/>
      <c r="G503" s="167"/>
      <c r="H503" s="167"/>
      <c r="I503" s="167"/>
      <c r="J503" s="167"/>
      <c r="K503" s="167"/>
      <c r="L503" s="167"/>
      <c r="M503" s="167"/>
      <c r="N503" s="167"/>
      <c r="O503" s="167"/>
      <c r="P503" s="167"/>
      <c r="Q503" s="167"/>
      <c r="R503" s="167"/>
      <c r="S503" s="167"/>
      <c r="T503" s="167"/>
      <c r="U503" s="167"/>
      <c r="V503" s="167"/>
      <c r="W503" s="167"/>
      <c r="X503" s="167"/>
      <c r="Y503" s="167"/>
      <c r="Z503" s="167"/>
      <c r="AA503" s="167"/>
      <c r="AB503" s="167"/>
      <c r="AC503" s="167"/>
      <c r="AD503" s="167"/>
      <c r="AE503" s="167"/>
      <c r="AF503" s="167"/>
      <c r="AG503" s="167"/>
      <c r="AH503" s="167"/>
      <c r="AI503" s="167"/>
      <c r="AJ503" s="167"/>
      <c r="AK503" s="167"/>
      <c r="AL503" s="167"/>
    </row>
    <row r="504" spans="1:38" ht="15.75" customHeight="1">
      <c r="A504" s="167"/>
      <c r="B504" s="167"/>
      <c r="C504" s="167"/>
      <c r="D504" s="167"/>
      <c r="E504" s="167"/>
      <c r="F504" s="167"/>
      <c r="G504" s="167"/>
      <c r="H504" s="167"/>
      <c r="I504" s="167"/>
      <c r="J504" s="167"/>
      <c r="K504" s="167"/>
      <c r="L504" s="167"/>
      <c r="M504" s="167"/>
      <c r="N504" s="167"/>
      <c r="O504" s="167"/>
      <c r="P504" s="167"/>
      <c r="Q504" s="167"/>
      <c r="R504" s="167"/>
      <c r="S504" s="167"/>
      <c r="T504" s="167"/>
      <c r="U504" s="167"/>
      <c r="V504" s="167"/>
      <c r="W504" s="167"/>
      <c r="X504" s="167"/>
      <c r="Y504" s="167"/>
      <c r="Z504" s="167"/>
      <c r="AA504" s="167"/>
      <c r="AB504" s="167"/>
      <c r="AC504" s="167"/>
      <c r="AD504" s="167"/>
      <c r="AE504" s="167"/>
      <c r="AF504" s="167"/>
      <c r="AG504" s="167"/>
      <c r="AH504" s="167"/>
      <c r="AI504" s="167"/>
      <c r="AJ504" s="167"/>
      <c r="AK504" s="167"/>
      <c r="AL504" s="167"/>
    </row>
    <row r="505" spans="1:38" ht="15.75" customHeight="1">
      <c r="A505" s="167"/>
      <c r="B505" s="167"/>
      <c r="C505" s="167"/>
      <c r="D505" s="167"/>
      <c r="E505" s="167"/>
      <c r="F505" s="167"/>
      <c r="G505" s="167"/>
      <c r="H505" s="167"/>
      <c r="I505" s="167"/>
      <c r="J505" s="167"/>
      <c r="K505" s="167"/>
      <c r="L505" s="167"/>
      <c r="M505" s="167"/>
      <c r="N505" s="167"/>
      <c r="O505" s="167"/>
      <c r="P505" s="167"/>
      <c r="Q505" s="167"/>
      <c r="R505" s="167"/>
      <c r="S505" s="167"/>
      <c r="T505" s="167"/>
      <c r="U505" s="167"/>
      <c r="V505" s="167"/>
      <c r="W505" s="167"/>
      <c r="X505" s="167"/>
      <c r="Y505" s="167"/>
      <c r="Z505" s="167"/>
      <c r="AA505" s="167"/>
      <c r="AB505" s="167"/>
      <c r="AC505" s="167"/>
      <c r="AD505" s="167"/>
      <c r="AE505" s="167"/>
      <c r="AF505" s="167"/>
      <c r="AG505" s="167"/>
      <c r="AH505" s="167"/>
      <c r="AI505" s="167"/>
      <c r="AJ505" s="167"/>
      <c r="AK505" s="167"/>
      <c r="AL505" s="167"/>
    </row>
    <row r="506" spans="1:38" ht="15.75" customHeight="1">
      <c r="A506" s="167"/>
      <c r="B506" s="167"/>
      <c r="C506" s="167"/>
      <c r="D506" s="167"/>
      <c r="E506" s="167"/>
      <c r="F506" s="167"/>
      <c r="G506" s="167"/>
      <c r="H506" s="167"/>
      <c r="I506" s="167"/>
      <c r="J506" s="167"/>
      <c r="K506" s="167"/>
      <c r="L506" s="167"/>
      <c r="M506" s="167"/>
      <c r="N506" s="167"/>
      <c r="O506" s="167"/>
      <c r="P506" s="167"/>
      <c r="Q506" s="167"/>
      <c r="R506" s="167"/>
      <c r="S506" s="167"/>
      <c r="T506" s="167"/>
      <c r="U506" s="167"/>
      <c r="V506" s="167"/>
      <c r="W506" s="167"/>
      <c r="X506" s="167"/>
      <c r="Y506" s="167"/>
      <c r="Z506" s="167"/>
      <c r="AA506" s="167"/>
      <c r="AB506" s="167"/>
      <c r="AC506" s="167"/>
      <c r="AD506" s="167"/>
      <c r="AE506" s="167"/>
      <c r="AF506" s="167"/>
      <c r="AG506" s="167"/>
      <c r="AH506" s="167"/>
      <c r="AI506" s="167"/>
      <c r="AJ506" s="167"/>
      <c r="AK506" s="167"/>
      <c r="AL506" s="167"/>
    </row>
    <row r="507" spans="1:38" ht="15.75" customHeight="1">
      <c r="A507" s="167"/>
      <c r="B507" s="167"/>
      <c r="C507" s="167"/>
      <c r="D507" s="167"/>
      <c r="E507" s="167"/>
      <c r="F507" s="167"/>
      <c r="G507" s="167"/>
      <c r="H507" s="167"/>
      <c r="I507" s="167"/>
      <c r="J507" s="167"/>
      <c r="K507" s="167"/>
      <c r="L507" s="167"/>
      <c r="M507" s="167"/>
      <c r="N507" s="167"/>
      <c r="O507" s="167"/>
      <c r="P507" s="167"/>
      <c r="Q507" s="167"/>
      <c r="R507" s="167"/>
      <c r="S507" s="167"/>
      <c r="T507" s="167"/>
      <c r="U507" s="167"/>
      <c r="V507" s="167"/>
      <c r="W507" s="167"/>
      <c r="X507" s="167"/>
      <c r="Y507" s="167"/>
      <c r="Z507" s="167"/>
      <c r="AA507" s="167"/>
      <c r="AB507" s="167"/>
      <c r="AC507" s="167"/>
      <c r="AD507" s="167"/>
      <c r="AE507" s="167"/>
      <c r="AF507" s="167"/>
      <c r="AG507" s="167"/>
      <c r="AH507" s="167"/>
      <c r="AI507" s="167"/>
      <c r="AJ507" s="167"/>
      <c r="AK507" s="167"/>
      <c r="AL507" s="167"/>
    </row>
    <row r="508" spans="1:38" ht="15.75" customHeight="1">
      <c r="A508" s="167"/>
      <c r="B508" s="167"/>
      <c r="C508" s="167"/>
      <c r="D508" s="167"/>
      <c r="E508" s="167"/>
      <c r="F508" s="167"/>
      <c r="G508" s="167"/>
      <c r="H508" s="167"/>
      <c r="I508" s="167"/>
      <c r="J508" s="167"/>
      <c r="K508" s="167"/>
      <c r="L508" s="167"/>
      <c r="M508" s="167"/>
      <c r="N508" s="167"/>
      <c r="O508" s="167"/>
      <c r="P508" s="167"/>
      <c r="Q508" s="167"/>
      <c r="R508" s="167"/>
      <c r="S508" s="167"/>
      <c r="T508" s="167"/>
      <c r="U508" s="167"/>
      <c r="V508" s="167"/>
      <c r="W508" s="167"/>
      <c r="X508" s="167"/>
      <c r="Y508" s="167"/>
      <c r="Z508" s="167"/>
      <c r="AA508" s="167"/>
      <c r="AB508" s="167"/>
      <c r="AC508" s="167"/>
      <c r="AD508" s="167"/>
      <c r="AE508" s="167"/>
      <c r="AF508" s="167"/>
      <c r="AG508" s="167"/>
      <c r="AH508" s="167"/>
      <c r="AI508" s="167"/>
      <c r="AJ508" s="167"/>
      <c r="AK508" s="167"/>
      <c r="AL508" s="167"/>
    </row>
    <row r="509" spans="1:38" ht="15.75" customHeight="1">
      <c r="A509" s="167"/>
      <c r="B509" s="167"/>
      <c r="C509" s="167"/>
      <c r="D509" s="167"/>
      <c r="E509" s="167"/>
      <c r="F509" s="167"/>
      <c r="G509" s="167"/>
      <c r="H509" s="167"/>
      <c r="I509" s="167"/>
      <c r="J509" s="167"/>
      <c r="K509" s="167"/>
      <c r="L509" s="167"/>
      <c r="M509" s="167"/>
      <c r="N509" s="167"/>
      <c r="O509" s="167"/>
      <c r="P509" s="167"/>
      <c r="Q509" s="167"/>
      <c r="R509" s="167"/>
      <c r="S509" s="167"/>
      <c r="T509" s="167"/>
      <c r="U509" s="167"/>
      <c r="V509" s="167"/>
      <c r="W509" s="167"/>
      <c r="X509" s="167"/>
      <c r="Y509" s="167"/>
      <c r="Z509" s="167"/>
      <c r="AA509" s="167"/>
      <c r="AB509" s="167"/>
      <c r="AC509" s="167"/>
      <c r="AD509" s="167"/>
      <c r="AE509" s="167"/>
      <c r="AF509" s="167"/>
      <c r="AG509" s="167"/>
      <c r="AH509" s="167"/>
      <c r="AI509" s="167"/>
      <c r="AJ509" s="167"/>
      <c r="AK509" s="167"/>
      <c r="AL509" s="167"/>
    </row>
    <row r="510" spans="1:38" ht="15.75" customHeight="1">
      <c r="A510" s="167"/>
      <c r="B510" s="167"/>
      <c r="C510" s="167"/>
      <c r="D510" s="167"/>
      <c r="E510" s="167"/>
      <c r="F510" s="167"/>
      <c r="G510" s="167"/>
      <c r="H510" s="167"/>
      <c r="I510" s="167"/>
      <c r="J510" s="167"/>
      <c r="K510" s="167"/>
      <c r="L510" s="167"/>
      <c r="M510" s="167"/>
      <c r="N510" s="167"/>
      <c r="O510" s="167"/>
      <c r="P510" s="167"/>
      <c r="Q510" s="167"/>
      <c r="R510" s="167"/>
      <c r="S510" s="167"/>
      <c r="T510" s="167"/>
      <c r="U510" s="167"/>
      <c r="V510" s="167"/>
      <c r="W510" s="167"/>
      <c r="X510" s="167"/>
      <c r="Y510" s="167"/>
      <c r="Z510" s="167"/>
      <c r="AA510" s="167"/>
      <c r="AB510" s="167"/>
      <c r="AC510" s="167"/>
      <c r="AD510" s="167"/>
      <c r="AE510" s="167"/>
      <c r="AF510" s="167"/>
      <c r="AG510" s="167"/>
      <c r="AH510" s="167"/>
      <c r="AI510" s="167"/>
      <c r="AJ510" s="167"/>
      <c r="AK510" s="167"/>
      <c r="AL510" s="167"/>
    </row>
    <row r="511" spans="1:38" ht="15.75" customHeight="1">
      <c r="A511" s="167"/>
      <c r="B511" s="167"/>
      <c r="C511" s="167"/>
      <c r="D511" s="167"/>
      <c r="E511" s="167"/>
      <c r="F511" s="167"/>
      <c r="G511" s="167"/>
      <c r="H511" s="167"/>
      <c r="I511" s="167"/>
      <c r="J511" s="167"/>
      <c r="K511" s="167"/>
      <c r="L511" s="167"/>
      <c r="M511" s="167"/>
      <c r="N511" s="167"/>
      <c r="O511" s="167"/>
      <c r="P511" s="167"/>
      <c r="Q511" s="167"/>
      <c r="R511" s="167"/>
      <c r="S511" s="167"/>
      <c r="T511" s="167"/>
      <c r="U511" s="167"/>
      <c r="V511" s="167"/>
      <c r="W511" s="167"/>
      <c r="X511" s="167"/>
      <c r="Y511" s="167"/>
      <c r="Z511" s="167"/>
      <c r="AA511" s="167"/>
      <c r="AB511" s="167"/>
      <c r="AC511" s="167"/>
      <c r="AD511" s="167"/>
      <c r="AE511" s="167"/>
      <c r="AF511" s="167"/>
      <c r="AG511" s="167"/>
      <c r="AH511" s="167"/>
      <c r="AI511" s="167"/>
      <c r="AJ511" s="167"/>
      <c r="AK511" s="167"/>
      <c r="AL511" s="167"/>
    </row>
    <row r="512" spans="1:38" ht="15.75" customHeight="1">
      <c r="A512" s="167"/>
      <c r="B512" s="167"/>
      <c r="C512" s="167"/>
      <c r="D512" s="167"/>
      <c r="E512" s="167"/>
      <c r="F512" s="167"/>
      <c r="G512" s="167"/>
      <c r="H512" s="167"/>
      <c r="I512" s="167"/>
      <c r="J512" s="167"/>
      <c r="K512" s="167"/>
      <c r="L512" s="167"/>
      <c r="M512" s="167"/>
      <c r="N512" s="167"/>
      <c r="O512" s="167"/>
      <c r="P512" s="167"/>
      <c r="Q512" s="167"/>
      <c r="R512" s="167"/>
      <c r="S512" s="167"/>
      <c r="T512" s="167"/>
      <c r="U512" s="167"/>
      <c r="V512" s="167"/>
      <c r="W512" s="167"/>
      <c r="X512" s="167"/>
      <c r="Y512" s="167"/>
      <c r="Z512" s="167"/>
      <c r="AA512" s="167"/>
      <c r="AB512" s="167"/>
      <c r="AC512" s="167"/>
      <c r="AD512" s="167"/>
      <c r="AE512" s="167"/>
      <c r="AF512" s="167"/>
      <c r="AG512" s="167"/>
      <c r="AH512" s="167"/>
      <c r="AI512" s="167"/>
      <c r="AJ512" s="167"/>
      <c r="AK512" s="167"/>
      <c r="AL512" s="167"/>
    </row>
    <row r="513" spans="1:38" ht="15.75" customHeight="1">
      <c r="A513" s="167"/>
      <c r="B513" s="167"/>
      <c r="C513" s="167"/>
      <c r="D513" s="167"/>
      <c r="E513" s="167"/>
      <c r="F513" s="167"/>
      <c r="G513" s="167"/>
      <c r="H513" s="167"/>
      <c r="I513" s="167"/>
      <c r="J513" s="167"/>
      <c r="K513" s="167"/>
      <c r="L513" s="167"/>
      <c r="M513" s="167"/>
      <c r="N513" s="167"/>
      <c r="O513" s="167"/>
      <c r="P513" s="167"/>
      <c r="Q513" s="167"/>
      <c r="R513" s="167"/>
      <c r="S513" s="167"/>
      <c r="T513" s="167"/>
      <c r="U513" s="167"/>
      <c r="V513" s="167"/>
      <c r="W513" s="167"/>
      <c r="X513" s="167"/>
      <c r="Y513" s="167"/>
      <c r="Z513" s="167"/>
      <c r="AA513" s="167"/>
      <c r="AB513" s="167"/>
      <c r="AC513" s="167"/>
      <c r="AD513" s="167"/>
      <c r="AE513" s="167"/>
      <c r="AF513" s="167"/>
      <c r="AG513" s="167"/>
      <c r="AH513" s="167"/>
      <c r="AI513" s="167"/>
      <c r="AJ513" s="167"/>
      <c r="AK513" s="167"/>
      <c r="AL513" s="167"/>
    </row>
    <row r="514" spans="1:38" ht="15.75" customHeight="1">
      <c r="A514" s="167"/>
      <c r="B514" s="167"/>
      <c r="C514" s="167"/>
      <c r="D514" s="167"/>
      <c r="E514" s="167"/>
      <c r="F514" s="167"/>
      <c r="G514" s="167"/>
      <c r="H514" s="167"/>
      <c r="I514" s="167"/>
      <c r="J514" s="167"/>
      <c r="K514" s="167"/>
      <c r="L514" s="167"/>
      <c r="M514" s="167"/>
      <c r="N514" s="167"/>
      <c r="O514" s="167"/>
      <c r="P514" s="167"/>
      <c r="Q514" s="167"/>
      <c r="R514" s="167"/>
      <c r="S514" s="167"/>
      <c r="T514" s="167"/>
      <c r="U514" s="167"/>
      <c r="V514" s="167"/>
      <c r="W514" s="167"/>
      <c r="X514" s="167"/>
      <c r="Y514" s="167"/>
      <c r="Z514" s="167"/>
      <c r="AA514" s="167"/>
      <c r="AB514" s="167"/>
      <c r="AC514" s="167"/>
      <c r="AD514" s="167"/>
      <c r="AE514" s="167"/>
      <c r="AF514" s="167"/>
      <c r="AG514" s="167"/>
      <c r="AH514" s="167"/>
      <c r="AI514" s="167"/>
      <c r="AJ514" s="167"/>
      <c r="AK514" s="167"/>
      <c r="AL514" s="167"/>
    </row>
    <row r="515" spans="1:38" ht="15.75" customHeight="1">
      <c r="A515" s="167"/>
      <c r="B515" s="167"/>
      <c r="C515" s="167"/>
      <c r="D515" s="167"/>
      <c r="E515" s="167"/>
      <c r="F515" s="167"/>
      <c r="G515" s="167"/>
      <c r="H515" s="167"/>
      <c r="I515" s="167"/>
      <c r="J515" s="167"/>
      <c r="K515" s="167"/>
      <c r="L515" s="167"/>
      <c r="M515" s="167"/>
      <c r="N515" s="167"/>
      <c r="O515" s="167"/>
      <c r="P515" s="167"/>
      <c r="Q515" s="167"/>
      <c r="R515" s="167"/>
      <c r="S515" s="167"/>
      <c r="T515" s="167"/>
      <c r="U515" s="167"/>
      <c r="V515" s="167"/>
      <c r="W515" s="167"/>
      <c r="X515" s="167"/>
      <c r="Y515" s="167"/>
      <c r="Z515" s="167"/>
      <c r="AA515" s="167"/>
      <c r="AB515" s="167"/>
      <c r="AC515" s="167"/>
      <c r="AD515" s="167"/>
      <c r="AE515" s="167"/>
      <c r="AF515" s="167"/>
      <c r="AG515" s="167"/>
      <c r="AH515" s="167"/>
      <c r="AI515" s="167"/>
      <c r="AJ515" s="167"/>
      <c r="AK515" s="167"/>
      <c r="AL515" s="167"/>
    </row>
    <row r="516" spans="1:38" ht="15.75" customHeight="1">
      <c r="A516" s="167"/>
      <c r="B516" s="167"/>
      <c r="C516" s="167"/>
      <c r="D516" s="167"/>
      <c r="E516" s="167"/>
      <c r="F516" s="167"/>
      <c r="G516" s="167"/>
      <c r="H516" s="167"/>
      <c r="I516" s="167"/>
      <c r="J516" s="167"/>
      <c r="K516" s="167"/>
      <c r="L516" s="167"/>
      <c r="M516" s="167"/>
      <c r="N516" s="167"/>
      <c r="O516" s="167"/>
      <c r="P516" s="167"/>
      <c r="Q516" s="167"/>
      <c r="R516" s="167"/>
      <c r="S516" s="167"/>
      <c r="T516" s="167"/>
      <c r="U516" s="167"/>
      <c r="V516" s="167"/>
      <c r="W516" s="167"/>
      <c r="X516" s="167"/>
      <c r="Y516" s="167"/>
      <c r="Z516" s="167"/>
      <c r="AA516" s="167"/>
      <c r="AB516" s="167"/>
      <c r="AC516" s="167"/>
      <c r="AD516" s="167"/>
      <c r="AE516" s="167"/>
      <c r="AF516" s="167"/>
      <c r="AG516" s="167"/>
      <c r="AH516" s="167"/>
      <c r="AI516" s="167"/>
      <c r="AJ516" s="167"/>
      <c r="AK516" s="167"/>
      <c r="AL516" s="167"/>
    </row>
    <row r="517" spans="1:38" ht="15.75" customHeight="1">
      <c r="A517" s="167"/>
      <c r="B517" s="167"/>
      <c r="C517" s="167"/>
      <c r="D517" s="167"/>
      <c r="E517" s="167"/>
      <c r="F517" s="167"/>
      <c r="G517" s="167"/>
      <c r="H517" s="167"/>
      <c r="I517" s="167"/>
      <c r="J517" s="167"/>
      <c r="K517" s="167"/>
      <c r="L517" s="167"/>
      <c r="M517" s="167"/>
      <c r="N517" s="167"/>
      <c r="O517" s="167"/>
      <c r="P517" s="167"/>
      <c r="Q517" s="167"/>
      <c r="R517" s="167"/>
      <c r="S517" s="167"/>
      <c r="T517" s="167"/>
      <c r="U517" s="167"/>
      <c r="V517" s="167"/>
      <c r="W517" s="167"/>
      <c r="X517" s="167"/>
      <c r="Y517" s="167"/>
      <c r="Z517" s="167"/>
      <c r="AA517" s="167"/>
      <c r="AB517" s="167"/>
      <c r="AC517" s="167"/>
      <c r="AD517" s="167"/>
      <c r="AE517" s="167"/>
      <c r="AF517" s="167"/>
      <c r="AG517" s="167"/>
      <c r="AH517" s="167"/>
      <c r="AI517" s="167"/>
      <c r="AJ517" s="167"/>
      <c r="AK517" s="167"/>
      <c r="AL517" s="167"/>
    </row>
    <row r="518" spans="1:38" ht="15.75" customHeight="1">
      <c r="A518" s="167"/>
      <c r="B518" s="167"/>
      <c r="C518" s="167"/>
      <c r="D518" s="167"/>
      <c r="E518" s="167"/>
      <c r="F518" s="167"/>
      <c r="G518" s="167"/>
      <c r="H518" s="167"/>
      <c r="I518" s="167"/>
      <c r="J518" s="167"/>
      <c r="K518" s="167"/>
      <c r="L518" s="167"/>
      <c r="M518" s="167"/>
      <c r="N518" s="167"/>
      <c r="O518" s="167"/>
      <c r="P518" s="167"/>
      <c r="Q518" s="167"/>
      <c r="R518" s="167"/>
      <c r="S518" s="167"/>
      <c r="T518" s="167"/>
      <c r="U518" s="167"/>
      <c r="V518" s="167"/>
      <c r="W518" s="167"/>
      <c r="X518" s="167"/>
      <c r="Y518" s="167"/>
      <c r="Z518" s="167"/>
      <c r="AA518" s="167"/>
      <c r="AB518" s="167"/>
      <c r="AC518" s="167"/>
      <c r="AD518" s="167"/>
      <c r="AE518" s="167"/>
      <c r="AF518" s="167"/>
      <c r="AG518" s="167"/>
      <c r="AH518" s="167"/>
      <c r="AI518" s="167"/>
      <c r="AJ518" s="167"/>
      <c r="AK518" s="167"/>
      <c r="AL518" s="167"/>
    </row>
    <row r="519" spans="1:38" ht="15.75" customHeight="1">
      <c r="A519" s="167"/>
      <c r="B519" s="167"/>
      <c r="C519" s="167"/>
      <c r="D519" s="167"/>
      <c r="E519" s="167"/>
      <c r="F519" s="167"/>
      <c r="G519" s="167"/>
      <c r="H519" s="167"/>
      <c r="I519" s="167"/>
      <c r="J519" s="167"/>
      <c r="K519" s="167"/>
      <c r="L519" s="167"/>
      <c r="M519" s="167"/>
      <c r="N519" s="167"/>
      <c r="O519" s="167"/>
      <c r="P519" s="167"/>
      <c r="Q519" s="167"/>
      <c r="R519" s="167"/>
      <c r="S519" s="167"/>
      <c r="T519" s="167"/>
      <c r="U519" s="167"/>
      <c r="V519" s="167"/>
      <c r="W519" s="167"/>
      <c r="X519" s="167"/>
      <c r="Y519" s="167"/>
      <c r="Z519" s="167"/>
      <c r="AA519" s="167"/>
      <c r="AB519" s="167"/>
      <c r="AC519" s="167"/>
      <c r="AD519" s="167"/>
      <c r="AE519" s="167"/>
      <c r="AF519" s="167"/>
      <c r="AG519" s="167"/>
      <c r="AH519" s="167"/>
      <c r="AI519" s="167"/>
      <c r="AJ519" s="167"/>
      <c r="AK519" s="167"/>
      <c r="AL519" s="167"/>
    </row>
    <row r="520" spans="1:38" ht="15.75" customHeight="1">
      <c r="A520" s="167"/>
      <c r="B520" s="167"/>
      <c r="C520" s="167"/>
      <c r="D520" s="167"/>
      <c r="E520" s="167"/>
      <c r="F520" s="167"/>
      <c r="G520" s="167"/>
      <c r="H520" s="167"/>
      <c r="I520" s="167"/>
      <c r="J520" s="167"/>
      <c r="K520" s="167"/>
      <c r="L520" s="167"/>
      <c r="M520" s="167"/>
      <c r="N520" s="167"/>
      <c r="O520" s="167"/>
      <c r="P520" s="167"/>
      <c r="Q520" s="167"/>
      <c r="R520" s="167"/>
      <c r="S520" s="167"/>
      <c r="T520" s="167"/>
      <c r="U520" s="167"/>
      <c r="V520" s="167"/>
      <c r="W520" s="167"/>
      <c r="X520" s="167"/>
      <c r="Y520" s="167"/>
      <c r="Z520" s="167"/>
      <c r="AA520" s="167"/>
      <c r="AB520" s="167"/>
      <c r="AC520" s="167"/>
      <c r="AD520" s="167"/>
      <c r="AE520" s="167"/>
      <c r="AF520" s="167"/>
      <c r="AG520" s="167"/>
      <c r="AH520" s="167"/>
      <c r="AI520" s="167"/>
      <c r="AJ520" s="167"/>
      <c r="AK520" s="167"/>
      <c r="AL520" s="167"/>
    </row>
    <row r="521" spans="1:38" ht="15.75" customHeight="1">
      <c r="A521" s="167"/>
      <c r="B521" s="167"/>
      <c r="C521" s="167"/>
      <c r="D521" s="167"/>
      <c r="E521" s="167"/>
      <c r="F521" s="167"/>
      <c r="G521" s="167"/>
      <c r="H521" s="167"/>
      <c r="I521" s="167"/>
      <c r="J521" s="167"/>
      <c r="K521" s="167"/>
      <c r="L521" s="167"/>
      <c r="M521" s="167"/>
      <c r="N521" s="167"/>
      <c r="O521" s="167"/>
      <c r="P521" s="167"/>
      <c r="Q521" s="167"/>
      <c r="R521" s="167"/>
      <c r="S521" s="167"/>
      <c r="T521" s="167"/>
      <c r="U521" s="167"/>
      <c r="V521" s="167"/>
      <c r="W521" s="167"/>
      <c r="X521" s="167"/>
      <c r="Y521" s="167"/>
      <c r="Z521" s="167"/>
      <c r="AA521" s="167"/>
      <c r="AB521" s="167"/>
      <c r="AC521" s="167"/>
      <c r="AD521" s="167"/>
      <c r="AE521" s="167"/>
      <c r="AF521" s="167"/>
      <c r="AG521" s="167"/>
      <c r="AH521" s="167"/>
      <c r="AI521" s="167"/>
      <c r="AJ521" s="167"/>
      <c r="AK521" s="167"/>
      <c r="AL521" s="167"/>
    </row>
    <row r="522" spans="1:38" ht="15.75" customHeight="1">
      <c r="A522" s="167"/>
      <c r="B522" s="167"/>
      <c r="C522" s="167"/>
      <c r="D522" s="167"/>
      <c r="E522" s="167"/>
      <c r="F522" s="167"/>
      <c r="G522" s="167"/>
      <c r="H522" s="167"/>
      <c r="I522" s="167"/>
      <c r="J522" s="167"/>
      <c r="K522" s="167"/>
      <c r="L522" s="167"/>
      <c r="M522" s="167"/>
      <c r="N522" s="167"/>
      <c r="O522" s="167"/>
      <c r="P522" s="167"/>
      <c r="Q522" s="167"/>
      <c r="R522" s="167"/>
      <c r="S522" s="167"/>
      <c r="T522" s="167"/>
      <c r="U522" s="167"/>
      <c r="V522" s="167"/>
      <c r="W522" s="167"/>
      <c r="X522" s="167"/>
      <c r="Y522" s="167"/>
      <c r="Z522" s="167"/>
      <c r="AA522" s="167"/>
      <c r="AB522" s="167"/>
      <c r="AC522" s="167"/>
      <c r="AD522" s="167"/>
      <c r="AE522" s="167"/>
      <c r="AF522" s="167"/>
      <c r="AG522" s="167"/>
      <c r="AH522" s="167"/>
      <c r="AI522" s="167"/>
      <c r="AJ522" s="167"/>
      <c r="AK522" s="167"/>
      <c r="AL522" s="167"/>
    </row>
    <row r="523" spans="1:38" ht="15.75" customHeight="1">
      <c r="A523" s="167"/>
      <c r="B523" s="167"/>
      <c r="C523" s="167"/>
      <c r="D523" s="167"/>
      <c r="E523" s="167"/>
      <c r="F523" s="167"/>
      <c r="G523" s="167"/>
      <c r="H523" s="167"/>
      <c r="I523" s="167"/>
      <c r="J523" s="167"/>
      <c r="K523" s="167"/>
      <c r="L523" s="167"/>
      <c r="M523" s="167"/>
      <c r="N523" s="167"/>
      <c r="O523" s="167"/>
      <c r="P523" s="167"/>
      <c r="Q523" s="167"/>
      <c r="R523" s="167"/>
      <c r="S523" s="167"/>
      <c r="T523" s="167"/>
      <c r="U523" s="167"/>
      <c r="V523" s="167"/>
      <c r="W523" s="167"/>
      <c r="X523" s="167"/>
      <c r="Y523" s="167"/>
      <c r="Z523" s="167"/>
      <c r="AA523" s="167"/>
      <c r="AB523" s="167"/>
      <c r="AC523" s="167"/>
      <c r="AD523" s="167"/>
      <c r="AE523" s="167"/>
      <c r="AF523" s="167"/>
      <c r="AG523" s="167"/>
      <c r="AH523" s="167"/>
      <c r="AI523" s="167"/>
      <c r="AJ523" s="167"/>
      <c r="AK523" s="167"/>
      <c r="AL523" s="167"/>
    </row>
    <row r="524" spans="1:38" ht="15.75" customHeight="1">
      <c r="A524" s="167"/>
      <c r="B524" s="167"/>
      <c r="C524" s="167"/>
      <c r="D524" s="167"/>
      <c r="E524" s="167"/>
      <c r="F524" s="167"/>
      <c r="G524" s="167"/>
      <c r="H524" s="167"/>
      <c r="I524" s="167"/>
      <c r="J524" s="167"/>
      <c r="K524" s="167"/>
      <c r="L524" s="167"/>
      <c r="M524" s="167"/>
      <c r="N524" s="167"/>
      <c r="O524" s="167"/>
      <c r="P524" s="167"/>
      <c r="Q524" s="167"/>
      <c r="R524" s="167"/>
      <c r="S524" s="167"/>
      <c r="T524" s="167"/>
      <c r="U524" s="167"/>
      <c r="V524" s="167"/>
      <c r="W524" s="167"/>
      <c r="X524" s="167"/>
      <c r="Y524" s="167"/>
      <c r="Z524" s="167"/>
      <c r="AA524" s="167"/>
      <c r="AB524" s="167"/>
      <c r="AC524" s="167"/>
      <c r="AD524" s="167"/>
      <c r="AE524" s="167"/>
      <c r="AF524" s="167"/>
      <c r="AG524" s="167"/>
      <c r="AH524" s="167"/>
      <c r="AI524" s="167"/>
      <c r="AJ524" s="167"/>
      <c r="AK524" s="167"/>
      <c r="AL524" s="167"/>
    </row>
    <row r="525" spans="1:38" ht="15.75" customHeight="1">
      <c r="A525" s="167"/>
      <c r="B525" s="167"/>
      <c r="C525" s="167"/>
      <c r="D525" s="167"/>
      <c r="E525" s="167"/>
      <c r="F525" s="167"/>
      <c r="G525" s="167"/>
      <c r="H525" s="167"/>
      <c r="I525" s="167"/>
      <c r="J525" s="167"/>
      <c r="K525" s="167"/>
      <c r="L525" s="167"/>
      <c r="M525" s="167"/>
      <c r="N525" s="167"/>
      <c r="O525" s="167"/>
      <c r="P525" s="167"/>
      <c r="Q525" s="167"/>
      <c r="R525" s="167"/>
      <c r="S525" s="167"/>
      <c r="T525" s="167"/>
      <c r="U525" s="167"/>
      <c r="V525" s="167"/>
      <c r="W525" s="167"/>
      <c r="X525" s="167"/>
      <c r="Y525" s="167"/>
      <c r="Z525" s="167"/>
      <c r="AA525" s="167"/>
      <c r="AB525" s="167"/>
      <c r="AC525" s="167"/>
      <c r="AD525" s="167"/>
      <c r="AE525" s="167"/>
      <c r="AF525" s="167"/>
      <c r="AG525" s="167"/>
      <c r="AH525" s="167"/>
      <c r="AI525" s="167"/>
      <c r="AJ525" s="167"/>
      <c r="AK525" s="167"/>
      <c r="AL525" s="167"/>
    </row>
    <row r="526" spans="1:38" ht="15.75" customHeight="1">
      <c r="A526" s="167"/>
      <c r="B526" s="167"/>
      <c r="C526" s="167"/>
      <c r="D526" s="167"/>
      <c r="E526" s="167"/>
      <c r="F526" s="167"/>
      <c r="G526" s="167"/>
      <c r="H526" s="167"/>
      <c r="I526" s="167"/>
      <c r="J526" s="167"/>
      <c r="K526" s="167"/>
      <c r="L526" s="167"/>
      <c r="M526" s="167"/>
      <c r="N526" s="167"/>
      <c r="O526" s="167"/>
      <c r="P526" s="167"/>
      <c r="Q526" s="167"/>
      <c r="R526" s="167"/>
      <c r="S526" s="167"/>
      <c r="T526" s="167"/>
      <c r="U526" s="167"/>
      <c r="V526" s="167"/>
      <c r="W526" s="167"/>
      <c r="X526" s="167"/>
      <c r="Y526" s="167"/>
      <c r="Z526" s="167"/>
      <c r="AA526" s="167"/>
      <c r="AB526" s="167"/>
      <c r="AC526" s="167"/>
      <c r="AD526" s="167"/>
      <c r="AE526" s="167"/>
      <c r="AF526" s="167"/>
      <c r="AG526" s="167"/>
      <c r="AH526" s="167"/>
      <c r="AI526" s="167"/>
      <c r="AJ526" s="167"/>
      <c r="AK526" s="167"/>
      <c r="AL526" s="167"/>
    </row>
    <row r="527" spans="1:38" ht="15.75" customHeight="1">
      <c r="A527" s="167"/>
      <c r="B527" s="167"/>
      <c r="C527" s="167"/>
      <c r="D527" s="167"/>
      <c r="E527" s="167"/>
      <c r="F527" s="167"/>
      <c r="G527" s="167"/>
      <c r="H527" s="167"/>
      <c r="I527" s="167"/>
      <c r="J527" s="167"/>
      <c r="K527" s="167"/>
      <c r="L527" s="167"/>
      <c r="M527" s="167"/>
      <c r="N527" s="167"/>
      <c r="O527" s="167"/>
      <c r="P527" s="167"/>
      <c r="Q527" s="167"/>
      <c r="R527" s="167"/>
      <c r="S527" s="167"/>
      <c r="T527" s="167"/>
      <c r="U527" s="167"/>
      <c r="V527" s="167"/>
      <c r="W527" s="167"/>
      <c r="X527" s="167"/>
      <c r="Y527" s="167"/>
      <c r="Z527" s="167"/>
      <c r="AA527" s="167"/>
      <c r="AB527" s="167"/>
      <c r="AC527" s="167"/>
      <c r="AD527" s="167"/>
      <c r="AE527" s="167"/>
      <c r="AF527" s="167"/>
      <c r="AG527" s="167"/>
      <c r="AH527" s="167"/>
      <c r="AI527" s="167"/>
      <c r="AJ527" s="167"/>
      <c r="AK527" s="167"/>
      <c r="AL527" s="167"/>
    </row>
    <row r="528" spans="1:38" ht="15.75" customHeight="1">
      <c r="A528" s="167"/>
      <c r="B528" s="167"/>
      <c r="C528" s="167"/>
      <c r="D528" s="167"/>
      <c r="E528" s="167"/>
      <c r="F528" s="167"/>
      <c r="G528" s="167"/>
      <c r="H528" s="167"/>
      <c r="I528" s="167"/>
      <c r="J528" s="167"/>
      <c r="K528" s="167"/>
      <c r="L528" s="167"/>
      <c r="M528" s="167"/>
      <c r="N528" s="167"/>
      <c r="O528" s="167"/>
      <c r="P528" s="167"/>
      <c r="Q528" s="167"/>
      <c r="R528" s="167"/>
      <c r="S528" s="167"/>
      <c r="T528" s="167"/>
      <c r="U528" s="167"/>
      <c r="V528" s="167"/>
      <c r="W528" s="167"/>
      <c r="X528" s="167"/>
      <c r="Y528" s="167"/>
      <c r="Z528" s="167"/>
      <c r="AA528" s="167"/>
      <c r="AB528" s="167"/>
      <c r="AC528" s="167"/>
      <c r="AD528" s="167"/>
      <c r="AE528" s="167"/>
      <c r="AF528" s="167"/>
      <c r="AG528" s="167"/>
      <c r="AH528" s="167"/>
      <c r="AI528" s="167"/>
      <c r="AJ528" s="167"/>
      <c r="AK528" s="167"/>
      <c r="AL528" s="167"/>
    </row>
    <row r="529" spans="1:38" ht="15.75" customHeight="1">
      <c r="A529" s="167"/>
      <c r="B529" s="167"/>
      <c r="C529" s="167"/>
      <c r="D529" s="167"/>
      <c r="E529" s="167"/>
      <c r="F529" s="167"/>
      <c r="G529" s="167"/>
      <c r="H529" s="167"/>
      <c r="I529" s="167"/>
      <c r="J529" s="167"/>
      <c r="K529" s="167"/>
      <c r="L529" s="167"/>
      <c r="M529" s="167"/>
      <c r="N529" s="167"/>
      <c r="O529" s="167"/>
      <c r="P529" s="167"/>
      <c r="Q529" s="167"/>
      <c r="R529" s="167"/>
      <c r="S529" s="167"/>
      <c r="T529" s="167"/>
      <c r="U529" s="167"/>
      <c r="V529" s="167"/>
      <c r="W529" s="167"/>
      <c r="X529" s="167"/>
      <c r="Y529" s="167"/>
      <c r="Z529" s="167"/>
      <c r="AA529" s="167"/>
      <c r="AB529" s="167"/>
      <c r="AC529" s="167"/>
      <c r="AD529" s="167"/>
      <c r="AE529" s="167"/>
      <c r="AF529" s="167"/>
      <c r="AG529" s="167"/>
      <c r="AH529" s="167"/>
      <c r="AI529" s="167"/>
      <c r="AJ529" s="167"/>
      <c r="AK529" s="167"/>
      <c r="AL529" s="167"/>
    </row>
    <row r="530" spans="1:38" ht="15.75" customHeight="1">
      <c r="A530" s="167"/>
      <c r="B530" s="167"/>
      <c r="C530" s="167"/>
      <c r="D530" s="167"/>
      <c r="E530" s="167"/>
      <c r="F530" s="167"/>
      <c r="G530" s="167"/>
      <c r="H530" s="167"/>
      <c r="I530" s="167"/>
      <c r="J530" s="167"/>
      <c r="K530" s="167"/>
      <c r="L530" s="167"/>
      <c r="M530" s="167"/>
      <c r="N530" s="167"/>
      <c r="O530" s="167"/>
      <c r="P530" s="167"/>
      <c r="Q530" s="167"/>
      <c r="R530" s="167"/>
      <c r="S530" s="167"/>
      <c r="T530" s="167"/>
      <c r="U530" s="167"/>
      <c r="V530" s="167"/>
      <c r="W530" s="167"/>
      <c r="X530" s="167"/>
      <c r="Y530" s="167"/>
      <c r="Z530" s="167"/>
      <c r="AA530" s="167"/>
      <c r="AB530" s="167"/>
      <c r="AC530" s="167"/>
      <c r="AD530" s="167"/>
      <c r="AE530" s="167"/>
      <c r="AF530" s="167"/>
      <c r="AG530" s="167"/>
      <c r="AH530" s="167"/>
      <c r="AI530" s="167"/>
      <c r="AJ530" s="167"/>
      <c r="AK530" s="167"/>
      <c r="AL530" s="167"/>
    </row>
    <row r="531" spans="1:38" ht="15.75" customHeight="1">
      <c r="A531" s="167"/>
      <c r="B531" s="167"/>
      <c r="C531" s="167"/>
      <c r="D531" s="167"/>
      <c r="E531" s="167"/>
      <c r="F531" s="167"/>
      <c r="G531" s="167"/>
      <c r="H531" s="167"/>
      <c r="I531" s="167"/>
      <c r="J531" s="167"/>
      <c r="K531" s="167"/>
      <c r="L531" s="167"/>
      <c r="M531" s="167"/>
      <c r="N531" s="167"/>
      <c r="O531" s="167"/>
      <c r="P531" s="167"/>
      <c r="Q531" s="167"/>
      <c r="R531" s="167"/>
      <c r="S531" s="167"/>
      <c r="T531" s="167"/>
      <c r="U531" s="167"/>
      <c r="V531" s="167"/>
      <c r="W531" s="167"/>
      <c r="X531" s="167"/>
      <c r="Y531" s="167"/>
      <c r="Z531" s="167"/>
      <c r="AA531" s="167"/>
      <c r="AB531" s="167"/>
      <c r="AC531" s="167"/>
      <c r="AD531" s="167"/>
      <c r="AE531" s="167"/>
      <c r="AF531" s="167"/>
      <c r="AG531" s="167"/>
      <c r="AH531" s="167"/>
      <c r="AI531" s="167"/>
      <c r="AJ531" s="167"/>
      <c r="AK531" s="167"/>
      <c r="AL531" s="167"/>
    </row>
    <row r="532" spans="1:38" ht="15.75" customHeight="1">
      <c r="A532" s="167"/>
      <c r="B532" s="167"/>
      <c r="C532" s="167"/>
      <c r="D532" s="167"/>
      <c r="E532" s="167"/>
      <c r="F532" s="167"/>
      <c r="G532" s="167"/>
      <c r="H532" s="167"/>
      <c r="I532" s="167"/>
      <c r="J532" s="167"/>
      <c r="K532" s="167"/>
      <c r="L532" s="167"/>
      <c r="M532" s="167"/>
      <c r="N532" s="167"/>
      <c r="O532" s="167"/>
      <c r="P532" s="167"/>
      <c r="Q532" s="167"/>
      <c r="R532" s="167"/>
      <c r="S532" s="167"/>
      <c r="T532" s="167"/>
      <c r="U532" s="167"/>
      <c r="V532" s="167"/>
      <c r="W532" s="167"/>
      <c r="X532" s="167"/>
      <c r="Y532" s="167"/>
      <c r="Z532" s="167"/>
      <c r="AA532" s="167"/>
      <c r="AB532" s="167"/>
      <c r="AC532" s="167"/>
      <c r="AD532" s="167"/>
      <c r="AE532" s="167"/>
      <c r="AF532" s="167"/>
      <c r="AG532" s="167"/>
      <c r="AH532" s="167"/>
      <c r="AI532" s="167"/>
      <c r="AJ532" s="167"/>
      <c r="AK532" s="167"/>
      <c r="AL532" s="167"/>
    </row>
    <row r="533" spans="1:38" ht="15.75" customHeight="1">
      <c r="A533" s="167"/>
      <c r="B533" s="167"/>
      <c r="C533" s="167"/>
      <c r="D533" s="167"/>
      <c r="E533" s="167"/>
      <c r="F533" s="167"/>
      <c r="G533" s="167"/>
      <c r="H533" s="167"/>
      <c r="I533" s="167"/>
      <c r="J533" s="167"/>
      <c r="K533" s="167"/>
      <c r="L533" s="167"/>
      <c r="M533" s="167"/>
      <c r="N533" s="167"/>
      <c r="O533" s="167"/>
      <c r="P533" s="167"/>
      <c r="Q533" s="167"/>
      <c r="R533" s="167"/>
      <c r="S533" s="167"/>
      <c r="T533" s="167"/>
      <c r="U533" s="167"/>
      <c r="V533" s="167"/>
      <c r="W533" s="167"/>
      <c r="X533" s="167"/>
      <c r="Y533" s="167"/>
      <c r="Z533" s="167"/>
      <c r="AA533" s="167"/>
      <c r="AB533" s="167"/>
      <c r="AC533" s="167"/>
      <c r="AD533" s="167"/>
      <c r="AE533" s="167"/>
      <c r="AF533" s="167"/>
      <c r="AG533" s="167"/>
      <c r="AH533" s="167"/>
      <c r="AI533" s="167"/>
      <c r="AJ533" s="167"/>
      <c r="AK533" s="167"/>
      <c r="AL533" s="167"/>
    </row>
    <row r="534" spans="1:38" ht="15.75" customHeight="1">
      <c r="A534" s="167"/>
      <c r="B534" s="167"/>
      <c r="C534" s="167"/>
      <c r="D534" s="167"/>
      <c r="E534" s="167"/>
      <c r="F534" s="167"/>
      <c r="G534" s="167"/>
      <c r="H534" s="167"/>
      <c r="I534" s="167"/>
      <c r="J534" s="167"/>
      <c r="K534" s="167"/>
      <c r="L534" s="167"/>
      <c r="M534" s="167"/>
      <c r="N534" s="167"/>
      <c r="O534" s="167"/>
      <c r="P534" s="167"/>
      <c r="Q534" s="167"/>
      <c r="R534" s="167"/>
      <c r="S534" s="167"/>
      <c r="T534" s="167"/>
      <c r="U534" s="167"/>
      <c r="V534" s="167"/>
      <c r="W534" s="167"/>
      <c r="X534" s="167"/>
      <c r="Y534" s="167"/>
      <c r="Z534" s="167"/>
      <c r="AA534" s="167"/>
      <c r="AB534" s="167"/>
      <c r="AC534" s="167"/>
      <c r="AD534" s="167"/>
      <c r="AE534" s="167"/>
      <c r="AF534" s="167"/>
      <c r="AG534" s="167"/>
      <c r="AH534" s="167"/>
      <c r="AI534" s="167"/>
      <c r="AJ534" s="167"/>
      <c r="AK534" s="167"/>
      <c r="AL534" s="167"/>
    </row>
    <row r="535" spans="1:38" ht="15.75" customHeight="1">
      <c r="A535" s="167"/>
      <c r="B535" s="167"/>
      <c r="C535" s="167"/>
      <c r="D535" s="167"/>
      <c r="E535" s="167"/>
      <c r="F535" s="167"/>
      <c r="G535" s="167"/>
      <c r="H535" s="167"/>
      <c r="I535" s="167"/>
      <c r="J535" s="167"/>
      <c r="K535" s="167"/>
      <c r="L535" s="167"/>
      <c r="M535" s="167"/>
      <c r="N535" s="167"/>
      <c r="O535" s="167"/>
      <c r="P535" s="167"/>
      <c r="Q535" s="167"/>
      <c r="R535" s="167"/>
      <c r="S535" s="167"/>
      <c r="T535" s="167"/>
      <c r="U535" s="167"/>
      <c r="V535" s="167"/>
      <c r="W535" s="167"/>
      <c r="X535" s="167"/>
      <c r="Y535" s="167"/>
      <c r="Z535" s="167"/>
      <c r="AA535" s="167"/>
      <c r="AB535" s="167"/>
      <c r="AC535" s="167"/>
      <c r="AD535" s="167"/>
      <c r="AE535" s="167"/>
      <c r="AF535" s="167"/>
      <c r="AG535" s="167"/>
      <c r="AH535" s="167"/>
      <c r="AI535" s="167"/>
      <c r="AJ535" s="167"/>
      <c r="AK535" s="167"/>
      <c r="AL535" s="167"/>
    </row>
    <row r="536" spans="1:38" ht="15.75" customHeight="1">
      <c r="A536" s="167"/>
      <c r="B536" s="167"/>
      <c r="C536" s="167"/>
      <c r="D536" s="167"/>
      <c r="E536" s="167"/>
      <c r="F536" s="167"/>
      <c r="G536" s="167"/>
      <c r="H536" s="167"/>
      <c r="I536" s="167"/>
      <c r="J536" s="167"/>
      <c r="K536" s="167"/>
      <c r="L536" s="167"/>
      <c r="M536" s="167"/>
      <c r="N536" s="167"/>
      <c r="O536" s="167"/>
      <c r="P536" s="167"/>
      <c r="Q536" s="167"/>
      <c r="R536" s="167"/>
      <c r="S536" s="167"/>
      <c r="T536" s="167"/>
      <c r="U536" s="167"/>
      <c r="V536" s="167"/>
      <c r="W536" s="167"/>
      <c r="X536" s="167"/>
      <c r="Y536" s="167"/>
      <c r="Z536" s="167"/>
      <c r="AA536" s="167"/>
      <c r="AB536" s="167"/>
      <c r="AC536" s="167"/>
      <c r="AD536" s="167"/>
      <c r="AE536" s="167"/>
      <c r="AF536" s="167"/>
      <c r="AG536" s="167"/>
      <c r="AH536" s="167"/>
      <c r="AI536" s="167"/>
      <c r="AJ536" s="167"/>
      <c r="AK536" s="167"/>
      <c r="AL536" s="167"/>
    </row>
    <row r="537" spans="1:38" ht="15.75" customHeight="1">
      <c r="A537" s="167"/>
      <c r="B537" s="167"/>
      <c r="C537" s="167"/>
      <c r="D537" s="167"/>
      <c r="E537" s="167"/>
      <c r="F537" s="167"/>
      <c r="G537" s="167"/>
      <c r="H537" s="167"/>
      <c r="I537" s="167"/>
      <c r="J537" s="167"/>
      <c r="K537" s="167"/>
      <c r="L537" s="167"/>
      <c r="M537" s="167"/>
      <c r="N537" s="167"/>
      <c r="O537" s="167"/>
      <c r="P537" s="167"/>
      <c r="Q537" s="167"/>
      <c r="R537" s="167"/>
      <c r="S537" s="167"/>
      <c r="T537" s="167"/>
      <c r="U537" s="167"/>
      <c r="V537" s="167"/>
      <c r="W537" s="167"/>
      <c r="X537" s="167"/>
      <c r="Y537" s="167"/>
      <c r="Z537" s="167"/>
      <c r="AA537" s="167"/>
      <c r="AB537" s="167"/>
      <c r="AC537" s="167"/>
      <c r="AD537" s="167"/>
      <c r="AE537" s="167"/>
      <c r="AF537" s="167"/>
      <c r="AG537" s="167"/>
      <c r="AH537" s="167"/>
      <c r="AI537" s="167"/>
      <c r="AJ537" s="167"/>
      <c r="AK537" s="167"/>
      <c r="AL537" s="167"/>
    </row>
    <row r="538" spans="1:38" ht="15.75" customHeight="1">
      <c r="A538" s="167"/>
      <c r="B538" s="167"/>
      <c r="C538" s="167"/>
      <c r="D538" s="167"/>
      <c r="E538" s="167"/>
      <c r="F538" s="167"/>
      <c r="G538" s="167"/>
      <c r="H538" s="167"/>
      <c r="I538" s="167"/>
      <c r="J538" s="167"/>
      <c r="K538" s="167"/>
      <c r="L538" s="167"/>
      <c r="M538" s="167"/>
      <c r="N538" s="167"/>
      <c r="O538" s="167"/>
      <c r="P538" s="167"/>
      <c r="Q538" s="167"/>
      <c r="R538" s="167"/>
      <c r="S538" s="167"/>
      <c r="T538" s="167"/>
      <c r="U538" s="167"/>
      <c r="V538" s="167"/>
      <c r="W538" s="167"/>
      <c r="X538" s="167"/>
      <c r="Y538" s="167"/>
      <c r="Z538" s="167"/>
      <c r="AA538" s="167"/>
      <c r="AB538" s="167"/>
      <c r="AC538" s="167"/>
      <c r="AD538" s="167"/>
      <c r="AE538" s="167"/>
      <c r="AF538" s="167"/>
      <c r="AG538" s="167"/>
      <c r="AH538" s="167"/>
      <c r="AI538" s="167"/>
      <c r="AJ538" s="167"/>
      <c r="AK538" s="167"/>
      <c r="AL538" s="167"/>
    </row>
    <row r="539" spans="1:38" ht="15.75" customHeight="1">
      <c r="A539" s="167"/>
      <c r="B539" s="167"/>
      <c r="C539" s="167"/>
      <c r="D539" s="167"/>
      <c r="E539" s="167"/>
      <c r="F539" s="167"/>
      <c r="G539" s="167"/>
      <c r="H539" s="167"/>
      <c r="I539" s="167"/>
      <c r="J539" s="167"/>
      <c r="K539" s="167"/>
      <c r="L539" s="167"/>
      <c r="M539" s="167"/>
      <c r="N539" s="167"/>
      <c r="O539" s="167"/>
      <c r="P539" s="167"/>
      <c r="Q539" s="167"/>
      <c r="R539" s="167"/>
      <c r="S539" s="167"/>
      <c r="T539" s="167"/>
      <c r="U539" s="167"/>
      <c r="V539" s="167"/>
      <c r="W539" s="167"/>
      <c r="X539" s="167"/>
      <c r="Y539" s="167"/>
      <c r="Z539" s="167"/>
      <c r="AA539" s="167"/>
      <c r="AB539" s="167"/>
      <c r="AC539" s="167"/>
      <c r="AD539" s="167"/>
      <c r="AE539" s="167"/>
      <c r="AF539" s="167"/>
      <c r="AG539" s="167"/>
      <c r="AH539" s="167"/>
      <c r="AI539" s="167"/>
      <c r="AJ539" s="167"/>
      <c r="AK539" s="167"/>
      <c r="AL539" s="167"/>
    </row>
    <row r="540" spans="1:38" ht="15.75" customHeight="1">
      <c r="A540" s="167"/>
      <c r="B540" s="167"/>
      <c r="C540" s="167"/>
      <c r="D540" s="167"/>
      <c r="E540" s="167"/>
      <c r="F540" s="167"/>
      <c r="G540" s="167"/>
      <c r="H540" s="167"/>
      <c r="I540" s="167"/>
      <c r="J540" s="167"/>
      <c r="K540" s="167"/>
      <c r="L540" s="167"/>
      <c r="M540" s="167"/>
      <c r="N540" s="167"/>
      <c r="O540" s="167"/>
      <c r="P540" s="167"/>
      <c r="Q540" s="167"/>
      <c r="R540" s="167"/>
      <c r="S540" s="167"/>
      <c r="T540" s="167"/>
      <c r="U540" s="167"/>
      <c r="V540" s="167"/>
      <c r="W540" s="167"/>
      <c r="X540" s="167"/>
      <c r="Y540" s="167"/>
      <c r="Z540" s="167"/>
      <c r="AA540" s="167"/>
      <c r="AB540" s="167"/>
      <c r="AC540" s="167"/>
      <c r="AD540" s="167"/>
      <c r="AE540" s="167"/>
      <c r="AF540" s="167"/>
      <c r="AG540" s="167"/>
      <c r="AH540" s="167"/>
      <c r="AI540" s="167"/>
      <c r="AJ540" s="167"/>
      <c r="AK540" s="167"/>
      <c r="AL540" s="167"/>
    </row>
    <row r="541" spans="1:38" ht="15.75" customHeight="1">
      <c r="A541" s="167"/>
      <c r="B541" s="167"/>
      <c r="C541" s="167"/>
      <c r="D541" s="167"/>
      <c r="E541" s="167"/>
      <c r="F541" s="167"/>
      <c r="G541" s="167"/>
      <c r="H541" s="167"/>
      <c r="I541" s="167"/>
      <c r="J541" s="167"/>
      <c r="K541" s="167"/>
      <c r="L541" s="167"/>
      <c r="M541" s="167"/>
      <c r="N541" s="167"/>
      <c r="O541" s="167"/>
      <c r="P541" s="167"/>
      <c r="Q541" s="167"/>
      <c r="R541" s="167"/>
      <c r="S541" s="167"/>
      <c r="T541" s="167"/>
      <c r="U541" s="167"/>
      <c r="V541" s="167"/>
      <c r="W541" s="167"/>
      <c r="X541" s="167"/>
      <c r="Y541" s="167"/>
      <c r="Z541" s="167"/>
      <c r="AA541" s="167"/>
      <c r="AB541" s="167"/>
      <c r="AC541" s="167"/>
      <c r="AD541" s="167"/>
      <c r="AE541" s="167"/>
      <c r="AF541" s="167"/>
      <c r="AG541" s="167"/>
      <c r="AH541" s="167"/>
      <c r="AI541" s="167"/>
      <c r="AJ541" s="167"/>
      <c r="AK541" s="167"/>
      <c r="AL541" s="167"/>
    </row>
    <row r="542" spans="1:38" ht="15.75" customHeight="1">
      <c r="A542" s="167"/>
      <c r="B542" s="167"/>
      <c r="C542" s="167"/>
      <c r="D542" s="167"/>
      <c r="E542" s="167"/>
      <c r="F542" s="167"/>
      <c r="G542" s="167"/>
      <c r="H542" s="167"/>
      <c r="I542" s="167"/>
      <c r="J542" s="167"/>
      <c r="K542" s="167"/>
      <c r="L542" s="167"/>
      <c r="M542" s="167"/>
      <c r="N542" s="167"/>
      <c r="O542" s="167"/>
      <c r="P542" s="167"/>
      <c r="Q542" s="167"/>
      <c r="R542" s="167"/>
      <c r="S542" s="167"/>
      <c r="T542" s="167"/>
      <c r="U542" s="167"/>
      <c r="V542" s="167"/>
      <c r="W542" s="167"/>
      <c r="X542" s="167"/>
      <c r="Y542" s="167"/>
      <c r="Z542" s="167"/>
      <c r="AA542" s="167"/>
      <c r="AB542" s="167"/>
      <c r="AC542" s="167"/>
      <c r="AD542" s="167"/>
      <c r="AE542" s="167"/>
      <c r="AF542" s="167"/>
      <c r="AG542" s="167"/>
      <c r="AH542" s="167"/>
      <c r="AI542" s="167"/>
      <c r="AJ542" s="167"/>
      <c r="AK542" s="167"/>
      <c r="AL542" s="167"/>
    </row>
    <row r="543" spans="1:38" ht="15.75" customHeight="1">
      <c r="A543" s="167"/>
      <c r="B543" s="167"/>
      <c r="C543" s="167"/>
      <c r="D543" s="167"/>
      <c r="E543" s="167"/>
      <c r="F543" s="167"/>
      <c r="G543" s="167"/>
      <c r="H543" s="167"/>
      <c r="I543" s="167"/>
      <c r="J543" s="167"/>
      <c r="K543" s="167"/>
      <c r="L543" s="167"/>
      <c r="M543" s="167"/>
      <c r="N543" s="167"/>
      <c r="O543" s="167"/>
      <c r="P543" s="167"/>
      <c r="Q543" s="167"/>
      <c r="R543" s="167"/>
      <c r="S543" s="167"/>
      <c r="T543" s="167"/>
      <c r="U543" s="167"/>
      <c r="V543" s="167"/>
      <c r="W543" s="167"/>
      <c r="X543" s="167"/>
      <c r="Y543" s="167"/>
      <c r="Z543" s="167"/>
      <c r="AA543" s="167"/>
      <c r="AB543" s="167"/>
      <c r="AC543" s="167"/>
      <c r="AD543" s="167"/>
      <c r="AE543" s="167"/>
      <c r="AF543" s="167"/>
      <c r="AG543" s="167"/>
      <c r="AH543" s="167"/>
      <c r="AI543" s="167"/>
      <c r="AJ543" s="167"/>
      <c r="AK543" s="167"/>
      <c r="AL543" s="167"/>
    </row>
    <row r="544" spans="1:38" ht="15.75" customHeight="1">
      <c r="A544" s="167"/>
      <c r="B544" s="167"/>
      <c r="C544" s="167"/>
      <c r="D544" s="167"/>
      <c r="E544" s="167"/>
      <c r="F544" s="167"/>
      <c r="G544" s="167"/>
      <c r="H544" s="167"/>
      <c r="I544" s="167"/>
      <c r="J544" s="167"/>
      <c r="K544" s="167"/>
      <c r="L544" s="167"/>
      <c r="M544" s="167"/>
      <c r="N544" s="167"/>
      <c r="O544" s="167"/>
      <c r="P544" s="167"/>
      <c r="Q544" s="167"/>
      <c r="R544" s="167"/>
      <c r="S544" s="167"/>
      <c r="T544" s="167"/>
      <c r="U544" s="167"/>
      <c r="V544" s="167"/>
      <c r="W544" s="167"/>
      <c r="X544" s="167"/>
      <c r="Y544" s="167"/>
      <c r="Z544" s="167"/>
      <c r="AA544" s="167"/>
      <c r="AB544" s="167"/>
      <c r="AC544" s="167"/>
      <c r="AD544" s="167"/>
      <c r="AE544" s="167"/>
      <c r="AF544" s="167"/>
      <c r="AG544" s="167"/>
      <c r="AH544" s="167"/>
      <c r="AI544" s="167"/>
      <c r="AJ544" s="167"/>
      <c r="AK544" s="167"/>
      <c r="AL544" s="167"/>
    </row>
    <row r="545" spans="1:38" ht="15.75" customHeight="1">
      <c r="A545" s="167"/>
      <c r="B545" s="167"/>
      <c r="C545" s="167"/>
      <c r="D545" s="167"/>
      <c r="E545" s="167"/>
      <c r="F545" s="167"/>
      <c r="G545" s="167"/>
      <c r="H545" s="167"/>
      <c r="I545" s="167"/>
      <c r="J545" s="167"/>
      <c r="K545" s="167"/>
      <c r="L545" s="167"/>
      <c r="M545" s="167"/>
      <c r="N545" s="167"/>
      <c r="O545" s="167"/>
      <c r="P545" s="167"/>
      <c r="Q545" s="167"/>
      <c r="R545" s="167"/>
      <c r="S545" s="167"/>
      <c r="T545" s="167"/>
      <c r="U545" s="167"/>
      <c r="V545" s="167"/>
      <c r="W545" s="167"/>
      <c r="X545" s="167"/>
      <c r="Y545" s="167"/>
      <c r="Z545" s="167"/>
      <c r="AA545" s="167"/>
      <c r="AB545" s="167"/>
      <c r="AC545" s="167"/>
      <c r="AD545" s="167"/>
      <c r="AE545" s="167"/>
      <c r="AF545" s="167"/>
      <c r="AG545" s="167"/>
      <c r="AH545" s="167"/>
      <c r="AI545" s="167"/>
      <c r="AJ545" s="167"/>
      <c r="AK545" s="167"/>
      <c r="AL545" s="167"/>
    </row>
    <row r="546" spans="1:38" ht="15.75" customHeight="1">
      <c r="A546" s="167"/>
      <c r="B546" s="167"/>
      <c r="C546" s="167"/>
      <c r="D546" s="167"/>
      <c r="E546" s="167"/>
      <c r="F546" s="167"/>
      <c r="G546" s="167"/>
      <c r="H546" s="167"/>
      <c r="I546" s="167"/>
      <c r="J546" s="167"/>
      <c r="K546" s="167"/>
      <c r="L546" s="167"/>
      <c r="M546" s="167"/>
      <c r="N546" s="167"/>
      <c r="O546" s="167"/>
      <c r="P546" s="167"/>
      <c r="Q546" s="167"/>
      <c r="R546" s="167"/>
      <c r="S546" s="167"/>
      <c r="T546" s="167"/>
      <c r="U546" s="167"/>
      <c r="V546" s="167"/>
      <c r="W546" s="167"/>
      <c r="X546" s="167"/>
      <c r="Y546" s="167"/>
      <c r="Z546" s="167"/>
      <c r="AA546" s="167"/>
      <c r="AB546" s="167"/>
      <c r="AC546" s="167"/>
      <c r="AD546" s="167"/>
      <c r="AE546" s="167"/>
      <c r="AF546" s="167"/>
      <c r="AG546" s="167"/>
      <c r="AH546" s="167"/>
      <c r="AI546" s="167"/>
      <c r="AJ546" s="167"/>
      <c r="AK546" s="167"/>
      <c r="AL546" s="167"/>
    </row>
    <row r="547" spans="1:38" ht="15.75" customHeight="1">
      <c r="A547" s="167"/>
      <c r="B547" s="167"/>
      <c r="C547" s="167"/>
      <c r="D547" s="167"/>
      <c r="E547" s="167"/>
      <c r="F547" s="167"/>
      <c r="G547" s="167"/>
      <c r="H547" s="167"/>
      <c r="I547" s="167"/>
      <c r="J547" s="167"/>
      <c r="K547" s="167"/>
      <c r="L547" s="167"/>
      <c r="M547" s="167"/>
      <c r="N547" s="167"/>
      <c r="O547" s="167"/>
      <c r="P547" s="167"/>
      <c r="Q547" s="167"/>
      <c r="R547" s="167"/>
      <c r="S547" s="167"/>
      <c r="T547" s="167"/>
      <c r="U547" s="167"/>
      <c r="V547" s="167"/>
      <c r="W547" s="167"/>
      <c r="X547" s="167"/>
      <c r="Y547" s="167"/>
      <c r="Z547" s="167"/>
      <c r="AA547" s="167"/>
      <c r="AB547" s="167"/>
      <c r="AC547" s="167"/>
      <c r="AD547" s="167"/>
      <c r="AE547" s="167"/>
      <c r="AF547" s="167"/>
      <c r="AG547" s="167"/>
      <c r="AH547" s="167"/>
      <c r="AI547" s="167"/>
      <c r="AJ547" s="167"/>
      <c r="AK547" s="167"/>
      <c r="AL547" s="167"/>
    </row>
    <row r="548" spans="1:38" ht="15.75" customHeight="1">
      <c r="A548" s="167"/>
      <c r="B548" s="167"/>
      <c r="C548" s="167"/>
      <c r="D548" s="167"/>
      <c r="E548" s="167"/>
      <c r="F548" s="167"/>
      <c r="G548" s="167"/>
      <c r="H548" s="167"/>
      <c r="I548" s="167"/>
      <c r="J548" s="167"/>
      <c r="K548" s="167"/>
      <c r="L548" s="167"/>
      <c r="M548" s="167"/>
      <c r="N548" s="167"/>
      <c r="O548" s="167"/>
      <c r="P548" s="167"/>
      <c r="Q548" s="167"/>
      <c r="R548" s="167"/>
      <c r="S548" s="167"/>
      <c r="T548" s="167"/>
      <c r="U548" s="167"/>
      <c r="V548" s="167"/>
      <c r="W548" s="167"/>
      <c r="X548" s="167"/>
      <c r="Y548" s="167"/>
      <c r="Z548" s="167"/>
      <c r="AA548" s="167"/>
      <c r="AB548" s="167"/>
      <c r="AC548" s="167"/>
      <c r="AD548" s="167"/>
      <c r="AE548" s="167"/>
      <c r="AF548" s="167"/>
      <c r="AG548" s="167"/>
      <c r="AH548" s="167"/>
      <c r="AI548" s="167"/>
      <c r="AJ548" s="167"/>
      <c r="AK548" s="167"/>
      <c r="AL548" s="167"/>
    </row>
    <row r="549" spans="1:38" ht="15.75" customHeight="1">
      <c r="A549" s="167"/>
      <c r="B549" s="167"/>
      <c r="C549" s="167"/>
      <c r="D549" s="167"/>
      <c r="E549" s="167"/>
      <c r="F549" s="167"/>
      <c r="G549" s="167"/>
      <c r="H549" s="167"/>
      <c r="I549" s="167"/>
      <c r="J549" s="167"/>
      <c r="K549" s="167"/>
      <c r="L549" s="167"/>
      <c r="M549" s="167"/>
      <c r="N549" s="167"/>
      <c r="O549" s="167"/>
      <c r="P549" s="167"/>
      <c r="Q549" s="167"/>
      <c r="R549" s="167"/>
      <c r="S549" s="167"/>
      <c r="T549" s="167"/>
      <c r="U549" s="167"/>
      <c r="V549" s="167"/>
      <c r="W549" s="167"/>
      <c r="X549" s="167"/>
      <c r="Y549" s="167"/>
      <c r="Z549" s="167"/>
      <c r="AA549" s="167"/>
      <c r="AB549" s="167"/>
      <c r="AC549" s="167"/>
      <c r="AD549" s="167"/>
      <c r="AE549" s="167"/>
      <c r="AF549" s="167"/>
      <c r="AG549" s="167"/>
      <c r="AH549" s="167"/>
      <c r="AI549" s="167"/>
      <c r="AJ549" s="167"/>
      <c r="AK549" s="167"/>
      <c r="AL549" s="167"/>
    </row>
    <row r="550" spans="1:38" ht="15.75" customHeight="1">
      <c r="A550" s="167"/>
      <c r="B550" s="167"/>
      <c r="C550" s="167"/>
      <c r="D550" s="167"/>
      <c r="E550" s="167"/>
      <c r="F550" s="167"/>
      <c r="G550" s="167"/>
      <c r="H550" s="167"/>
      <c r="I550" s="167"/>
      <c r="J550" s="167"/>
      <c r="K550" s="167"/>
      <c r="L550" s="167"/>
      <c r="M550" s="167"/>
      <c r="N550" s="167"/>
      <c r="O550" s="167"/>
      <c r="P550" s="167"/>
      <c r="Q550" s="167"/>
      <c r="R550" s="167"/>
      <c r="S550" s="167"/>
      <c r="T550" s="167"/>
      <c r="U550" s="167"/>
      <c r="V550" s="167"/>
      <c r="W550" s="167"/>
      <c r="X550" s="167"/>
      <c r="Y550" s="167"/>
      <c r="Z550" s="167"/>
      <c r="AA550" s="167"/>
      <c r="AB550" s="167"/>
      <c r="AC550" s="167"/>
      <c r="AD550" s="167"/>
      <c r="AE550" s="167"/>
      <c r="AF550" s="167"/>
      <c r="AG550" s="167"/>
      <c r="AH550" s="167"/>
      <c r="AI550" s="167"/>
      <c r="AJ550" s="167"/>
      <c r="AK550" s="167"/>
      <c r="AL550" s="167"/>
    </row>
    <row r="551" spans="1:38" ht="15.75" customHeight="1">
      <c r="A551" s="167"/>
      <c r="B551" s="167"/>
      <c r="C551" s="167"/>
      <c r="D551" s="167"/>
      <c r="E551" s="167"/>
      <c r="F551" s="167"/>
      <c r="G551" s="167"/>
      <c r="H551" s="167"/>
      <c r="I551" s="167"/>
      <c r="J551" s="167"/>
      <c r="K551" s="167"/>
      <c r="L551" s="167"/>
      <c r="M551" s="167"/>
      <c r="N551" s="167"/>
      <c r="O551" s="167"/>
      <c r="P551" s="167"/>
      <c r="Q551" s="167"/>
      <c r="R551" s="167"/>
      <c r="S551" s="167"/>
      <c r="T551" s="167"/>
      <c r="U551" s="167"/>
      <c r="V551" s="167"/>
      <c r="W551" s="167"/>
      <c r="X551" s="167"/>
      <c r="Y551" s="167"/>
      <c r="Z551" s="167"/>
      <c r="AA551" s="167"/>
      <c r="AB551" s="167"/>
      <c r="AC551" s="167"/>
      <c r="AD551" s="167"/>
      <c r="AE551" s="167"/>
      <c r="AF551" s="167"/>
      <c r="AG551" s="167"/>
      <c r="AH551" s="167"/>
      <c r="AI551" s="167"/>
      <c r="AJ551" s="167"/>
      <c r="AK551" s="167"/>
      <c r="AL551" s="167"/>
    </row>
    <row r="552" spans="1:38" ht="15.75" customHeight="1">
      <c r="A552" s="167"/>
      <c r="B552" s="167"/>
      <c r="C552" s="167"/>
      <c r="D552" s="167"/>
      <c r="E552" s="167"/>
      <c r="F552" s="167"/>
      <c r="G552" s="167"/>
      <c r="H552" s="167"/>
      <c r="I552" s="167"/>
      <c r="J552" s="167"/>
      <c r="K552" s="167"/>
      <c r="L552" s="167"/>
      <c r="M552" s="167"/>
      <c r="N552" s="167"/>
      <c r="O552" s="167"/>
      <c r="P552" s="167"/>
      <c r="Q552" s="167"/>
      <c r="R552" s="167"/>
      <c r="S552" s="167"/>
      <c r="T552" s="167"/>
      <c r="U552" s="167"/>
      <c r="V552" s="167"/>
      <c r="W552" s="167"/>
      <c r="X552" s="167"/>
      <c r="Y552" s="167"/>
      <c r="Z552" s="167"/>
      <c r="AA552" s="167"/>
      <c r="AB552" s="167"/>
      <c r="AC552" s="167"/>
      <c r="AD552" s="167"/>
      <c r="AE552" s="167"/>
      <c r="AF552" s="167"/>
      <c r="AG552" s="167"/>
      <c r="AH552" s="167"/>
      <c r="AI552" s="167"/>
      <c r="AJ552" s="167"/>
      <c r="AK552" s="167"/>
      <c r="AL552" s="167"/>
    </row>
    <row r="553" spans="1:38" ht="15.75" customHeight="1">
      <c r="A553" s="167"/>
      <c r="B553" s="167"/>
      <c r="C553" s="167"/>
      <c r="D553" s="167"/>
      <c r="E553" s="167"/>
      <c r="F553" s="167"/>
      <c r="G553" s="167"/>
      <c r="H553" s="167"/>
      <c r="I553" s="167"/>
      <c r="J553" s="167"/>
      <c r="K553" s="167"/>
      <c r="L553" s="167"/>
      <c r="M553" s="167"/>
      <c r="N553" s="167"/>
      <c r="O553" s="167"/>
      <c r="P553" s="167"/>
      <c r="Q553" s="167"/>
      <c r="R553" s="167"/>
      <c r="S553" s="167"/>
      <c r="T553" s="167"/>
      <c r="U553" s="167"/>
      <c r="V553" s="167"/>
      <c r="W553" s="167"/>
      <c r="X553" s="167"/>
      <c r="Y553" s="167"/>
      <c r="Z553" s="167"/>
      <c r="AA553" s="167"/>
      <c r="AB553" s="167"/>
      <c r="AC553" s="167"/>
      <c r="AD553" s="167"/>
      <c r="AE553" s="167"/>
      <c r="AF553" s="167"/>
      <c r="AG553" s="167"/>
      <c r="AH553" s="167"/>
      <c r="AI553" s="167"/>
      <c r="AJ553" s="167"/>
      <c r="AK553" s="167"/>
      <c r="AL553" s="167"/>
    </row>
    <row r="554" spans="1:38" ht="15.75" customHeight="1">
      <c r="A554" s="167"/>
      <c r="B554" s="167"/>
      <c r="C554" s="167"/>
      <c r="D554" s="167"/>
      <c r="E554" s="167"/>
      <c r="F554" s="167"/>
      <c r="G554" s="167"/>
      <c r="H554" s="167"/>
      <c r="I554" s="167"/>
      <c r="J554" s="167"/>
      <c r="K554" s="167"/>
      <c r="L554" s="167"/>
      <c r="M554" s="167"/>
      <c r="N554" s="167"/>
      <c r="O554" s="167"/>
      <c r="P554" s="167"/>
      <c r="Q554" s="167"/>
      <c r="R554" s="167"/>
      <c r="S554" s="167"/>
      <c r="T554" s="167"/>
      <c r="U554" s="167"/>
      <c r="V554" s="167"/>
      <c r="W554" s="167"/>
      <c r="X554" s="167"/>
      <c r="Y554" s="167"/>
      <c r="Z554" s="167"/>
      <c r="AA554" s="167"/>
      <c r="AB554" s="167"/>
      <c r="AC554" s="167"/>
      <c r="AD554" s="167"/>
      <c r="AE554" s="167"/>
      <c r="AF554" s="167"/>
      <c r="AG554" s="167"/>
      <c r="AH554" s="167"/>
      <c r="AI554" s="167"/>
      <c r="AJ554" s="167"/>
      <c r="AK554" s="167"/>
      <c r="AL554" s="167"/>
    </row>
    <row r="555" spans="1:38" ht="15.75" customHeight="1">
      <c r="A555" s="167"/>
      <c r="B555" s="167"/>
      <c r="C555" s="167"/>
      <c r="D555" s="167"/>
      <c r="E555" s="167"/>
      <c r="F555" s="167"/>
      <c r="G555" s="167"/>
      <c r="H555" s="167"/>
      <c r="I555" s="167"/>
      <c r="J555" s="167"/>
      <c r="K555" s="167"/>
      <c r="L555" s="167"/>
      <c r="M555" s="167"/>
      <c r="N555" s="167"/>
      <c r="O555" s="167"/>
      <c r="P555" s="167"/>
      <c r="Q555" s="167"/>
      <c r="R555" s="167"/>
      <c r="S555" s="167"/>
      <c r="T555" s="167"/>
      <c r="U555" s="167"/>
      <c r="V555" s="167"/>
      <c r="W555" s="167"/>
      <c r="X555" s="167"/>
      <c r="Y555" s="167"/>
      <c r="Z555" s="167"/>
      <c r="AA555" s="167"/>
      <c r="AB555" s="167"/>
      <c r="AC555" s="167"/>
      <c r="AD555" s="167"/>
      <c r="AE555" s="167"/>
      <c r="AF555" s="167"/>
      <c r="AG555" s="167"/>
      <c r="AH555" s="167"/>
      <c r="AI555" s="167"/>
      <c r="AJ555" s="167"/>
      <c r="AK555" s="167"/>
      <c r="AL555" s="167"/>
    </row>
    <row r="556" spans="1:38" ht="15.75" customHeight="1">
      <c r="A556" s="167"/>
      <c r="B556" s="167"/>
      <c r="C556" s="167"/>
      <c r="D556" s="167"/>
      <c r="E556" s="167"/>
      <c r="F556" s="167"/>
      <c r="G556" s="167"/>
      <c r="H556" s="167"/>
      <c r="I556" s="167"/>
      <c r="J556" s="167"/>
      <c r="K556" s="167"/>
      <c r="L556" s="167"/>
      <c r="M556" s="167"/>
      <c r="N556" s="167"/>
      <c r="O556" s="167"/>
      <c r="P556" s="167"/>
      <c r="Q556" s="167"/>
      <c r="R556" s="167"/>
      <c r="S556" s="167"/>
      <c r="T556" s="167"/>
      <c r="U556" s="167"/>
      <c r="V556" s="167"/>
      <c r="W556" s="167"/>
      <c r="X556" s="167"/>
      <c r="Y556" s="167"/>
      <c r="Z556" s="167"/>
      <c r="AA556" s="167"/>
      <c r="AB556" s="167"/>
      <c r="AC556" s="167"/>
      <c r="AD556" s="167"/>
      <c r="AE556" s="167"/>
      <c r="AF556" s="167"/>
      <c r="AG556" s="167"/>
      <c r="AH556" s="167"/>
      <c r="AI556" s="167"/>
      <c r="AJ556" s="167"/>
      <c r="AK556" s="167"/>
      <c r="AL556" s="167"/>
    </row>
    <row r="557" spans="1:38" ht="15.75" customHeight="1">
      <c r="A557" s="167"/>
      <c r="B557" s="167"/>
      <c r="C557" s="167"/>
      <c r="D557" s="167"/>
      <c r="E557" s="167"/>
      <c r="F557" s="167"/>
      <c r="G557" s="167"/>
      <c r="H557" s="167"/>
      <c r="I557" s="167"/>
      <c r="J557" s="167"/>
      <c r="K557" s="167"/>
      <c r="L557" s="167"/>
      <c r="M557" s="167"/>
      <c r="N557" s="167"/>
      <c r="O557" s="167"/>
      <c r="P557" s="167"/>
      <c r="Q557" s="167"/>
      <c r="R557" s="167"/>
      <c r="S557" s="167"/>
      <c r="T557" s="167"/>
      <c r="U557" s="167"/>
      <c r="V557" s="167"/>
      <c r="W557" s="167"/>
      <c r="X557" s="167"/>
      <c r="Y557" s="167"/>
      <c r="Z557" s="167"/>
      <c r="AA557" s="167"/>
      <c r="AB557" s="167"/>
      <c r="AC557" s="167"/>
      <c r="AD557" s="167"/>
      <c r="AE557" s="167"/>
      <c r="AF557" s="167"/>
      <c r="AG557" s="167"/>
      <c r="AH557" s="167"/>
      <c r="AI557" s="167"/>
      <c r="AJ557" s="167"/>
      <c r="AK557" s="167"/>
      <c r="AL557" s="167"/>
    </row>
    <row r="558" spans="1:38" ht="15.75" customHeight="1">
      <c r="A558" s="167"/>
      <c r="B558" s="167"/>
      <c r="C558" s="167"/>
      <c r="D558" s="167"/>
      <c r="E558" s="167"/>
      <c r="F558" s="167"/>
      <c r="G558" s="167"/>
      <c r="H558" s="167"/>
      <c r="I558" s="167"/>
      <c r="J558" s="167"/>
      <c r="K558" s="167"/>
      <c r="L558" s="167"/>
      <c r="M558" s="167"/>
      <c r="N558" s="167"/>
      <c r="O558" s="167"/>
      <c r="P558" s="167"/>
      <c r="Q558" s="167"/>
      <c r="R558" s="167"/>
      <c r="S558" s="167"/>
      <c r="T558" s="167"/>
      <c r="U558" s="167"/>
      <c r="V558" s="167"/>
      <c r="W558" s="167"/>
      <c r="X558" s="167"/>
      <c r="Y558" s="167"/>
      <c r="Z558" s="167"/>
      <c r="AA558" s="167"/>
      <c r="AB558" s="167"/>
      <c r="AC558" s="167"/>
      <c r="AD558" s="167"/>
      <c r="AE558" s="167"/>
      <c r="AF558" s="167"/>
      <c r="AG558" s="167"/>
      <c r="AH558" s="167"/>
      <c r="AI558" s="167"/>
      <c r="AJ558" s="167"/>
      <c r="AK558" s="167"/>
      <c r="AL558" s="167"/>
    </row>
    <row r="559" spans="1:38" ht="15.75" customHeight="1">
      <c r="A559" s="167"/>
      <c r="B559" s="167"/>
      <c r="C559" s="167"/>
      <c r="D559" s="167"/>
      <c r="E559" s="167"/>
      <c r="F559" s="167"/>
      <c r="G559" s="167"/>
      <c r="H559" s="167"/>
      <c r="I559" s="167"/>
      <c r="J559" s="167"/>
      <c r="K559" s="167"/>
      <c r="L559" s="167"/>
      <c r="M559" s="167"/>
      <c r="N559" s="167"/>
      <c r="O559" s="167"/>
      <c r="P559" s="167"/>
      <c r="Q559" s="167"/>
      <c r="R559" s="167"/>
      <c r="S559" s="167"/>
      <c r="T559" s="167"/>
      <c r="U559" s="167"/>
      <c r="V559" s="167"/>
      <c r="W559" s="167"/>
      <c r="X559" s="167"/>
      <c r="Y559" s="167"/>
      <c r="Z559" s="167"/>
      <c r="AA559" s="167"/>
      <c r="AB559" s="167"/>
      <c r="AC559" s="167"/>
      <c r="AD559" s="167"/>
      <c r="AE559" s="167"/>
      <c r="AF559" s="167"/>
      <c r="AG559" s="167"/>
      <c r="AH559" s="167"/>
      <c r="AI559" s="167"/>
      <c r="AJ559" s="167"/>
      <c r="AK559" s="167"/>
      <c r="AL559" s="167"/>
    </row>
    <row r="560" spans="1:38" ht="15.75" customHeight="1">
      <c r="A560" s="167"/>
      <c r="B560" s="167"/>
      <c r="C560" s="167"/>
      <c r="D560" s="167"/>
      <c r="E560" s="167"/>
      <c r="F560" s="167"/>
      <c r="G560" s="167"/>
      <c r="H560" s="167"/>
      <c r="I560" s="167"/>
      <c r="J560" s="167"/>
      <c r="K560" s="167"/>
      <c r="L560" s="167"/>
      <c r="M560" s="167"/>
      <c r="N560" s="167"/>
      <c r="O560" s="167"/>
      <c r="P560" s="167"/>
      <c r="Q560" s="167"/>
      <c r="R560" s="167"/>
      <c r="S560" s="167"/>
      <c r="T560" s="167"/>
      <c r="U560" s="167"/>
      <c r="V560" s="167"/>
      <c r="W560" s="167"/>
      <c r="X560" s="167"/>
      <c r="Y560" s="167"/>
      <c r="Z560" s="167"/>
      <c r="AA560" s="167"/>
      <c r="AB560" s="167"/>
      <c r="AC560" s="167"/>
      <c r="AD560" s="167"/>
      <c r="AE560" s="167"/>
      <c r="AF560" s="167"/>
      <c r="AG560" s="167"/>
      <c r="AH560" s="167"/>
      <c r="AI560" s="167"/>
      <c r="AJ560" s="167"/>
      <c r="AK560" s="167"/>
      <c r="AL560" s="167"/>
    </row>
    <row r="561" spans="1:38" ht="15.75" customHeight="1">
      <c r="A561" s="167"/>
      <c r="B561" s="167"/>
      <c r="C561" s="167"/>
      <c r="D561" s="167"/>
      <c r="E561" s="167"/>
      <c r="F561" s="167"/>
      <c r="G561" s="167"/>
      <c r="H561" s="167"/>
      <c r="I561" s="167"/>
      <c r="J561" s="167"/>
      <c r="K561" s="167"/>
      <c r="L561" s="167"/>
      <c r="M561" s="167"/>
      <c r="N561" s="167"/>
      <c r="O561" s="167"/>
      <c r="P561" s="167"/>
      <c r="Q561" s="167"/>
      <c r="R561" s="167"/>
      <c r="S561" s="167"/>
      <c r="T561" s="167"/>
      <c r="U561" s="167"/>
      <c r="V561" s="167"/>
      <c r="W561" s="167"/>
      <c r="X561" s="167"/>
      <c r="Y561" s="167"/>
      <c r="Z561" s="167"/>
      <c r="AA561" s="167"/>
      <c r="AB561" s="167"/>
      <c r="AC561" s="167"/>
      <c r="AD561" s="167"/>
      <c r="AE561" s="167"/>
      <c r="AF561" s="167"/>
      <c r="AG561" s="167"/>
      <c r="AH561" s="167"/>
      <c r="AI561" s="167"/>
      <c r="AJ561" s="167"/>
      <c r="AK561" s="167"/>
      <c r="AL561" s="167"/>
    </row>
    <row r="562" spans="1:38" ht="15.75" customHeight="1">
      <c r="A562" s="167"/>
      <c r="B562" s="167"/>
      <c r="C562" s="167"/>
      <c r="D562" s="167"/>
      <c r="E562" s="167"/>
      <c r="F562" s="167"/>
      <c r="G562" s="167"/>
      <c r="H562" s="167"/>
      <c r="I562" s="167"/>
      <c r="J562" s="167"/>
      <c r="K562" s="167"/>
      <c r="L562" s="167"/>
      <c r="M562" s="167"/>
      <c r="N562" s="167"/>
      <c r="O562" s="167"/>
      <c r="P562" s="167"/>
      <c r="Q562" s="167"/>
      <c r="R562" s="167"/>
      <c r="S562" s="167"/>
      <c r="T562" s="167"/>
      <c r="U562" s="167"/>
      <c r="V562" s="167"/>
      <c r="W562" s="167"/>
      <c r="X562" s="167"/>
      <c r="Y562" s="167"/>
      <c r="Z562" s="167"/>
      <c r="AA562" s="167"/>
      <c r="AB562" s="167"/>
      <c r="AC562" s="167"/>
      <c r="AD562" s="167"/>
      <c r="AE562" s="167"/>
      <c r="AF562" s="167"/>
      <c r="AG562" s="167"/>
      <c r="AH562" s="167"/>
      <c r="AI562" s="167"/>
      <c r="AJ562" s="167"/>
      <c r="AK562" s="167"/>
      <c r="AL562" s="167"/>
    </row>
    <row r="563" spans="1:38" ht="15.75" customHeight="1">
      <c r="A563" s="167"/>
      <c r="B563" s="167"/>
      <c r="C563" s="167"/>
      <c r="D563" s="167"/>
      <c r="E563" s="167"/>
      <c r="F563" s="167"/>
      <c r="G563" s="167"/>
      <c r="H563" s="167"/>
      <c r="I563" s="167"/>
      <c r="J563" s="167"/>
      <c r="K563" s="167"/>
      <c r="L563" s="167"/>
      <c r="M563" s="167"/>
      <c r="N563" s="167"/>
      <c r="O563" s="167"/>
      <c r="P563" s="167"/>
      <c r="Q563" s="167"/>
      <c r="R563" s="167"/>
      <c r="S563" s="167"/>
      <c r="T563" s="167"/>
      <c r="U563" s="167"/>
      <c r="V563" s="167"/>
      <c r="W563" s="167"/>
      <c r="X563" s="167"/>
      <c r="Y563" s="167"/>
      <c r="Z563" s="167"/>
      <c r="AA563" s="167"/>
      <c r="AB563" s="167"/>
      <c r="AC563" s="167"/>
      <c r="AD563" s="167"/>
      <c r="AE563" s="167"/>
      <c r="AF563" s="167"/>
      <c r="AG563" s="167"/>
      <c r="AH563" s="167"/>
      <c r="AI563" s="167"/>
      <c r="AJ563" s="167"/>
      <c r="AK563" s="167"/>
      <c r="AL563" s="167"/>
    </row>
    <row r="564" spans="1:38" ht="15.75" customHeight="1">
      <c r="A564" s="167"/>
      <c r="B564" s="167"/>
      <c r="C564" s="167"/>
      <c r="D564" s="167"/>
      <c r="E564" s="167"/>
      <c r="F564" s="167"/>
      <c r="G564" s="167"/>
      <c r="H564" s="167"/>
      <c r="I564" s="167"/>
      <c r="J564" s="167"/>
      <c r="K564" s="167"/>
      <c r="L564" s="167"/>
      <c r="M564" s="167"/>
      <c r="N564" s="167"/>
      <c r="O564" s="167"/>
      <c r="P564" s="167"/>
      <c r="Q564" s="167"/>
      <c r="R564" s="167"/>
      <c r="S564" s="167"/>
      <c r="T564" s="167"/>
      <c r="U564" s="167"/>
      <c r="V564" s="167"/>
      <c r="W564" s="167"/>
      <c r="X564" s="167"/>
      <c r="Y564" s="167"/>
      <c r="Z564" s="167"/>
      <c r="AA564" s="167"/>
      <c r="AB564" s="167"/>
      <c r="AC564" s="167"/>
      <c r="AD564" s="167"/>
      <c r="AE564" s="167"/>
      <c r="AF564" s="167"/>
      <c r="AG564" s="167"/>
      <c r="AH564" s="167"/>
      <c r="AI564" s="167"/>
      <c r="AJ564" s="167"/>
      <c r="AK564" s="167"/>
      <c r="AL564" s="167"/>
    </row>
    <row r="565" spans="1:38" ht="15.75" customHeight="1">
      <c r="A565" s="167"/>
      <c r="B565" s="167"/>
      <c r="C565" s="167"/>
      <c r="D565" s="167"/>
      <c r="E565" s="167"/>
      <c r="F565" s="167"/>
      <c r="G565" s="167"/>
      <c r="H565" s="167"/>
      <c r="I565" s="167"/>
      <c r="J565" s="167"/>
      <c r="K565" s="167"/>
      <c r="L565" s="167"/>
      <c r="M565" s="167"/>
      <c r="N565" s="167"/>
      <c r="O565" s="167"/>
      <c r="P565" s="167"/>
      <c r="Q565" s="167"/>
      <c r="R565" s="167"/>
      <c r="S565" s="167"/>
      <c r="T565" s="167"/>
      <c r="U565" s="167"/>
      <c r="V565" s="167"/>
      <c r="W565" s="167"/>
      <c r="X565" s="167"/>
      <c r="Y565" s="167"/>
      <c r="Z565" s="167"/>
      <c r="AA565" s="167"/>
      <c r="AB565" s="167"/>
      <c r="AC565" s="167"/>
      <c r="AD565" s="167"/>
      <c r="AE565" s="167"/>
      <c r="AF565" s="167"/>
      <c r="AG565" s="167"/>
      <c r="AH565" s="167"/>
      <c r="AI565" s="167"/>
      <c r="AJ565" s="167"/>
      <c r="AK565" s="167"/>
      <c r="AL565" s="167"/>
    </row>
    <row r="566" spans="1:38" ht="15.75" customHeight="1">
      <c r="A566" s="167"/>
      <c r="B566" s="167"/>
      <c r="C566" s="167"/>
      <c r="D566" s="167"/>
      <c r="E566" s="167"/>
      <c r="F566" s="167"/>
      <c r="G566" s="167"/>
      <c r="H566" s="167"/>
      <c r="I566" s="167"/>
      <c r="J566" s="167"/>
      <c r="K566" s="167"/>
      <c r="L566" s="167"/>
      <c r="M566" s="167"/>
      <c r="N566" s="167"/>
      <c r="O566" s="167"/>
      <c r="P566" s="167"/>
      <c r="Q566" s="167"/>
      <c r="R566" s="167"/>
      <c r="S566" s="167"/>
      <c r="T566" s="167"/>
      <c r="U566" s="167"/>
      <c r="V566" s="167"/>
      <c r="W566" s="167"/>
      <c r="X566" s="167"/>
      <c r="Y566" s="167"/>
      <c r="Z566" s="167"/>
      <c r="AA566" s="167"/>
      <c r="AB566" s="167"/>
      <c r="AC566" s="167"/>
      <c r="AD566" s="167"/>
      <c r="AE566" s="167"/>
      <c r="AF566" s="167"/>
      <c r="AG566" s="167"/>
      <c r="AH566" s="167"/>
      <c r="AI566" s="167"/>
      <c r="AJ566" s="167"/>
      <c r="AK566" s="167"/>
      <c r="AL566" s="167"/>
    </row>
    <row r="567" spans="1:38" ht="15.75" customHeight="1">
      <c r="A567" s="167"/>
      <c r="B567" s="167"/>
      <c r="C567" s="167"/>
      <c r="D567" s="167"/>
      <c r="E567" s="167"/>
      <c r="F567" s="167"/>
      <c r="G567" s="167"/>
      <c r="H567" s="167"/>
      <c r="I567" s="167"/>
      <c r="J567" s="167"/>
      <c r="K567" s="167"/>
      <c r="L567" s="167"/>
      <c r="M567" s="167"/>
      <c r="N567" s="167"/>
      <c r="O567" s="167"/>
      <c r="P567" s="167"/>
      <c r="Q567" s="167"/>
      <c r="R567" s="167"/>
      <c r="S567" s="167"/>
      <c r="T567" s="167"/>
      <c r="U567" s="167"/>
      <c r="V567" s="167"/>
      <c r="W567" s="167"/>
      <c r="X567" s="167"/>
      <c r="Y567" s="167"/>
      <c r="Z567" s="167"/>
      <c r="AA567" s="167"/>
      <c r="AB567" s="167"/>
      <c r="AC567" s="167"/>
      <c r="AD567" s="167"/>
      <c r="AE567" s="167"/>
      <c r="AF567" s="167"/>
      <c r="AG567" s="167"/>
      <c r="AH567" s="167"/>
      <c r="AI567" s="167"/>
      <c r="AJ567" s="167"/>
      <c r="AK567" s="167"/>
      <c r="AL567" s="167"/>
    </row>
    <row r="568" spans="1:38" ht="15.75" customHeight="1">
      <c r="A568" s="167"/>
      <c r="B568" s="167"/>
      <c r="C568" s="167"/>
      <c r="D568" s="167"/>
      <c r="E568" s="167"/>
      <c r="F568" s="167"/>
      <c r="G568" s="167"/>
      <c r="H568" s="167"/>
      <c r="I568" s="167"/>
      <c r="J568" s="167"/>
      <c r="K568" s="167"/>
      <c r="L568" s="167"/>
      <c r="M568" s="167"/>
      <c r="N568" s="167"/>
      <c r="O568" s="167"/>
      <c r="P568" s="167"/>
      <c r="Q568" s="167"/>
      <c r="R568" s="167"/>
      <c r="S568" s="167"/>
      <c r="T568" s="167"/>
      <c r="U568" s="167"/>
      <c r="V568" s="167"/>
      <c r="W568" s="167"/>
      <c r="X568" s="167"/>
      <c r="Y568" s="167"/>
      <c r="Z568" s="167"/>
      <c r="AA568" s="167"/>
      <c r="AB568" s="167"/>
      <c r="AC568" s="167"/>
      <c r="AD568" s="167"/>
      <c r="AE568" s="167"/>
      <c r="AF568" s="167"/>
      <c r="AG568" s="167"/>
      <c r="AH568" s="167"/>
      <c r="AI568" s="167"/>
      <c r="AJ568" s="167"/>
      <c r="AK568" s="167"/>
      <c r="AL568" s="167"/>
    </row>
    <row r="569" spans="1:38" ht="15.75" customHeight="1">
      <c r="A569" s="167"/>
      <c r="B569" s="167"/>
      <c r="C569" s="167"/>
      <c r="D569" s="167"/>
      <c r="E569" s="167"/>
      <c r="F569" s="167"/>
      <c r="G569" s="167"/>
      <c r="H569" s="167"/>
      <c r="I569" s="167"/>
      <c r="J569" s="167"/>
      <c r="K569" s="167"/>
      <c r="L569" s="167"/>
      <c r="M569" s="167"/>
      <c r="N569" s="167"/>
      <c r="O569" s="167"/>
      <c r="P569" s="167"/>
      <c r="Q569" s="167"/>
      <c r="R569" s="167"/>
      <c r="S569" s="167"/>
      <c r="T569" s="167"/>
      <c r="U569" s="167"/>
      <c r="V569" s="167"/>
      <c r="W569" s="167"/>
      <c r="X569" s="167"/>
      <c r="Y569" s="167"/>
      <c r="Z569" s="167"/>
      <c r="AA569" s="167"/>
      <c r="AB569" s="167"/>
      <c r="AC569" s="167"/>
      <c r="AD569" s="167"/>
      <c r="AE569" s="167"/>
      <c r="AF569" s="167"/>
      <c r="AG569" s="167"/>
      <c r="AH569" s="167"/>
      <c r="AI569" s="167"/>
      <c r="AJ569" s="167"/>
      <c r="AK569" s="167"/>
      <c r="AL569" s="167"/>
    </row>
    <row r="570" spans="1:38" ht="15.75" customHeight="1">
      <c r="A570" s="167"/>
      <c r="B570" s="167"/>
      <c r="C570" s="167"/>
      <c r="D570" s="167"/>
      <c r="E570" s="167"/>
      <c r="F570" s="167"/>
      <c r="G570" s="167"/>
      <c r="H570" s="167"/>
      <c r="I570" s="167"/>
      <c r="J570" s="167"/>
      <c r="K570" s="167"/>
      <c r="L570" s="167"/>
      <c r="M570" s="167"/>
      <c r="N570" s="167"/>
      <c r="O570" s="167"/>
      <c r="P570" s="167"/>
      <c r="Q570" s="167"/>
      <c r="R570" s="167"/>
      <c r="S570" s="167"/>
      <c r="T570" s="167"/>
      <c r="U570" s="167"/>
      <c r="V570" s="167"/>
      <c r="W570" s="167"/>
      <c r="X570" s="167"/>
      <c r="Y570" s="167"/>
      <c r="Z570" s="167"/>
      <c r="AA570" s="167"/>
      <c r="AB570" s="167"/>
      <c r="AC570" s="167"/>
      <c r="AD570" s="167"/>
      <c r="AE570" s="167"/>
      <c r="AF570" s="167"/>
      <c r="AG570" s="167"/>
      <c r="AH570" s="167"/>
      <c r="AI570" s="167"/>
      <c r="AJ570" s="167"/>
      <c r="AK570" s="167"/>
      <c r="AL570" s="167"/>
    </row>
    <row r="571" spans="1:38" ht="15.75" customHeight="1">
      <c r="A571" s="167"/>
      <c r="B571" s="167"/>
      <c r="C571" s="167"/>
      <c r="D571" s="167"/>
      <c r="E571" s="167"/>
      <c r="F571" s="167"/>
      <c r="G571" s="167"/>
      <c r="H571" s="167"/>
      <c r="I571" s="167"/>
      <c r="J571" s="167"/>
      <c r="K571" s="167"/>
      <c r="L571" s="167"/>
      <c r="M571" s="167"/>
      <c r="N571" s="167"/>
      <c r="O571" s="167"/>
      <c r="P571" s="167"/>
      <c r="Q571" s="167"/>
      <c r="R571" s="167"/>
      <c r="S571" s="167"/>
      <c r="T571" s="167"/>
      <c r="U571" s="167"/>
      <c r="V571" s="167"/>
      <c r="W571" s="167"/>
      <c r="X571" s="167"/>
      <c r="Y571" s="167"/>
      <c r="Z571" s="167"/>
      <c r="AA571" s="167"/>
      <c r="AB571" s="167"/>
      <c r="AC571" s="167"/>
      <c r="AD571" s="167"/>
      <c r="AE571" s="167"/>
      <c r="AF571" s="167"/>
      <c r="AG571" s="167"/>
      <c r="AH571" s="167"/>
      <c r="AI571" s="167"/>
      <c r="AJ571" s="167"/>
      <c r="AK571" s="167"/>
      <c r="AL571" s="167"/>
    </row>
    <row r="572" spans="1:38" ht="15.75" customHeight="1">
      <c r="A572" s="167"/>
      <c r="B572" s="167"/>
      <c r="C572" s="167"/>
      <c r="D572" s="167"/>
      <c r="E572" s="167"/>
      <c r="F572" s="167"/>
      <c r="G572" s="167"/>
      <c r="H572" s="167"/>
      <c r="I572" s="167"/>
      <c r="J572" s="167"/>
      <c r="K572" s="167"/>
      <c r="L572" s="167"/>
      <c r="M572" s="167"/>
      <c r="N572" s="167"/>
      <c r="O572" s="167"/>
      <c r="P572" s="167"/>
      <c r="Q572" s="167"/>
      <c r="R572" s="167"/>
      <c r="S572" s="167"/>
      <c r="T572" s="167"/>
      <c r="U572" s="167"/>
      <c r="V572" s="167"/>
      <c r="W572" s="167"/>
      <c r="X572" s="167"/>
      <c r="Y572" s="167"/>
      <c r="Z572" s="167"/>
      <c r="AA572" s="167"/>
      <c r="AB572" s="167"/>
      <c r="AC572" s="167"/>
      <c r="AD572" s="167"/>
      <c r="AE572" s="167"/>
      <c r="AF572" s="167"/>
      <c r="AG572" s="167"/>
      <c r="AH572" s="167"/>
      <c r="AI572" s="167"/>
      <c r="AJ572" s="167"/>
      <c r="AK572" s="167"/>
      <c r="AL572" s="167"/>
    </row>
    <row r="573" spans="1:38" ht="15.75" customHeight="1">
      <c r="A573" s="167"/>
      <c r="B573" s="167"/>
      <c r="C573" s="167"/>
      <c r="D573" s="167"/>
      <c r="E573" s="167"/>
      <c r="F573" s="167"/>
      <c r="G573" s="167"/>
      <c r="H573" s="167"/>
      <c r="I573" s="167"/>
      <c r="J573" s="167"/>
      <c r="K573" s="167"/>
      <c r="L573" s="167"/>
      <c r="M573" s="167"/>
      <c r="N573" s="167"/>
      <c r="O573" s="167"/>
      <c r="P573" s="167"/>
      <c r="Q573" s="167"/>
      <c r="R573" s="167"/>
      <c r="S573" s="167"/>
      <c r="T573" s="167"/>
      <c r="U573" s="167"/>
      <c r="V573" s="167"/>
      <c r="W573" s="167"/>
      <c r="X573" s="167"/>
      <c r="Y573" s="167"/>
      <c r="Z573" s="167"/>
      <c r="AA573" s="167"/>
      <c r="AB573" s="167"/>
      <c r="AC573" s="167"/>
      <c r="AD573" s="167"/>
      <c r="AE573" s="167"/>
      <c r="AF573" s="167"/>
      <c r="AG573" s="167"/>
      <c r="AH573" s="167"/>
      <c r="AI573" s="167"/>
      <c r="AJ573" s="167"/>
      <c r="AK573" s="167"/>
      <c r="AL573" s="167"/>
    </row>
    <row r="574" spans="1:38" ht="15.75" customHeight="1">
      <c r="A574" s="167"/>
      <c r="B574" s="167"/>
      <c r="C574" s="167"/>
      <c r="D574" s="167"/>
      <c r="E574" s="167"/>
      <c r="F574" s="167"/>
      <c r="G574" s="167"/>
      <c r="H574" s="167"/>
      <c r="I574" s="167"/>
      <c r="J574" s="167"/>
      <c r="K574" s="167"/>
      <c r="L574" s="167"/>
      <c r="M574" s="167"/>
      <c r="N574" s="167"/>
      <c r="O574" s="167"/>
      <c r="P574" s="167"/>
      <c r="Q574" s="167"/>
      <c r="R574" s="167"/>
      <c r="S574" s="167"/>
      <c r="T574" s="167"/>
      <c r="U574" s="167"/>
      <c r="V574" s="167"/>
      <c r="W574" s="167"/>
      <c r="X574" s="167"/>
      <c r="Y574" s="167"/>
      <c r="Z574" s="167"/>
      <c r="AA574" s="167"/>
      <c r="AB574" s="167"/>
      <c r="AC574" s="167"/>
      <c r="AD574" s="167"/>
      <c r="AE574" s="167"/>
      <c r="AF574" s="167"/>
      <c r="AG574" s="167"/>
      <c r="AH574" s="167"/>
      <c r="AI574" s="167"/>
      <c r="AJ574" s="167"/>
      <c r="AK574" s="167"/>
      <c r="AL574" s="167"/>
    </row>
    <row r="575" spans="1:38" ht="15.75" customHeight="1">
      <c r="A575" s="167"/>
      <c r="B575" s="167"/>
      <c r="C575" s="167"/>
      <c r="D575" s="167"/>
      <c r="E575" s="167"/>
      <c r="F575" s="167"/>
      <c r="G575" s="167"/>
      <c r="H575" s="167"/>
      <c r="I575" s="167"/>
      <c r="J575" s="167"/>
      <c r="K575" s="167"/>
      <c r="L575" s="167"/>
      <c r="M575" s="167"/>
      <c r="N575" s="167"/>
      <c r="O575" s="167"/>
      <c r="P575" s="167"/>
      <c r="Q575" s="167"/>
      <c r="R575" s="167"/>
      <c r="S575" s="167"/>
      <c r="T575" s="167"/>
      <c r="U575" s="167"/>
      <c r="V575" s="167"/>
      <c r="W575" s="167"/>
      <c r="X575" s="167"/>
      <c r="Y575" s="167"/>
      <c r="Z575" s="167"/>
      <c r="AA575" s="167"/>
      <c r="AB575" s="167"/>
      <c r="AC575" s="167"/>
      <c r="AD575" s="167"/>
      <c r="AE575" s="167"/>
      <c r="AF575" s="167"/>
      <c r="AG575" s="167"/>
      <c r="AH575" s="167"/>
      <c r="AI575" s="167"/>
      <c r="AJ575" s="167"/>
      <c r="AK575" s="167"/>
      <c r="AL575" s="167"/>
    </row>
    <row r="576" spans="1:38" ht="15.75" customHeight="1">
      <c r="A576" s="167"/>
      <c r="B576" s="167"/>
      <c r="C576" s="167"/>
      <c r="D576" s="167"/>
      <c r="E576" s="167"/>
      <c r="F576" s="167"/>
      <c r="G576" s="167"/>
      <c r="H576" s="167"/>
      <c r="I576" s="167"/>
      <c r="J576" s="167"/>
      <c r="K576" s="167"/>
      <c r="L576" s="167"/>
      <c r="M576" s="167"/>
      <c r="N576" s="167"/>
      <c r="O576" s="167"/>
      <c r="P576" s="167"/>
      <c r="Q576" s="167"/>
      <c r="R576" s="167"/>
      <c r="S576" s="167"/>
      <c r="T576" s="167"/>
      <c r="U576" s="167"/>
      <c r="V576" s="167"/>
      <c r="W576" s="167"/>
      <c r="X576" s="167"/>
      <c r="Y576" s="167"/>
      <c r="Z576" s="167"/>
      <c r="AA576" s="167"/>
      <c r="AB576" s="167"/>
      <c r="AC576" s="167"/>
      <c r="AD576" s="167"/>
      <c r="AE576" s="167"/>
      <c r="AF576" s="167"/>
      <c r="AG576" s="167"/>
      <c r="AH576" s="167"/>
      <c r="AI576" s="167"/>
      <c r="AJ576" s="167"/>
      <c r="AK576" s="167"/>
      <c r="AL576" s="167"/>
    </row>
    <row r="577" spans="1:38" ht="15.75" customHeight="1">
      <c r="A577" s="167"/>
      <c r="B577" s="167"/>
      <c r="C577" s="167"/>
      <c r="D577" s="167"/>
      <c r="E577" s="167"/>
      <c r="F577" s="167"/>
      <c r="G577" s="167"/>
      <c r="H577" s="167"/>
      <c r="I577" s="167"/>
      <c r="J577" s="167"/>
      <c r="K577" s="167"/>
      <c r="L577" s="167"/>
      <c r="M577" s="167"/>
      <c r="N577" s="167"/>
      <c r="O577" s="167"/>
      <c r="P577" s="167"/>
      <c r="Q577" s="167"/>
      <c r="R577" s="167"/>
      <c r="S577" s="167"/>
      <c r="T577" s="167"/>
      <c r="U577" s="167"/>
      <c r="V577" s="167"/>
      <c r="W577" s="167"/>
      <c r="X577" s="167"/>
      <c r="Y577" s="167"/>
      <c r="Z577" s="167"/>
      <c r="AA577" s="167"/>
      <c r="AB577" s="167"/>
      <c r="AC577" s="167"/>
      <c r="AD577" s="167"/>
      <c r="AE577" s="167"/>
      <c r="AF577" s="167"/>
      <c r="AG577" s="167"/>
      <c r="AH577" s="167"/>
      <c r="AI577" s="167"/>
      <c r="AJ577" s="167"/>
      <c r="AK577" s="167"/>
      <c r="AL577" s="167"/>
    </row>
    <row r="578" spans="1:38" ht="15.75" customHeight="1">
      <c r="A578" s="167"/>
      <c r="B578" s="167"/>
      <c r="C578" s="167"/>
      <c r="D578" s="167"/>
      <c r="E578" s="167"/>
      <c r="F578" s="167"/>
      <c r="G578" s="167"/>
      <c r="H578" s="167"/>
      <c r="I578" s="167"/>
      <c r="J578" s="167"/>
      <c r="K578" s="167"/>
      <c r="L578" s="167"/>
      <c r="M578" s="167"/>
      <c r="N578" s="167"/>
      <c r="O578" s="167"/>
      <c r="P578" s="167"/>
      <c r="Q578" s="167"/>
      <c r="R578" s="167"/>
      <c r="S578" s="167"/>
      <c r="T578" s="167"/>
      <c r="U578" s="167"/>
      <c r="V578" s="167"/>
      <c r="W578" s="167"/>
      <c r="X578" s="167"/>
      <c r="Y578" s="167"/>
      <c r="Z578" s="167"/>
      <c r="AA578" s="167"/>
      <c r="AB578" s="167"/>
      <c r="AC578" s="167"/>
      <c r="AD578" s="167"/>
      <c r="AE578" s="167"/>
      <c r="AF578" s="167"/>
      <c r="AG578" s="167"/>
      <c r="AH578" s="167"/>
      <c r="AI578" s="167"/>
      <c r="AJ578" s="167"/>
      <c r="AK578" s="167"/>
      <c r="AL578" s="167"/>
    </row>
    <row r="579" spans="1:38" ht="15.75" customHeight="1">
      <c r="A579" s="167"/>
      <c r="B579" s="167"/>
      <c r="C579" s="167"/>
      <c r="D579" s="167"/>
      <c r="E579" s="167"/>
      <c r="F579" s="167"/>
      <c r="G579" s="167"/>
      <c r="H579" s="167"/>
      <c r="I579" s="167"/>
      <c r="J579" s="167"/>
      <c r="K579" s="167"/>
      <c r="L579" s="167"/>
      <c r="M579" s="167"/>
      <c r="N579" s="167"/>
      <c r="O579" s="167"/>
      <c r="P579" s="167"/>
      <c r="Q579" s="167"/>
      <c r="R579" s="167"/>
      <c r="S579" s="167"/>
      <c r="T579" s="167"/>
      <c r="U579" s="167"/>
      <c r="V579" s="167"/>
      <c r="W579" s="167"/>
      <c r="X579" s="167"/>
      <c r="Y579" s="167"/>
      <c r="Z579" s="167"/>
      <c r="AA579" s="167"/>
      <c r="AB579" s="167"/>
      <c r="AC579" s="167"/>
      <c r="AD579" s="167"/>
      <c r="AE579" s="167"/>
      <c r="AF579" s="167"/>
      <c r="AG579" s="167"/>
      <c r="AH579" s="167"/>
      <c r="AI579" s="167"/>
      <c r="AJ579" s="167"/>
      <c r="AK579" s="167"/>
      <c r="AL579" s="167"/>
    </row>
    <row r="580" spans="1:38" ht="15.75" customHeight="1">
      <c r="A580" s="167"/>
      <c r="B580" s="167"/>
      <c r="C580" s="167"/>
      <c r="D580" s="167"/>
      <c r="E580" s="167"/>
      <c r="F580" s="167"/>
      <c r="G580" s="167"/>
      <c r="H580" s="167"/>
      <c r="I580" s="167"/>
      <c r="J580" s="167"/>
      <c r="K580" s="167"/>
      <c r="L580" s="167"/>
      <c r="M580" s="167"/>
      <c r="N580" s="167"/>
      <c r="O580" s="167"/>
      <c r="P580" s="167"/>
      <c r="Q580" s="167"/>
      <c r="R580" s="167"/>
      <c r="S580" s="167"/>
      <c r="T580" s="167"/>
      <c r="U580" s="167"/>
      <c r="V580" s="167"/>
      <c r="W580" s="167"/>
      <c r="X580" s="167"/>
      <c r="Y580" s="167"/>
      <c r="Z580" s="167"/>
      <c r="AA580" s="167"/>
      <c r="AB580" s="167"/>
      <c r="AC580" s="167"/>
      <c r="AD580" s="167"/>
      <c r="AE580" s="167"/>
      <c r="AF580" s="167"/>
      <c r="AG580" s="167"/>
      <c r="AH580" s="167"/>
      <c r="AI580" s="167"/>
      <c r="AJ580" s="167"/>
      <c r="AK580" s="167"/>
      <c r="AL580" s="167"/>
    </row>
    <row r="581" spans="1:38" ht="15.75" customHeight="1">
      <c r="A581" s="167"/>
      <c r="B581" s="167"/>
      <c r="C581" s="167"/>
      <c r="D581" s="167"/>
      <c r="E581" s="167"/>
      <c r="F581" s="167"/>
      <c r="G581" s="167"/>
      <c r="H581" s="167"/>
      <c r="I581" s="167"/>
      <c r="J581" s="167"/>
      <c r="K581" s="167"/>
      <c r="L581" s="167"/>
      <c r="M581" s="167"/>
      <c r="N581" s="167"/>
      <c r="O581" s="167"/>
      <c r="P581" s="167"/>
      <c r="Q581" s="167"/>
      <c r="R581" s="167"/>
      <c r="S581" s="167"/>
      <c r="T581" s="167"/>
      <c r="U581" s="167"/>
      <c r="V581" s="167"/>
      <c r="W581" s="167"/>
      <c r="X581" s="167"/>
      <c r="Y581" s="167"/>
      <c r="Z581" s="167"/>
      <c r="AA581" s="167"/>
      <c r="AB581" s="167"/>
      <c r="AC581" s="167"/>
      <c r="AD581" s="167"/>
      <c r="AE581" s="167"/>
      <c r="AF581" s="167"/>
      <c r="AG581" s="167"/>
      <c r="AH581" s="167"/>
      <c r="AI581" s="167"/>
      <c r="AJ581" s="167"/>
      <c r="AK581" s="167"/>
      <c r="AL581" s="167"/>
    </row>
    <row r="582" spans="1:38" ht="15.75" customHeight="1">
      <c r="A582" s="167"/>
      <c r="B582" s="167"/>
      <c r="C582" s="167"/>
      <c r="D582" s="167"/>
      <c r="E582" s="167"/>
      <c r="F582" s="167"/>
      <c r="G582" s="167"/>
      <c r="H582" s="167"/>
      <c r="I582" s="167"/>
      <c r="J582" s="167"/>
      <c r="K582" s="167"/>
      <c r="L582" s="167"/>
      <c r="M582" s="167"/>
      <c r="N582" s="167"/>
      <c r="O582" s="167"/>
      <c r="P582" s="167"/>
      <c r="Q582" s="167"/>
      <c r="R582" s="167"/>
      <c r="S582" s="167"/>
      <c r="T582" s="167"/>
      <c r="U582" s="167"/>
      <c r="V582" s="167"/>
      <c r="W582" s="167"/>
      <c r="X582" s="167"/>
      <c r="Y582" s="167"/>
      <c r="Z582" s="167"/>
      <c r="AA582" s="167"/>
      <c r="AB582" s="167"/>
      <c r="AC582" s="167"/>
      <c r="AD582" s="167"/>
      <c r="AE582" s="167"/>
      <c r="AF582" s="167"/>
      <c r="AG582" s="167"/>
      <c r="AH582" s="167"/>
      <c r="AI582" s="167"/>
      <c r="AJ582" s="167"/>
      <c r="AK582" s="167"/>
      <c r="AL582" s="167"/>
    </row>
    <row r="583" spans="1:38" ht="15.75" customHeight="1">
      <c r="A583" s="167"/>
      <c r="B583" s="167"/>
      <c r="C583" s="167"/>
      <c r="D583" s="167"/>
      <c r="E583" s="167"/>
      <c r="F583" s="167"/>
      <c r="G583" s="167"/>
      <c r="H583" s="167"/>
      <c r="I583" s="167"/>
      <c r="J583" s="167"/>
      <c r="K583" s="167"/>
      <c r="L583" s="167"/>
      <c r="M583" s="167"/>
      <c r="N583" s="167"/>
      <c r="O583" s="167"/>
      <c r="P583" s="167"/>
      <c r="Q583" s="167"/>
      <c r="R583" s="167"/>
      <c r="S583" s="167"/>
      <c r="T583" s="167"/>
      <c r="U583" s="167"/>
      <c r="V583" s="167"/>
      <c r="W583" s="167"/>
      <c r="X583" s="167"/>
      <c r="Y583" s="167"/>
      <c r="Z583" s="167"/>
      <c r="AA583" s="167"/>
      <c r="AB583" s="167"/>
      <c r="AC583" s="167"/>
      <c r="AD583" s="167"/>
      <c r="AE583" s="167"/>
      <c r="AF583" s="167"/>
      <c r="AG583" s="167"/>
      <c r="AH583" s="167"/>
      <c r="AI583" s="167"/>
      <c r="AJ583" s="167"/>
      <c r="AK583" s="167"/>
      <c r="AL583" s="167"/>
    </row>
    <row r="584" spans="1:38" ht="15.75" customHeight="1">
      <c r="A584" s="167"/>
      <c r="B584" s="167"/>
      <c r="C584" s="167"/>
      <c r="D584" s="167"/>
      <c r="E584" s="167"/>
      <c r="F584" s="167"/>
      <c r="G584" s="167"/>
      <c r="H584" s="167"/>
      <c r="I584" s="167"/>
      <c r="J584" s="167"/>
      <c r="K584" s="167"/>
      <c r="L584" s="167"/>
      <c r="M584" s="167"/>
      <c r="N584" s="167"/>
      <c r="O584" s="167"/>
      <c r="P584" s="167"/>
      <c r="Q584" s="167"/>
      <c r="R584" s="167"/>
      <c r="S584" s="167"/>
      <c r="T584" s="167"/>
      <c r="U584" s="167"/>
      <c r="V584" s="167"/>
      <c r="W584" s="167"/>
      <c r="X584" s="167"/>
      <c r="Y584" s="167"/>
      <c r="Z584" s="167"/>
      <c r="AA584" s="167"/>
      <c r="AB584" s="167"/>
      <c r="AC584" s="167"/>
      <c r="AD584" s="167"/>
      <c r="AE584" s="167"/>
      <c r="AF584" s="167"/>
      <c r="AG584" s="167"/>
      <c r="AH584" s="167"/>
      <c r="AI584" s="167"/>
      <c r="AJ584" s="167"/>
      <c r="AK584" s="167"/>
      <c r="AL584" s="167"/>
    </row>
    <row r="585" spans="1:38" ht="15.75" customHeight="1">
      <c r="A585" s="167"/>
      <c r="B585" s="167"/>
      <c r="C585" s="167"/>
      <c r="D585" s="167"/>
      <c r="E585" s="167"/>
      <c r="F585" s="167"/>
      <c r="G585" s="167"/>
      <c r="H585" s="167"/>
      <c r="I585" s="167"/>
      <c r="J585" s="167"/>
      <c r="K585" s="167"/>
      <c r="L585" s="167"/>
      <c r="M585" s="167"/>
      <c r="N585" s="167"/>
      <c r="O585" s="167"/>
      <c r="P585" s="167"/>
      <c r="Q585" s="167"/>
      <c r="R585" s="167"/>
      <c r="S585" s="167"/>
      <c r="T585" s="167"/>
      <c r="U585" s="167"/>
      <c r="V585" s="167"/>
      <c r="W585" s="167"/>
      <c r="X585" s="167"/>
      <c r="Y585" s="167"/>
      <c r="Z585" s="167"/>
      <c r="AA585" s="167"/>
      <c r="AB585" s="167"/>
      <c r="AC585" s="167"/>
      <c r="AD585" s="167"/>
      <c r="AE585" s="167"/>
      <c r="AF585" s="167"/>
      <c r="AG585" s="167"/>
      <c r="AH585" s="167"/>
      <c r="AI585" s="167"/>
      <c r="AJ585" s="167"/>
      <c r="AK585" s="167"/>
      <c r="AL585" s="167"/>
    </row>
    <row r="586" spans="1:38" ht="15.75" customHeight="1">
      <c r="A586" s="167"/>
      <c r="B586" s="167"/>
      <c r="C586" s="167"/>
      <c r="D586" s="167"/>
      <c r="E586" s="167"/>
      <c r="F586" s="167"/>
      <c r="G586" s="167"/>
      <c r="H586" s="167"/>
      <c r="I586" s="167"/>
      <c r="J586" s="167"/>
      <c r="K586" s="167"/>
      <c r="L586" s="167"/>
      <c r="M586" s="167"/>
      <c r="N586" s="167"/>
      <c r="O586" s="167"/>
      <c r="P586" s="167"/>
      <c r="Q586" s="167"/>
      <c r="R586" s="167"/>
      <c r="S586" s="167"/>
      <c r="T586" s="167"/>
      <c r="U586" s="167"/>
      <c r="V586" s="167"/>
      <c r="W586" s="167"/>
      <c r="X586" s="167"/>
      <c r="Y586" s="167"/>
      <c r="Z586" s="167"/>
      <c r="AA586" s="167"/>
      <c r="AB586" s="167"/>
      <c r="AC586" s="167"/>
      <c r="AD586" s="167"/>
      <c r="AE586" s="167"/>
      <c r="AF586" s="167"/>
      <c r="AG586" s="167"/>
      <c r="AH586" s="167"/>
      <c r="AI586" s="167"/>
      <c r="AJ586" s="167"/>
      <c r="AK586" s="167"/>
      <c r="AL586" s="167"/>
    </row>
    <row r="587" spans="1:38" ht="15.75" customHeight="1">
      <c r="A587" s="167"/>
      <c r="B587" s="167"/>
      <c r="C587" s="167"/>
      <c r="D587" s="167"/>
      <c r="E587" s="167"/>
      <c r="F587" s="167"/>
      <c r="G587" s="167"/>
      <c r="H587" s="167"/>
      <c r="I587" s="167"/>
      <c r="J587" s="167"/>
      <c r="K587" s="167"/>
      <c r="L587" s="167"/>
      <c r="M587" s="167"/>
      <c r="N587" s="167"/>
      <c r="O587" s="167"/>
      <c r="P587" s="167"/>
      <c r="Q587" s="167"/>
      <c r="R587" s="167"/>
      <c r="S587" s="167"/>
      <c r="T587" s="167"/>
      <c r="U587" s="167"/>
      <c r="V587" s="167"/>
      <c r="W587" s="167"/>
      <c r="X587" s="167"/>
      <c r="Y587" s="167"/>
      <c r="Z587" s="167"/>
      <c r="AA587" s="167"/>
      <c r="AB587" s="167"/>
      <c r="AC587" s="167"/>
      <c r="AD587" s="167"/>
      <c r="AE587" s="167"/>
      <c r="AF587" s="167"/>
      <c r="AG587" s="167"/>
      <c r="AH587" s="167"/>
      <c r="AI587" s="167"/>
      <c r="AJ587" s="167"/>
      <c r="AK587" s="167"/>
      <c r="AL587" s="167"/>
    </row>
    <row r="588" spans="1:38" ht="15.75" customHeight="1">
      <c r="A588" s="167"/>
      <c r="B588" s="167"/>
      <c r="C588" s="167"/>
      <c r="D588" s="167"/>
      <c r="E588" s="167"/>
      <c r="F588" s="167"/>
      <c r="G588" s="167"/>
      <c r="H588" s="167"/>
      <c r="I588" s="167"/>
      <c r="J588" s="167"/>
      <c r="K588" s="167"/>
      <c r="L588" s="167"/>
      <c r="M588" s="167"/>
      <c r="N588" s="167"/>
      <c r="O588" s="167"/>
      <c r="P588" s="167"/>
      <c r="Q588" s="167"/>
      <c r="R588" s="167"/>
      <c r="S588" s="167"/>
      <c r="T588" s="167"/>
      <c r="U588" s="167"/>
      <c r="V588" s="167"/>
      <c r="W588" s="167"/>
      <c r="X588" s="167"/>
      <c r="Y588" s="167"/>
      <c r="Z588" s="167"/>
      <c r="AA588" s="167"/>
      <c r="AB588" s="167"/>
      <c r="AC588" s="167"/>
      <c r="AD588" s="167"/>
      <c r="AE588" s="167"/>
      <c r="AF588" s="167"/>
      <c r="AG588" s="167"/>
      <c r="AH588" s="167"/>
      <c r="AI588" s="167"/>
      <c r="AJ588" s="167"/>
      <c r="AK588" s="167"/>
      <c r="AL588" s="167"/>
    </row>
    <row r="589" spans="1:38" ht="15.75" customHeight="1">
      <c r="A589" s="167"/>
      <c r="B589" s="167"/>
      <c r="C589" s="167"/>
      <c r="D589" s="167"/>
      <c r="E589" s="167"/>
      <c r="F589" s="167"/>
      <c r="G589" s="167"/>
      <c r="H589" s="167"/>
      <c r="I589" s="167"/>
      <c r="J589" s="167"/>
      <c r="K589" s="167"/>
      <c r="L589" s="167"/>
      <c r="M589" s="167"/>
      <c r="N589" s="167"/>
      <c r="O589" s="167"/>
      <c r="P589" s="167"/>
      <c r="Q589" s="167"/>
      <c r="R589" s="167"/>
      <c r="S589" s="167"/>
      <c r="T589" s="167"/>
      <c r="U589" s="167"/>
      <c r="V589" s="167"/>
      <c r="W589" s="167"/>
      <c r="X589" s="167"/>
      <c r="Y589" s="167"/>
      <c r="Z589" s="167"/>
      <c r="AA589" s="167"/>
      <c r="AB589" s="167"/>
      <c r="AC589" s="167"/>
      <c r="AD589" s="167"/>
      <c r="AE589" s="167"/>
      <c r="AF589" s="167"/>
      <c r="AG589" s="167"/>
      <c r="AH589" s="167"/>
      <c r="AI589" s="167"/>
      <c r="AJ589" s="167"/>
      <c r="AK589" s="167"/>
      <c r="AL589" s="167"/>
    </row>
    <row r="590" spans="1:38" ht="15.75" customHeight="1">
      <c r="A590" s="167"/>
      <c r="B590" s="167"/>
      <c r="C590" s="167"/>
      <c r="D590" s="167"/>
      <c r="E590" s="167"/>
      <c r="F590" s="167"/>
      <c r="G590" s="167"/>
      <c r="H590" s="167"/>
      <c r="I590" s="167"/>
      <c r="J590" s="167"/>
      <c r="K590" s="167"/>
      <c r="L590" s="167"/>
      <c r="M590" s="167"/>
      <c r="N590" s="167"/>
      <c r="O590" s="167"/>
      <c r="P590" s="167"/>
      <c r="Q590" s="167"/>
      <c r="R590" s="167"/>
      <c r="S590" s="167"/>
      <c r="T590" s="167"/>
      <c r="U590" s="167"/>
      <c r="V590" s="167"/>
      <c r="W590" s="167"/>
      <c r="X590" s="167"/>
      <c r="Y590" s="167"/>
      <c r="Z590" s="167"/>
      <c r="AA590" s="167"/>
      <c r="AB590" s="167"/>
      <c r="AC590" s="167"/>
      <c r="AD590" s="167"/>
      <c r="AE590" s="167"/>
      <c r="AF590" s="167"/>
      <c r="AG590" s="167"/>
      <c r="AH590" s="167"/>
      <c r="AI590" s="167"/>
      <c r="AJ590" s="167"/>
      <c r="AK590" s="167"/>
      <c r="AL590" s="167"/>
    </row>
    <row r="591" spans="1:38" ht="15.75" customHeight="1">
      <c r="A591" s="167"/>
      <c r="B591" s="167"/>
      <c r="C591" s="167"/>
      <c r="D591" s="167"/>
      <c r="E591" s="167"/>
      <c r="F591" s="167"/>
      <c r="G591" s="167"/>
      <c r="H591" s="167"/>
      <c r="I591" s="167"/>
      <c r="J591" s="167"/>
      <c r="K591" s="167"/>
      <c r="L591" s="167"/>
      <c r="M591" s="167"/>
      <c r="N591" s="167"/>
      <c r="O591" s="167"/>
      <c r="P591" s="167"/>
      <c r="Q591" s="167"/>
      <c r="R591" s="167"/>
      <c r="S591" s="167"/>
      <c r="T591" s="167"/>
      <c r="U591" s="167"/>
      <c r="V591" s="167"/>
      <c r="W591" s="167"/>
      <c r="X591" s="167"/>
      <c r="Y591" s="167"/>
      <c r="Z591" s="167"/>
      <c r="AA591" s="167"/>
      <c r="AB591" s="167"/>
      <c r="AC591" s="167"/>
      <c r="AD591" s="167"/>
      <c r="AE591" s="167"/>
      <c r="AF591" s="167"/>
      <c r="AG591" s="167"/>
      <c r="AH591" s="167"/>
      <c r="AI591" s="167"/>
      <c r="AJ591" s="167"/>
      <c r="AK591" s="167"/>
      <c r="AL591" s="167"/>
    </row>
    <row r="592" spans="1:38" ht="15.75" customHeight="1">
      <c r="A592" s="167"/>
      <c r="B592" s="167"/>
      <c r="C592" s="167"/>
      <c r="D592" s="167"/>
      <c r="E592" s="167"/>
      <c r="F592" s="167"/>
      <c r="G592" s="167"/>
      <c r="H592" s="167"/>
      <c r="I592" s="167"/>
      <c r="J592" s="167"/>
      <c r="K592" s="167"/>
      <c r="L592" s="167"/>
      <c r="M592" s="167"/>
      <c r="N592" s="167"/>
      <c r="O592" s="167"/>
      <c r="P592" s="167"/>
      <c r="Q592" s="167"/>
      <c r="R592" s="167"/>
      <c r="S592" s="167"/>
      <c r="T592" s="167"/>
      <c r="U592" s="167"/>
      <c r="V592" s="167"/>
      <c r="W592" s="167"/>
      <c r="X592" s="167"/>
      <c r="Y592" s="167"/>
      <c r="Z592" s="167"/>
      <c r="AA592" s="167"/>
      <c r="AB592" s="167"/>
      <c r="AC592" s="167"/>
      <c r="AD592" s="167"/>
      <c r="AE592" s="167"/>
      <c r="AF592" s="167"/>
      <c r="AG592" s="167"/>
      <c r="AH592" s="167"/>
      <c r="AI592" s="167"/>
      <c r="AJ592" s="167"/>
      <c r="AK592" s="167"/>
      <c r="AL592" s="167"/>
    </row>
    <row r="593" spans="1:38" ht="15.75" customHeight="1">
      <c r="A593" s="167"/>
      <c r="B593" s="167"/>
      <c r="C593" s="167"/>
      <c r="D593" s="167"/>
      <c r="E593" s="167"/>
      <c r="F593" s="167"/>
      <c r="G593" s="167"/>
      <c r="H593" s="167"/>
      <c r="I593" s="167"/>
      <c r="J593" s="167"/>
      <c r="K593" s="167"/>
      <c r="L593" s="167"/>
      <c r="M593" s="167"/>
      <c r="N593" s="167"/>
      <c r="O593" s="167"/>
      <c r="P593" s="167"/>
      <c r="Q593" s="167"/>
      <c r="R593" s="167"/>
      <c r="S593" s="167"/>
      <c r="T593" s="167"/>
      <c r="U593" s="167"/>
      <c r="V593" s="167"/>
      <c r="W593" s="167"/>
      <c r="X593" s="167"/>
      <c r="Y593" s="167"/>
      <c r="Z593" s="167"/>
      <c r="AA593" s="167"/>
      <c r="AB593" s="167"/>
      <c r="AC593" s="167"/>
      <c r="AD593" s="167"/>
      <c r="AE593" s="167"/>
      <c r="AF593" s="167"/>
      <c r="AG593" s="167"/>
      <c r="AH593" s="167"/>
      <c r="AI593" s="167"/>
      <c r="AJ593" s="167"/>
      <c r="AK593" s="167"/>
      <c r="AL593" s="167"/>
    </row>
    <row r="594" spans="1:38" ht="15.75" customHeight="1">
      <c r="A594" s="167"/>
      <c r="B594" s="167"/>
      <c r="C594" s="167"/>
      <c r="D594" s="167"/>
      <c r="E594" s="167"/>
      <c r="F594" s="167"/>
      <c r="G594" s="167"/>
      <c r="H594" s="167"/>
      <c r="I594" s="167"/>
      <c r="J594" s="167"/>
      <c r="K594" s="167"/>
      <c r="L594" s="167"/>
      <c r="M594" s="167"/>
      <c r="N594" s="167"/>
      <c r="O594" s="167"/>
      <c r="P594" s="167"/>
      <c r="Q594" s="167"/>
      <c r="R594" s="167"/>
      <c r="S594" s="167"/>
      <c r="T594" s="167"/>
      <c r="U594" s="167"/>
      <c r="V594" s="167"/>
      <c r="W594" s="167"/>
      <c r="X594" s="167"/>
      <c r="Y594" s="167"/>
      <c r="Z594" s="167"/>
      <c r="AA594" s="167"/>
      <c r="AB594" s="167"/>
      <c r="AC594" s="167"/>
      <c r="AD594" s="167"/>
      <c r="AE594" s="167"/>
      <c r="AF594" s="167"/>
      <c r="AG594" s="167"/>
      <c r="AH594" s="167"/>
      <c r="AI594" s="167"/>
      <c r="AJ594" s="167"/>
      <c r="AK594" s="167"/>
      <c r="AL594" s="167"/>
    </row>
    <row r="595" spans="1:38" ht="15.75" customHeight="1">
      <c r="A595" s="167"/>
      <c r="B595" s="167"/>
      <c r="C595" s="167"/>
      <c r="D595" s="167"/>
      <c r="E595" s="167"/>
      <c r="F595" s="167"/>
      <c r="G595" s="167"/>
      <c r="H595" s="167"/>
      <c r="I595" s="167"/>
      <c r="J595" s="167"/>
      <c r="K595" s="167"/>
      <c r="L595" s="167"/>
      <c r="M595" s="167"/>
      <c r="N595" s="167"/>
      <c r="O595" s="167"/>
      <c r="P595" s="167"/>
      <c r="Q595" s="167"/>
      <c r="R595" s="167"/>
      <c r="S595" s="167"/>
      <c r="T595" s="167"/>
      <c r="U595" s="167"/>
      <c r="V595" s="167"/>
      <c r="W595" s="167"/>
      <c r="X595" s="167"/>
      <c r="Y595" s="167"/>
      <c r="Z595" s="167"/>
      <c r="AA595" s="167"/>
      <c r="AB595" s="167"/>
      <c r="AC595" s="167"/>
      <c r="AD595" s="167"/>
      <c r="AE595" s="167"/>
      <c r="AF595" s="167"/>
      <c r="AG595" s="167"/>
      <c r="AH595" s="167"/>
      <c r="AI595" s="167"/>
      <c r="AJ595" s="167"/>
      <c r="AK595" s="167"/>
      <c r="AL595" s="167"/>
    </row>
    <row r="596" spans="1:38" ht="15.75" customHeight="1">
      <c r="A596" s="167"/>
      <c r="B596" s="167"/>
      <c r="C596" s="167"/>
      <c r="D596" s="167"/>
      <c r="E596" s="167"/>
      <c r="F596" s="167"/>
      <c r="G596" s="167"/>
      <c r="H596" s="167"/>
      <c r="I596" s="167"/>
      <c r="J596" s="167"/>
      <c r="K596" s="167"/>
      <c r="L596" s="167"/>
      <c r="M596" s="167"/>
      <c r="N596" s="167"/>
      <c r="O596" s="167"/>
      <c r="P596" s="167"/>
      <c r="Q596" s="167"/>
      <c r="R596" s="167"/>
      <c r="S596" s="167"/>
      <c r="T596" s="167"/>
      <c r="U596" s="167"/>
      <c r="V596" s="167"/>
      <c r="W596" s="167"/>
      <c r="X596" s="167"/>
      <c r="Y596" s="167"/>
      <c r="Z596" s="167"/>
      <c r="AA596" s="167"/>
      <c r="AB596" s="167"/>
      <c r="AC596" s="167"/>
      <c r="AD596" s="167"/>
      <c r="AE596" s="167"/>
      <c r="AF596" s="167"/>
      <c r="AG596" s="167"/>
      <c r="AH596" s="167"/>
      <c r="AI596" s="167"/>
      <c r="AJ596" s="167"/>
      <c r="AK596" s="167"/>
      <c r="AL596" s="167"/>
    </row>
    <row r="597" spans="1:38" ht="15.75" customHeight="1">
      <c r="A597" s="167"/>
      <c r="B597" s="167"/>
      <c r="C597" s="167"/>
      <c r="D597" s="167"/>
      <c r="E597" s="167"/>
      <c r="F597" s="167"/>
      <c r="G597" s="167"/>
      <c r="H597" s="167"/>
      <c r="I597" s="167"/>
      <c r="J597" s="167"/>
      <c r="K597" s="167"/>
      <c r="L597" s="167"/>
      <c r="M597" s="167"/>
      <c r="N597" s="167"/>
      <c r="O597" s="167"/>
      <c r="P597" s="167"/>
      <c r="Q597" s="167"/>
      <c r="R597" s="167"/>
      <c r="S597" s="167"/>
      <c r="T597" s="167"/>
      <c r="U597" s="167"/>
      <c r="V597" s="167"/>
      <c r="W597" s="167"/>
      <c r="X597" s="167"/>
      <c r="Y597" s="167"/>
      <c r="Z597" s="167"/>
      <c r="AA597" s="167"/>
      <c r="AB597" s="167"/>
      <c r="AC597" s="167"/>
      <c r="AD597" s="167"/>
      <c r="AE597" s="167"/>
      <c r="AF597" s="167"/>
      <c r="AG597" s="167"/>
      <c r="AH597" s="167"/>
      <c r="AI597" s="167"/>
      <c r="AJ597" s="167"/>
      <c r="AK597" s="167"/>
      <c r="AL597" s="167"/>
    </row>
    <row r="598" spans="1:38" ht="15.75" customHeight="1">
      <c r="A598" s="167"/>
      <c r="B598" s="167"/>
      <c r="C598" s="167"/>
      <c r="D598" s="167"/>
      <c r="E598" s="167"/>
      <c r="F598" s="167"/>
      <c r="G598" s="167"/>
      <c r="H598" s="167"/>
      <c r="I598" s="167"/>
      <c r="J598" s="167"/>
      <c r="K598" s="167"/>
      <c r="L598" s="167"/>
      <c r="M598" s="167"/>
      <c r="N598" s="167"/>
      <c r="O598" s="167"/>
      <c r="P598" s="167"/>
      <c r="Q598" s="167"/>
      <c r="R598" s="167"/>
      <c r="S598" s="167"/>
      <c r="T598" s="167"/>
      <c r="U598" s="167"/>
      <c r="V598" s="167"/>
      <c r="W598" s="167"/>
      <c r="X598" s="167"/>
      <c r="Y598" s="167"/>
      <c r="Z598" s="167"/>
      <c r="AA598" s="167"/>
      <c r="AB598" s="167"/>
      <c r="AC598" s="167"/>
      <c r="AD598" s="167"/>
      <c r="AE598" s="167"/>
      <c r="AF598" s="167"/>
      <c r="AG598" s="167"/>
      <c r="AH598" s="167"/>
      <c r="AI598" s="167"/>
      <c r="AJ598" s="167"/>
      <c r="AK598" s="167"/>
      <c r="AL598" s="167"/>
    </row>
    <row r="599" spans="1:38" ht="15.75" customHeight="1">
      <c r="A599" s="167"/>
      <c r="B599" s="167"/>
      <c r="C599" s="167"/>
      <c r="D599" s="167"/>
      <c r="E599" s="167"/>
      <c r="F599" s="167"/>
      <c r="G599" s="167"/>
      <c r="H599" s="167"/>
      <c r="I599" s="167"/>
      <c r="J599" s="167"/>
      <c r="K599" s="167"/>
      <c r="L599" s="167"/>
      <c r="M599" s="167"/>
      <c r="N599" s="167"/>
      <c r="O599" s="167"/>
      <c r="P599" s="167"/>
      <c r="Q599" s="167"/>
      <c r="R599" s="167"/>
      <c r="S599" s="167"/>
      <c r="T599" s="167"/>
      <c r="U599" s="167"/>
      <c r="V599" s="167"/>
      <c r="W599" s="167"/>
      <c r="X599" s="167"/>
      <c r="Y599" s="167"/>
      <c r="Z599" s="167"/>
      <c r="AA599" s="167"/>
      <c r="AB599" s="167"/>
      <c r="AC599" s="167"/>
      <c r="AD599" s="167"/>
      <c r="AE599" s="167"/>
      <c r="AF599" s="167"/>
      <c r="AG599" s="167"/>
      <c r="AH599" s="167"/>
      <c r="AI599" s="167"/>
      <c r="AJ599" s="167"/>
      <c r="AK599" s="167"/>
      <c r="AL599" s="167"/>
    </row>
    <row r="600" spans="1:38" ht="15.75" customHeight="1">
      <c r="A600" s="167"/>
      <c r="B600" s="167"/>
      <c r="C600" s="167"/>
      <c r="D600" s="167"/>
      <c r="E600" s="167"/>
      <c r="F600" s="167"/>
      <c r="G600" s="167"/>
      <c r="H600" s="167"/>
      <c r="I600" s="167"/>
      <c r="J600" s="167"/>
      <c r="K600" s="167"/>
      <c r="L600" s="167"/>
      <c r="M600" s="167"/>
      <c r="N600" s="167"/>
      <c r="O600" s="167"/>
      <c r="P600" s="167"/>
      <c r="Q600" s="167"/>
      <c r="R600" s="167"/>
      <c r="S600" s="167"/>
      <c r="T600" s="167"/>
      <c r="U600" s="167"/>
      <c r="V600" s="167"/>
      <c r="W600" s="167"/>
      <c r="X600" s="167"/>
      <c r="Y600" s="167"/>
      <c r="Z600" s="167"/>
      <c r="AA600" s="167"/>
      <c r="AB600" s="167"/>
      <c r="AC600" s="167"/>
      <c r="AD600" s="167"/>
      <c r="AE600" s="167"/>
      <c r="AF600" s="167"/>
      <c r="AG600" s="167"/>
      <c r="AH600" s="167"/>
      <c r="AI600" s="167"/>
      <c r="AJ600" s="167"/>
      <c r="AK600" s="167"/>
      <c r="AL600" s="167"/>
    </row>
    <row r="601" spans="1:38" ht="15.75" customHeight="1">
      <c r="A601" s="167"/>
      <c r="B601" s="167"/>
      <c r="C601" s="167"/>
      <c r="D601" s="167"/>
      <c r="E601" s="167"/>
      <c r="F601" s="167"/>
      <c r="G601" s="167"/>
      <c r="H601" s="167"/>
      <c r="I601" s="167"/>
      <c r="J601" s="167"/>
      <c r="K601" s="167"/>
      <c r="L601" s="167"/>
      <c r="M601" s="167"/>
      <c r="N601" s="167"/>
      <c r="O601" s="167"/>
      <c r="P601" s="167"/>
      <c r="Q601" s="167"/>
      <c r="R601" s="167"/>
      <c r="S601" s="167"/>
      <c r="T601" s="167"/>
      <c r="U601" s="167"/>
      <c r="V601" s="167"/>
      <c r="W601" s="167"/>
      <c r="X601" s="167"/>
      <c r="Y601" s="167"/>
      <c r="Z601" s="167"/>
      <c r="AA601" s="167"/>
      <c r="AB601" s="167"/>
      <c r="AC601" s="167"/>
      <c r="AD601" s="167"/>
      <c r="AE601" s="167"/>
      <c r="AF601" s="167"/>
      <c r="AG601" s="167"/>
      <c r="AH601" s="167"/>
      <c r="AI601" s="167"/>
      <c r="AJ601" s="167"/>
      <c r="AK601" s="167"/>
      <c r="AL601" s="167"/>
    </row>
    <row r="602" spans="1:38" ht="15.75" customHeight="1">
      <c r="A602" s="167"/>
      <c r="B602" s="167"/>
      <c r="C602" s="167"/>
      <c r="D602" s="167"/>
      <c r="E602" s="167"/>
      <c r="F602" s="167"/>
      <c r="G602" s="167"/>
      <c r="H602" s="167"/>
      <c r="I602" s="167"/>
      <c r="J602" s="167"/>
      <c r="K602" s="167"/>
      <c r="L602" s="167"/>
      <c r="M602" s="167"/>
      <c r="N602" s="167"/>
      <c r="O602" s="167"/>
      <c r="P602" s="167"/>
      <c r="Q602" s="167"/>
      <c r="R602" s="167"/>
      <c r="S602" s="167"/>
      <c r="T602" s="167"/>
      <c r="U602" s="167"/>
      <c r="V602" s="167"/>
      <c r="W602" s="167"/>
      <c r="X602" s="167"/>
      <c r="Y602" s="167"/>
      <c r="Z602" s="167"/>
      <c r="AA602" s="167"/>
      <c r="AB602" s="167"/>
      <c r="AC602" s="167"/>
      <c r="AD602" s="167"/>
      <c r="AE602" s="167"/>
      <c r="AF602" s="167"/>
      <c r="AG602" s="167"/>
      <c r="AH602" s="167"/>
      <c r="AI602" s="167"/>
      <c r="AJ602" s="167"/>
      <c r="AK602" s="167"/>
      <c r="AL602" s="167"/>
    </row>
    <row r="603" spans="1:38" ht="15.75" customHeight="1">
      <c r="A603" s="167"/>
      <c r="B603" s="167"/>
      <c r="C603" s="167"/>
      <c r="D603" s="167"/>
      <c r="E603" s="167"/>
      <c r="F603" s="167"/>
      <c r="G603" s="167"/>
      <c r="H603" s="167"/>
      <c r="I603" s="167"/>
      <c r="J603" s="167"/>
      <c r="K603" s="167"/>
      <c r="L603" s="167"/>
      <c r="M603" s="167"/>
      <c r="N603" s="167"/>
      <c r="O603" s="167"/>
      <c r="P603" s="167"/>
      <c r="Q603" s="167"/>
      <c r="R603" s="167"/>
      <c r="S603" s="167"/>
      <c r="T603" s="167"/>
      <c r="U603" s="167"/>
      <c r="V603" s="167"/>
      <c r="W603" s="167"/>
      <c r="X603" s="167"/>
      <c r="Y603" s="167"/>
      <c r="Z603" s="167"/>
      <c r="AA603" s="167"/>
      <c r="AB603" s="167"/>
      <c r="AC603" s="167"/>
      <c r="AD603" s="167"/>
      <c r="AE603" s="167"/>
      <c r="AF603" s="167"/>
      <c r="AG603" s="167"/>
      <c r="AH603" s="167"/>
      <c r="AI603" s="167"/>
      <c r="AJ603" s="167"/>
      <c r="AK603" s="167"/>
      <c r="AL603" s="167"/>
    </row>
    <row r="604" spans="1:38" ht="15.75" customHeight="1">
      <c r="A604" s="167"/>
      <c r="B604" s="167"/>
      <c r="C604" s="167"/>
      <c r="D604" s="167"/>
      <c r="E604" s="167"/>
      <c r="F604" s="167"/>
      <c r="G604" s="167"/>
      <c r="H604" s="167"/>
      <c r="I604" s="167"/>
      <c r="J604" s="167"/>
      <c r="K604" s="167"/>
      <c r="L604" s="167"/>
      <c r="M604" s="167"/>
      <c r="N604" s="167"/>
      <c r="O604" s="167"/>
      <c r="P604" s="167"/>
      <c r="Q604" s="167"/>
      <c r="R604" s="167"/>
      <c r="S604" s="167"/>
      <c r="T604" s="167"/>
      <c r="U604" s="167"/>
      <c r="V604" s="167"/>
      <c r="W604" s="167"/>
      <c r="X604" s="167"/>
      <c r="Y604" s="167"/>
      <c r="Z604" s="167"/>
      <c r="AA604" s="167"/>
      <c r="AB604" s="167"/>
      <c r="AC604" s="167"/>
      <c r="AD604" s="167"/>
      <c r="AE604" s="167"/>
      <c r="AF604" s="167"/>
      <c r="AG604" s="167"/>
      <c r="AH604" s="167"/>
      <c r="AI604" s="167"/>
      <c r="AJ604" s="167"/>
      <c r="AK604" s="167"/>
      <c r="AL604" s="167"/>
    </row>
    <row r="605" spans="1:38" ht="15.75" customHeight="1">
      <c r="A605" s="167"/>
      <c r="B605" s="167"/>
      <c r="C605" s="167"/>
      <c r="D605" s="167"/>
      <c r="E605" s="167"/>
      <c r="F605" s="167"/>
      <c r="G605" s="167"/>
      <c r="H605" s="167"/>
      <c r="I605" s="167"/>
      <c r="J605" s="167"/>
      <c r="K605" s="167"/>
      <c r="L605" s="167"/>
      <c r="M605" s="167"/>
      <c r="N605" s="167"/>
      <c r="O605" s="167"/>
      <c r="P605" s="167"/>
      <c r="Q605" s="167"/>
      <c r="R605" s="167"/>
      <c r="S605" s="167"/>
      <c r="T605" s="167"/>
      <c r="U605" s="167"/>
      <c r="V605" s="167"/>
      <c r="W605" s="167"/>
      <c r="X605" s="167"/>
      <c r="Y605" s="167"/>
      <c r="Z605" s="167"/>
      <c r="AA605" s="167"/>
      <c r="AB605" s="167"/>
      <c r="AC605" s="167"/>
      <c r="AD605" s="167"/>
      <c r="AE605" s="167"/>
      <c r="AF605" s="167"/>
      <c r="AG605" s="167"/>
      <c r="AH605" s="167"/>
      <c r="AI605" s="167"/>
      <c r="AJ605" s="167"/>
      <c r="AK605" s="167"/>
      <c r="AL605" s="167"/>
    </row>
    <row r="606" spans="1:38" ht="15.75" customHeight="1">
      <c r="A606" s="167"/>
      <c r="B606" s="167"/>
      <c r="C606" s="167"/>
      <c r="D606" s="167"/>
      <c r="E606" s="167"/>
      <c r="F606" s="167"/>
      <c r="G606" s="167"/>
      <c r="H606" s="167"/>
      <c r="I606" s="167"/>
      <c r="J606" s="167"/>
      <c r="K606" s="167"/>
      <c r="L606" s="167"/>
      <c r="M606" s="167"/>
      <c r="N606" s="167"/>
      <c r="O606" s="167"/>
      <c r="P606" s="167"/>
      <c r="Q606" s="167"/>
      <c r="R606" s="167"/>
      <c r="S606" s="167"/>
      <c r="T606" s="167"/>
      <c r="U606" s="167"/>
      <c r="V606" s="167"/>
      <c r="W606" s="167"/>
      <c r="X606" s="167"/>
      <c r="Y606" s="167"/>
      <c r="Z606" s="167"/>
      <c r="AA606" s="167"/>
      <c r="AB606" s="167"/>
      <c r="AC606" s="167"/>
      <c r="AD606" s="167"/>
      <c r="AE606" s="167"/>
      <c r="AF606" s="167"/>
      <c r="AG606" s="167"/>
      <c r="AH606" s="167"/>
      <c r="AI606" s="167"/>
      <c r="AJ606" s="167"/>
      <c r="AK606" s="167"/>
      <c r="AL606" s="167"/>
    </row>
    <row r="607" spans="1:38" ht="15.75" customHeight="1">
      <c r="A607" s="167"/>
      <c r="B607" s="167"/>
      <c r="C607" s="167"/>
      <c r="D607" s="167"/>
      <c r="E607" s="167"/>
      <c r="F607" s="167"/>
      <c r="G607" s="167"/>
      <c r="H607" s="167"/>
      <c r="I607" s="167"/>
      <c r="J607" s="167"/>
      <c r="K607" s="167"/>
      <c r="L607" s="167"/>
      <c r="M607" s="167"/>
      <c r="N607" s="167"/>
      <c r="O607" s="167"/>
      <c r="P607" s="167"/>
      <c r="Q607" s="167"/>
      <c r="R607" s="167"/>
      <c r="S607" s="167"/>
      <c r="T607" s="167"/>
      <c r="U607" s="167"/>
      <c r="V607" s="167"/>
      <c r="W607" s="167"/>
      <c r="X607" s="167"/>
      <c r="Y607" s="167"/>
      <c r="Z607" s="167"/>
      <c r="AA607" s="167"/>
      <c r="AB607" s="167"/>
      <c r="AC607" s="167"/>
      <c r="AD607" s="167"/>
      <c r="AE607" s="167"/>
      <c r="AF607" s="167"/>
      <c r="AG607" s="167"/>
      <c r="AH607" s="167"/>
      <c r="AI607" s="167"/>
      <c r="AJ607" s="167"/>
      <c r="AK607" s="167"/>
      <c r="AL607" s="167"/>
    </row>
    <row r="608" spans="1:38" ht="15.75" customHeight="1">
      <c r="A608" s="167"/>
      <c r="B608" s="167"/>
      <c r="C608" s="167"/>
      <c r="D608" s="167"/>
      <c r="E608" s="167"/>
      <c r="F608" s="167"/>
      <c r="G608" s="167"/>
      <c r="H608" s="167"/>
      <c r="I608" s="167"/>
      <c r="J608" s="167"/>
      <c r="K608" s="167"/>
      <c r="L608" s="167"/>
      <c r="M608" s="167"/>
      <c r="N608" s="167"/>
      <c r="O608" s="167"/>
      <c r="P608" s="167"/>
      <c r="Q608" s="167"/>
      <c r="R608" s="167"/>
      <c r="S608" s="167"/>
      <c r="T608" s="167"/>
      <c r="U608" s="167"/>
      <c r="V608" s="167"/>
      <c r="W608" s="167"/>
      <c r="X608" s="167"/>
      <c r="Y608" s="167"/>
      <c r="Z608" s="167"/>
      <c r="AA608" s="167"/>
      <c r="AB608" s="167"/>
      <c r="AC608" s="167"/>
      <c r="AD608" s="167"/>
      <c r="AE608" s="167"/>
      <c r="AF608" s="167"/>
      <c r="AG608" s="167"/>
      <c r="AH608" s="167"/>
      <c r="AI608" s="167"/>
      <c r="AJ608" s="167"/>
      <c r="AK608" s="167"/>
      <c r="AL608" s="167"/>
    </row>
    <row r="609" spans="1:38" ht="15.75" customHeight="1">
      <c r="A609" s="167"/>
      <c r="B609" s="167"/>
      <c r="C609" s="167"/>
      <c r="D609" s="167"/>
      <c r="E609" s="167"/>
      <c r="F609" s="167"/>
      <c r="G609" s="167"/>
      <c r="H609" s="167"/>
      <c r="I609" s="167"/>
      <c r="J609" s="167"/>
      <c r="K609" s="167"/>
      <c r="L609" s="167"/>
      <c r="M609" s="167"/>
      <c r="N609" s="167"/>
      <c r="O609" s="167"/>
      <c r="P609" s="167"/>
      <c r="Q609" s="167"/>
      <c r="R609" s="167"/>
      <c r="S609" s="167"/>
      <c r="T609" s="167"/>
      <c r="U609" s="167"/>
      <c r="V609" s="167"/>
      <c r="W609" s="167"/>
      <c r="X609" s="167"/>
      <c r="Y609" s="167"/>
      <c r="Z609" s="167"/>
      <c r="AA609" s="167"/>
      <c r="AB609" s="167"/>
      <c r="AC609" s="167"/>
      <c r="AD609" s="167"/>
      <c r="AE609" s="167"/>
      <c r="AF609" s="167"/>
      <c r="AG609" s="167"/>
      <c r="AH609" s="167"/>
      <c r="AI609" s="167"/>
      <c r="AJ609" s="167"/>
      <c r="AK609" s="167"/>
      <c r="AL609" s="167"/>
    </row>
    <row r="610" spans="1:38" ht="15.75" customHeight="1">
      <c r="A610" s="167"/>
      <c r="B610" s="167"/>
      <c r="C610" s="167"/>
      <c r="D610" s="167"/>
      <c r="E610" s="167"/>
      <c r="F610" s="167"/>
      <c r="G610" s="167"/>
      <c r="H610" s="167"/>
      <c r="I610" s="167"/>
      <c r="J610" s="167"/>
      <c r="K610" s="167"/>
      <c r="L610" s="167"/>
      <c r="M610" s="167"/>
      <c r="N610" s="167"/>
      <c r="O610" s="167"/>
      <c r="P610" s="167"/>
      <c r="Q610" s="167"/>
      <c r="R610" s="167"/>
      <c r="S610" s="167"/>
      <c r="T610" s="167"/>
      <c r="U610" s="167"/>
      <c r="V610" s="167"/>
      <c r="W610" s="167"/>
      <c r="X610" s="167"/>
      <c r="Y610" s="167"/>
      <c r="Z610" s="167"/>
      <c r="AA610" s="167"/>
      <c r="AB610" s="167"/>
      <c r="AC610" s="167"/>
      <c r="AD610" s="167"/>
      <c r="AE610" s="167"/>
      <c r="AF610" s="167"/>
      <c r="AG610" s="167"/>
      <c r="AH610" s="167"/>
      <c r="AI610" s="167"/>
      <c r="AJ610" s="167"/>
      <c r="AK610" s="167"/>
      <c r="AL610" s="167"/>
    </row>
    <row r="611" spans="1:38" ht="15.75" customHeight="1">
      <c r="A611" s="167"/>
      <c r="B611" s="167"/>
      <c r="C611" s="167"/>
      <c r="D611" s="167"/>
      <c r="E611" s="167"/>
      <c r="F611" s="167"/>
      <c r="G611" s="167"/>
      <c r="H611" s="167"/>
      <c r="I611" s="167"/>
      <c r="J611" s="167"/>
      <c r="K611" s="167"/>
      <c r="L611" s="167"/>
      <c r="M611" s="167"/>
      <c r="N611" s="167"/>
      <c r="O611" s="167"/>
      <c r="P611" s="167"/>
      <c r="Q611" s="167"/>
      <c r="R611" s="167"/>
      <c r="S611" s="167"/>
      <c r="T611" s="167"/>
      <c r="U611" s="167"/>
      <c r="V611" s="167"/>
      <c r="W611" s="167"/>
      <c r="X611" s="167"/>
      <c r="Y611" s="167"/>
      <c r="Z611" s="167"/>
      <c r="AA611" s="167"/>
      <c r="AB611" s="167"/>
      <c r="AC611" s="167"/>
      <c r="AD611" s="167"/>
      <c r="AE611" s="167"/>
      <c r="AF611" s="167"/>
      <c r="AG611" s="167"/>
      <c r="AH611" s="167"/>
      <c r="AI611" s="167"/>
      <c r="AJ611" s="167"/>
      <c r="AK611" s="167"/>
      <c r="AL611" s="167"/>
    </row>
    <row r="612" spans="1:38" ht="15.75" customHeight="1">
      <c r="A612" s="167"/>
      <c r="B612" s="167"/>
      <c r="C612" s="167"/>
      <c r="D612" s="167"/>
      <c r="E612" s="167"/>
      <c r="F612" s="167"/>
      <c r="G612" s="167"/>
      <c r="H612" s="167"/>
      <c r="I612" s="167"/>
      <c r="J612" s="167"/>
      <c r="K612" s="167"/>
      <c r="L612" s="167"/>
      <c r="M612" s="167"/>
      <c r="N612" s="167"/>
      <c r="O612" s="167"/>
      <c r="P612" s="167"/>
      <c r="Q612" s="167"/>
      <c r="R612" s="167"/>
      <c r="S612" s="167"/>
      <c r="T612" s="167"/>
      <c r="U612" s="167"/>
      <c r="V612" s="167"/>
      <c r="W612" s="167"/>
      <c r="X612" s="167"/>
      <c r="Y612" s="167"/>
      <c r="Z612" s="167"/>
      <c r="AA612" s="167"/>
      <c r="AB612" s="167"/>
      <c r="AC612" s="167"/>
      <c r="AD612" s="167"/>
      <c r="AE612" s="167"/>
      <c r="AF612" s="167"/>
      <c r="AG612" s="167"/>
      <c r="AH612" s="167"/>
      <c r="AI612" s="167"/>
      <c r="AJ612" s="167"/>
      <c r="AK612" s="167"/>
      <c r="AL612" s="167"/>
    </row>
    <row r="613" spans="1:38" ht="15.75" customHeight="1">
      <c r="A613" s="167"/>
      <c r="B613" s="167"/>
      <c r="C613" s="167"/>
      <c r="D613" s="167"/>
      <c r="E613" s="167"/>
      <c r="F613" s="167"/>
      <c r="G613" s="167"/>
      <c r="H613" s="167"/>
      <c r="I613" s="167"/>
      <c r="J613" s="167"/>
      <c r="K613" s="167"/>
      <c r="L613" s="167"/>
      <c r="M613" s="167"/>
      <c r="N613" s="167"/>
      <c r="O613" s="167"/>
      <c r="P613" s="167"/>
      <c r="Q613" s="167"/>
      <c r="R613" s="167"/>
      <c r="S613" s="167"/>
      <c r="T613" s="167"/>
      <c r="U613" s="167"/>
      <c r="V613" s="167"/>
      <c r="W613" s="167"/>
      <c r="X613" s="167"/>
      <c r="Y613" s="167"/>
      <c r="Z613" s="167"/>
      <c r="AA613" s="167"/>
      <c r="AB613" s="167"/>
      <c r="AC613" s="167"/>
      <c r="AD613" s="167"/>
      <c r="AE613" s="167"/>
      <c r="AF613" s="167"/>
      <c r="AG613" s="167"/>
      <c r="AH613" s="167"/>
      <c r="AI613" s="167"/>
      <c r="AJ613" s="167"/>
      <c r="AK613" s="167"/>
      <c r="AL613" s="167"/>
    </row>
    <row r="614" spans="1:38" ht="15.75" customHeight="1">
      <c r="A614" s="167"/>
      <c r="B614" s="167"/>
      <c r="C614" s="167"/>
      <c r="D614" s="167"/>
      <c r="E614" s="167"/>
      <c r="F614" s="167"/>
      <c r="G614" s="167"/>
      <c r="H614" s="167"/>
      <c r="I614" s="167"/>
      <c r="J614" s="167"/>
      <c r="K614" s="167"/>
      <c r="L614" s="167"/>
      <c r="M614" s="167"/>
      <c r="N614" s="167"/>
      <c r="O614" s="167"/>
      <c r="P614" s="167"/>
      <c r="Q614" s="167"/>
      <c r="R614" s="167"/>
      <c r="S614" s="167"/>
      <c r="T614" s="167"/>
      <c r="U614" s="167"/>
      <c r="V614" s="167"/>
      <c r="W614" s="167"/>
      <c r="X614" s="167"/>
      <c r="Y614" s="167"/>
      <c r="Z614" s="167"/>
      <c r="AA614" s="167"/>
      <c r="AB614" s="167"/>
      <c r="AC614" s="167"/>
      <c r="AD614" s="167"/>
      <c r="AE614" s="167"/>
      <c r="AF614" s="167"/>
      <c r="AG614" s="167"/>
      <c r="AH614" s="167"/>
      <c r="AI614" s="167"/>
      <c r="AJ614" s="167"/>
      <c r="AK614" s="167"/>
      <c r="AL614" s="167"/>
    </row>
    <row r="615" spans="1:38" ht="15.75" customHeight="1">
      <c r="A615" s="167"/>
      <c r="B615" s="167"/>
      <c r="C615" s="167"/>
      <c r="D615" s="167"/>
      <c r="E615" s="167"/>
      <c r="F615" s="167"/>
      <c r="G615" s="167"/>
      <c r="H615" s="167"/>
      <c r="I615" s="167"/>
      <c r="J615" s="167"/>
      <c r="K615" s="167"/>
      <c r="L615" s="167"/>
      <c r="M615" s="167"/>
      <c r="N615" s="167"/>
      <c r="O615" s="167"/>
      <c r="P615" s="167"/>
      <c r="Q615" s="167"/>
      <c r="R615" s="167"/>
      <c r="S615" s="167"/>
      <c r="T615" s="167"/>
      <c r="U615" s="167"/>
      <c r="V615" s="167"/>
      <c r="W615" s="167"/>
      <c r="X615" s="167"/>
      <c r="Y615" s="167"/>
      <c r="Z615" s="167"/>
      <c r="AA615" s="167"/>
      <c r="AB615" s="167"/>
      <c r="AC615" s="167"/>
      <c r="AD615" s="167"/>
      <c r="AE615" s="167"/>
      <c r="AF615" s="167"/>
      <c r="AG615" s="167"/>
      <c r="AH615" s="167"/>
      <c r="AI615" s="167"/>
      <c r="AJ615" s="167"/>
      <c r="AK615" s="167"/>
      <c r="AL615" s="167"/>
    </row>
    <row r="616" spans="1:38" ht="15.75" customHeight="1">
      <c r="A616" s="167"/>
      <c r="B616" s="167"/>
      <c r="C616" s="167"/>
      <c r="D616" s="167"/>
      <c r="E616" s="167"/>
      <c r="F616" s="167"/>
      <c r="G616" s="167"/>
      <c r="H616" s="167"/>
      <c r="I616" s="167"/>
      <c r="J616" s="167"/>
      <c r="K616" s="167"/>
      <c r="L616" s="167"/>
      <c r="M616" s="167"/>
      <c r="N616" s="167"/>
      <c r="O616" s="167"/>
      <c r="P616" s="167"/>
      <c r="Q616" s="167"/>
      <c r="R616" s="167"/>
      <c r="S616" s="167"/>
      <c r="T616" s="167"/>
      <c r="U616" s="167"/>
      <c r="V616" s="167"/>
      <c r="W616" s="167"/>
      <c r="X616" s="167"/>
      <c r="Y616" s="167"/>
      <c r="Z616" s="167"/>
      <c r="AA616" s="167"/>
      <c r="AB616" s="167"/>
      <c r="AC616" s="167"/>
      <c r="AD616" s="167"/>
      <c r="AE616" s="167"/>
      <c r="AF616" s="167"/>
      <c r="AG616" s="167"/>
      <c r="AH616" s="167"/>
      <c r="AI616" s="167"/>
      <c r="AJ616" s="167"/>
      <c r="AK616" s="167"/>
      <c r="AL616" s="167"/>
    </row>
    <row r="617" spans="1:38" ht="15.75" customHeight="1">
      <c r="A617" s="167"/>
      <c r="B617" s="167"/>
      <c r="C617" s="167"/>
      <c r="D617" s="167"/>
      <c r="E617" s="167"/>
      <c r="F617" s="167"/>
      <c r="G617" s="167"/>
      <c r="H617" s="167"/>
      <c r="I617" s="167"/>
      <c r="J617" s="167"/>
      <c r="K617" s="167"/>
      <c r="L617" s="167"/>
      <c r="M617" s="167"/>
      <c r="N617" s="167"/>
      <c r="O617" s="167"/>
      <c r="P617" s="167"/>
      <c r="Q617" s="167"/>
      <c r="R617" s="167"/>
      <c r="S617" s="167"/>
      <c r="T617" s="167"/>
      <c r="U617" s="167"/>
      <c r="V617" s="167"/>
      <c r="W617" s="167"/>
      <c r="X617" s="167"/>
      <c r="Y617" s="167"/>
      <c r="Z617" s="167"/>
      <c r="AA617" s="167"/>
      <c r="AB617" s="167"/>
      <c r="AC617" s="167"/>
      <c r="AD617" s="167"/>
      <c r="AE617" s="167"/>
      <c r="AF617" s="167"/>
      <c r="AG617" s="167"/>
      <c r="AH617" s="167"/>
      <c r="AI617" s="167"/>
      <c r="AJ617" s="167"/>
      <c r="AK617" s="167"/>
      <c r="AL617" s="167"/>
    </row>
    <row r="618" spans="1:38" ht="15.75" customHeight="1">
      <c r="A618" s="167"/>
      <c r="B618" s="167"/>
      <c r="C618" s="167"/>
      <c r="D618" s="167"/>
      <c r="E618" s="167"/>
      <c r="F618" s="167"/>
      <c r="G618" s="167"/>
      <c r="H618" s="167"/>
      <c r="I618" s="167"/>
      <c r="J618" s="167"/>
      <c r="K618" s="167"/>
      <c r="L618" s="167"/>
      <c r="M618" s="167"/>
      <c r="N618" s="167"/>
      <c r="O618" s="167"/>
      <c r="P618" s="167"/>
      <c r="Q618" s="167"/>
      <c r="R618" s="167"/>
      <c r="S618" s="167"/>
      <c r="T618" s="167"/>
      <c r="U618" s="167"/>
      <c r="V618" s="167"/>
      <c r="W618" s="167"/>
      <c r="X618" s="167"/>
      <c r="Y618" s="167"/>
      <c r="Z618" s="167"/>
      <c r="AA618" s="167"/>
      <c r="AB618" s="167"/>
      <c r="AC618" s="167"/>
      <c r="AD618" s="167"/>
      <c r="AE618" s="167"/>
      <c r="AF618" s="167"/>
      <c r="AG618" s="167"/>
      <c r="AH618" s="167"/>
      <c r="AI618" s="167"/>
      <c r="AJ618" s="167"/>
      <c r="AK618" s="167"/>
      <c r="AL618" s="167"/>
    </row>
    <row r="619" spans="1:38" ht="15.75" customHeight="1">
      <c r="A619" s="167"/>
      <c r="B619" s="167"/>
      <c r="C619" s="167"/>
      <c r="D619" s="167"/>
      <c r="E619" s="167"/>
      <c r="F619" s="167"/>
      <c r="G619" s="167"/>
      <c r="H619" s="167"/>
      <c r="I619" s="167"/>
      <c r="J619" s="167"/>
      <c r="K619" s="167"/>
      <c r="L619" s="167"/>
      <c r="M619" s="167"/>
      <c r="N619" s="167"/>
      <c r="O619" s="167"/>
      <c r="P619" s="167"/>
      <c r="Q619" s="167"/>
      <c r="R619" s="167"/>
      <c r="S619" s="167"/>
      <c r="T619" s="167"/>
      <c r="U619" s="167"/>
      <c r="V619" s="167"/>
      <c r="W619" s="167"/>
      <c r="X619" s="167"/>
      <c r="Y619" s="167"/>
      <c r="Z619" s="167"/>
      <c r="AA619" s="167"/>
      <c r="AB619" s="167"/>
      <c r="AC619" s="167"/>
      <c r="AD619" s="167"/>
      <c r="AE619" s="167"/>
      <c r="AF619" s="167"/>
      <c r="AG619" s="167"/>
      <c r="AH619" s="167"/>
      <c r="AI619" s="167"/>
      <c r="AJ619" s="167"/>
      <c r="AK619" s="167"/>
      <c r="AL619" s="167"/>
    </row>
    <row r="620" spans="1:38" ht="15.75" customHeight="1">
      <c r="A620" s="167"/>
      <c r="B620" s="167"/>
      <c r="C620" s="167"/>
      <c r="D620" s="167"/>
      <c r="E620" s="167"/>
      <c r="F620" s="167"/>
      <c r="G620" s="167"/>
      <c r="H620" s="167"/>
      <c r="I620" s="167"/>
      <c r="J620" s="167"/>
      <c r="K620" s="167"/>
      <c r="L620" s="167"/>
      <c r="M620" s="167"/>
      <c r="N620" s="167"/>
      <c r="O620" s="167"/>
      <c r="P620" s="167"/>
      <c r="Q620" s="167"/>
      <c r="R620" s="167"/>
      <c r="S620" s="167"/>
      <c r="T620" s="167"/>
      <c r="U620" s="167"/>
      <c r="V620" s="167"/>
      <c r="W620" s="167"/>
      <c r="X620" s="167"/>
      <c r="Y620" s="167"/>
      <c r="Z620" s="167"/>
      <c r="AA620" s="167"/>
      <c r="AB620" s="167"/>
      <c r="AC620" s="167"/>
      <c r="AD620" s="167"/>
      <c r="AE620" s="167"/>
      <c r="AF620" s="167"/>
      <c r="AG620" s="167"/>
      <c r="AH620" s="167"/>
      <c r="AI620" s="167"/>
      <c r="AJ620" s="167"/>
      <c r="AK620" s="167"/>
      <c r="AL620" s="167"/>
    </row>
    <row r="621" spans="1:38" ht="15.75" customHeight="1">
      <c r="A621" s="167"/>
      <c r="B621" s="167"/>
      <c r="C621" s="167"/>
      <c r="D621" s="167"/>
      <c r="E621" s="167"/>
      <c r="F621" s="167"/>
      <c r="G621" s="167"/>
      <c r="H621" s="167"/>
      <c r="I621" s="167"/>
      <c r="J621" s="167"/>
      <c r="K621" s="167"/>
      <c r="L621" s="167"/>
      <c r="M621" s="167"/>
      <c r="N621" s="167"/>
      <c r="O621" s="167"/>
      <c r="P621" s="167"/>
      <c r="Q621" s="167"/>
      <c r="R621" s="167"/>
      <c r="S621" s="167"/>
      <c r="T621" s="167"/>
      <c r="U621" s="167"/>
      <c r="V621" s="167"/>
      <c r="W621" s="167"/>
      <c r="X621" s="167"/>
      <c r="Y621" s="167"/>
      <c r="Z621" s="167"/>
      <c r="AA621" s="167"/>
      <c r="AB621" s="167"/>
      <c r="AC621" s="167"/>
      <c r="AD621" s="167"/>
      <c r="AE621" s="167"/>
      <c r="AF621" s="167"/>
      <c r="AG621" s="167"/>
      <c r="AH621" s="167"/>
      <c r="AI621" s="167"/>
      <c r="AJ621" s="167"/>
      <c r="AK621" s="167"/>
      <c r="AL621" s="167"/>
    </row>
    <row r="622" spans="1:38" ht="15.75" customHeight="1">
      <c r="A622" s="167"/>
      <c r="B622" s="167"/>
      <c r="C622" s="167"/>
      <c r="D622" s="167"/>
      <c r="E622" s="167"/>
      <c r="F622" s="167"/>
      <c r="G622" s="167"/>
      <c r="H622" s="167"/>
      <c r="I622" s="167"/>
      <c r="J622" s="167"/>
      <c r="K622" s="167"/>
      <c r="L622" s="167"/>
      <c r="M622" s="167"/>
      <c r="N622" s="167"/>
      <c r="O622" s="167"/>
      <c r="P622" s="167"/>
      <c r="Q622" s="167"/>
      <c r="R622" s="167"/>
      <c r="S622" s="167"/>
      <c r="T622" s="167"/>
      <c r="U622" s="167"/>
      <c r="V622" s="167"/>
      <c r="W622" s="167"/>
      <c r="X622" s="167"/>
      <c r="Y622" s="167"/>
      <c r="Z622" s="167"/>
      <c r="AA622" s="167"/>
      <c r="AB622" s="167"/>
      <c r="AC622" s="167"/>
      <c r="AD622" s="167"/>
      <c r="AE622" s="167"/>
      <c r="AF622" s="167"/>
      <c r="AG622" s="167"/>
      <c r="AH622" s="167"/>
      <c r="AI622" s="167"/>
      <c r="AJ622" s="167"/>
      <c r="AK622" s="167"/>
      <c r="AL622" s="167"/>
    </row>
    <row r="623" spans="1:38" ht="15.75" customHeight="1">
      <c r="A623" s="167"/>
      <c r="B623" s="167"/>
      <c r="C623" s="167"/>
      <c r="D623" s="167"/>
      <c r="E623" s="167"/>
      <c r="F623" s="167"/>
      <c r="G623" s="167"/>
      <c r="H623" s="167"/>
      <c r="I623" s="167"/>
      <c r="J623" s="167"/>
      <c r="K623" s="167"/>
      <c r="L623" s="167"/>
      <c r="M623" s="167"/>
      <c r="N623" s="167"/>
      <c r="O623" s="167"/>
      <c r="P623" s="167"/>
      <c r="Q623" s="167"/>
      <c r="R623" s="167"/>
      <c r="S623" s="167"/>
      <c r="T623" s="167"/>
      <c r="U623" s="167"/>
      <c r="V623" s="167"/>
      <c r="W623" s="167"/>
      <c r="X623" s="167"/>
      <c r="Y623" s="167"/>
      <c r="Z623" s="167"/>
      <c r="AA623" s="167"/>
      <c r="AB623" s="167"/>
      <c r="AC623" s="167"/>
      <c r="AD623" s="167"/>
      <c r="AE623" s="167"/>
      <c r="AF623" s="167"/>
      <c r="AG623" s="167"/>
      <c r="AH623" s="167"/>
      <c r="AI623" s="167"/>
      <c r="AJ623" s="167"/>
      <c r="AK623" s="167"/>
      <c r="AL623" s="167"/>
    </row>
    <row r="624" spans="1:38" ht="15.75" customHeight="1">
      <c r="A624" s="167"/>
      <c r="B624" s="167"/>
      <c r="C624" s="167"/>
      <c r="D624" s="167"/>
      <c r="E624" s="167"/>
      <c r="F624" s="167"/>
      <c r="G624" s="167"/>
      <c r="H624" s="167"/>
      <c r="I624" s="167"/>
      <c r="J624" s="167"/>
      <c r="K624" s="167"/>
      <c r="L624" s="167"/>
      <c r="M624" s="167"/>
      <c r="N624" s="167"/>
      <c r="O624" s="167"/>
      <c r="P624" s="167"/>
      <c r="Q624" s="167"/>
      <c r="R624" s="167"/>
      <c r="S624" s="167"/>
      <c r="T624" s="167"/>
      <c r="U624" s="167"/>
      <c r="V624" s="167"/>
      <c r="W624" s="167"/>
      <c r="X624" s="167"/>
      <c r="Y624" s="167"/>
      <c r="Z624" s="167"/>
      <c r="AA624" s="167"/>
      <c r="AB624" s="167"/>
      <c r="AC624" s="167"/>
      <c r="AD624" s="167"/>
      <c r="AE624" s="167"/>
      <c r="AF624" s="167"/>
      <c r="AG624" s="167"/>
      <c r="AH624" s="167"/>
      <c r="AI624" s="167"/>
      <c r="AJ624" s="167"/>
      <c r="AK624" s="167"/>
      <c r="AL624" s="167"/>
    </row>
    <row r="625" spans="1:38" ht="15.75" customHeight="1">
      <c r="A625" s="167"/>
      <c r="B625" s="167"/>
      <c r="C625" s="167"/>
      <c r="D625" s="167"/>
      <c r="E625" s="167"/>
      <c r="F625" s="167"/>
      <c r="G625" s="167"/>
      <c r="H625" s="167"/>
      <c r="I625" s="167"/>
      <c r="J625" s="167"/>
      <c r="K625" s="167"/>
      <c r="L625" s="167"/>
      <c r="M625" s="167"/>
      <c r="N625" s="167"/>
      <c r="O625" s="167"/>
      <c r="P625" s="167"/>
      <c r="Q625" s="167"/>
      <c r="R625" s="167"/>
      <c r="S625" s="167"/>
      <c r="T625" s="167"/>
      <c r="U625" s="167"/>
      <c r="V625" s="167"/>
      <c r="W625" s="167"/>
      <c r="X625" s="167"/>
      <c r="Y625" s="167"/>
      <c r="Z625" s="167"/>
      <c r="AA625" s="167"/>
      <c r="AB625" s="167"/>
      <c r="AC625" s="167"/>
      <c r="AD625" s="167"/>
      <c r="AE625" s="167"/>
      <c r="AF625" s="167"/>
      <c r="AG625" s="167"/>
      <c r="AH625" s="167"/>
      <c r="AI625" s="167"/>
      <c r="AJ625" s="167"/>
      <c r="AK625" s="167"/>
      <c r="AL625" s="167"/>
    </row>
    <row r="626" spans="1:38" ht="15.75" customHeight="1">
      <c r="A626" s="167"/>
      <c r="B626" s="167"/>
      <c r="C626" s="167"/>
      <c r="D626" s="167"/>
      <c r="E626" s="167"/>
      <c r="F626" s="167"/>
      <c r="G626" s="167"/>
      <c r="H626" s="167"/>
      <c r="I626" s="167"/>
      <c r="J626" s="167"/>
      <c r="K626" s="167"/>
      <c r="L626" s="167"/>
      <c r="M626" s="167"/>
      <c r="N626" s="167"/>
      <c r="O626" s="167"/>
      <c r="P626" s="167"/>
      <c r="Q626" s="167"/>
      <c r="R626" s="167"/>
      <c r="S626" s="167"/>
      <c r="T626" s="167"/>
      <c r="U626" s="167"/>
      <c r="V626" s="167"/>
      <c r="W626" s="167"/>
      <c r="X626" s="167"/>
      <c r="Y626" s="167"/>
      <c r="Z626" s="167"/>
      <c r="AA626" s="167"/>
      <c r="AB626" s="167"/>
      <c r="AC626" s="167"/>
      <c r="AD626" s="167"/>
      <c r="AE626" s="167"/>
      <c r="AF626" s="167"/>
      <c r="AG626" s="167"/>
      <c r="AH626" s="167"/>
      <c r="AI626" s="167"/>
      <c r="AJ626" s="167"/>
      <c r="AK626" s="167"/>
      <c r="AL626" s="167"/>
    </row>
    <row r="627" spans="1:38" ht="15.75" customHeight="1">
      <c r="A627" s="167"/>
      <c r="B627" s="167"/>
      <c r="C627" s="167"/>
      <c r="D627" s="167"/>
      <c r="E627" s="167"/>
      <c r="F627" s="167"/>
      <c r="G627" s="167"/>
      <c r="H627" s="167"/>
      <c r="I627" s="167"/>
      <c r="J627" s="167"/>
      <c r="K627" s="167"/>
      <c r="L627" s="167"/>
      <c r="M627" s="167"/>
      <c r="N627" s="167"/>
      <c r="O627" s="167"/>
      <c r="P627" s="167"/>
      <c r="Q627" s="167"/>
      <c r="R627" s="167"/>
      <c r="S627" s="167"/>
      <c r="T627" s="167"/>
      <c r="U627" s="167"/>
      <c r="V627" s="167"/>
      <c r="W627" s="167"/>
      <c r="X627" s="167"/>
      <c r="Y627" s="167"/>
      <c r="Z627" s="167"/>
      <c r="AA627" s="167"/>
      <c r="AB627" s="167"/>
      <c r="AC627" s="167"/>
      <c r="AD627" s="167"/>
      <c r="AE627" s="167"/>
      <c r="AF627" s="167"/>
      <c r="AG627" s="167"/>
      <c r="AH627" s="167"/>
      <c r="AI627" s="167"/>
      <c r="AJ627" s="167"/>
      <c r="AK627" s="167"/>
      <c r="AL627" s="167"/>
    </row>
    <row r="628" spans="1:38" ht="15.75" customHeight="1">
      <c r="A628" s="167"/>
      <c r="B628" s="167"/>
      <c r="C628" s="167"/>
      <c r="D628" s="167"/>
      <c r="E628" s="167"/>
      <c r="F628" s="167"/>
      <c r="G628" s="167"/>
      <c r="H628" s="167"/>
      <c r="I628" s="167"/>
      <c r="J628" s="167"/>
      <c r="K628" s="167"/>
      <c r="L628" s="167"/>
      <c r="M628" s="167"/>
      <c r="N628" s="167"/>
      <c r="O628" s="167"/>
      <c r="P628" s="167"/>
      <c r="Q628" s="167"/>
      <c r="R628" s="167"/>
      <c r="S628" s="167"/>
      <c r="T628" s="167"/>
      <c r="U628" s="167"/>
      <c r="V628" s="167"/>
      <c r="W628" s="167"/>
      <c r="X628" s="167"/>
      <c r="Y628" s="167"/>
      <c r="Z628" s="167"/>
      <c r="AA628" s="167"/>
      <c r="AB628" s="167"/>
      <c r="AC628" s="167"/>
      <c r="AD628" s="167"/>
      <c r="AE628" s="167"/>
      <c r="AF628" s="167"/>
      <c r="AG628" s="167"/>
      <c r="AH628" s="167"/>
      <c r="AI628" s="167"/>
      <c r="AJ628" s="167"/>
      <c r="AK628" s="167"/>
      <c r="AL628" s="167"/>
    </row>
    <row r="629" spans="1:38" ht="15.75" customHeight="1">
      <c r="A629" s="167"/>
      <c r="B629" s="167"/>
      <c r="C629" s="167"/>
      <c r="D629" s="167"/>
      <c r="E629" s="167"/>
      <c r="F629" s="167"/>
      <c r="G629" s="167"/>
      <c r="H629" s="167"/>
      <c r="I629" s="167"/>
      <c r="J629" s="167"/>
      <c r="K629" s="167"/>
      <c r="L629" s="167"/>
      <c r="M629" s="167"/>
      <c r="N629" s="167"/>
      <c r="O629" s="167"/>
      <c r="P629" s="167"/>
      <c r="Q629" s="167"/>
      <c r="R629" s="167"/>
      <c r="S629" s="167"/>
      <c r="T629" s="167"/>
      <c r="U629" s="167"/>
      <c r="V629" s="167"/>
      <c r="W629" s="167"/>
      <c r="X629" s="167"/>
      <c r="Y629" s="167"/>
      <c r="Z629" s="167"/>
      <c r="AA629" s="167"/>
      <c r="AB629" s="167"/>
      <c r="AC629" s="167"/>
      <c r="AD629" s="167"/>
      <c r="AE629" s="167"/>
      <c r="AF629" s="167"/>
      <c r="AG629" s="167"/>
      <c r="AH629" s="167"/>
      <c r="AI629" s="167"/>
      <c r="AJ629" s="167"/>
      <c r="AK629" s="167"/>
      <c r="AL629" s="167"/>
    </row>
    <row r="630" spans="1:38" ht="15.75" customHeight="1">
      <c r="A630" s="167"/>
      <c r="B630" s="167"/>
      <c r="C630" s="167"/>
      <c r="D630" s="167"/>
      <c r="E630" s="167"/>
      <c r="F630" s="167"/>
      <c r="G630" s="167"/>
      <c r="H630" s="167"/>
      <c r="I630" s="167"/>
      <c r="J630" s="167"/>
      <c r="K630" s="167"/>
      <c r="L630" s="167"/>
      <c r="M630" s="167"/>
      <c r="N630" s="167"/>
      <c r="O630" s="167"/>
      <c r="P630" s="167"/>
      <c r="Q630" s="167"/>
      <c r="R630" s="167"/>
      <c r="S630" s="167"/>
      <c r="T630" s="167"/>
      <c r="U630" s="167"/>
      <c r="V630" s="167"/>
      <c r="W630" s="167"/>
      <c r="X630" s="167"/>
      <c r="Y630" s="167"/>
      <c r="Z630" s="167"/>
      <c r="AA630" s="167"/>
      <c r="AB630" s="167"/>
      <c r="AC630" s="167"/>
      <c r="AD630" s="167"/>
      <c r="AE630" s="167"/>
      <c r="AF630" s="167"/>
      <c r="AG630" s="167"/>
      <c r="AH630" s="167"/>
      <c r="AI630" s="167"/>
      <c r="AJ630" s="167"/>
      <c r="AK630" s="167"/>
      <c r="AL630" s="167"/>
    </row>
    <row r="631" spans="1:38" ht="15.75" customHeight="1">
      <c r="A631" s="167"/>
      <c r="B631" s="167"/>
      <c r="C631" s="167"/>
      <c r="D631" s="167"/>
      <c r="E631" s="167"/>
      <c r="F631" s="167"/>
      <c r="G631" s="167"/>
      <c r="H631" s="167"/>
      <c r="I631" s="167"/>
      <c r="J631" s="167"/>
      <c r="K631" s="167"/>
      <c r="L631" s="167"/>
      <c r="M631" s="167"/>
      <c r="N631" s="167"/>
      <c r="O631" s="167"/>
      <c r="P631" s="167"/>
      <c r="Q631" s="167"/>
      <c r="R631" s="167"/>
      <c r="S631" s="167"/>
      <c r="T631" s="167"/>
      <c r="U631" s="167"/>
      <c r="V631" s="167"/>
      <c r="W631" s="167"/>
      <c r="X631" s="167"/>
      <c r="Y631" s="167"/>
      <c r="Z631" s="167"/>
      <c r="AA631" s="167"/>
      <c r="AB631" s="167"/>
      <c r="AC631" s="167"/>
      <c r="AD631" s="167"/>
      <c r="AE631" s="167"/>
      <c r="AF631" s="167"/>
      <c r="AG631" s="167"/>
      <c r="AH631" s="167"/>
      <c r="AI631" s="167"/>
      <c r="AJ631" s="167"/>
      <c r="AK631" s="167"/>
      <c r="AL631" s="167"/>
    </row>
    <row r="632" spans="1:38" ht="15.75" customHeight="1">
      <c r="A632" s="167"/>
      <c r="B632" s="167"/>
      <c r="C632" s="167"/>
      <c r="D632" s="167"/>
      <c r="E632" s="167"/>
      <c r="F632" s="167"/>
      <c r="G632" s="167"/>
      <c r="H632" s="167"/>
      <c r="I632" s="167"/>
      <c r="J632" s="167"/>
      <c r="K632" s="167"/>
      <c r="L632" s="167"/>
      <c r="M632" s="167"/>
      <c r="N632" s="167"/>
      <c r="O632" s="167"/>
      <c r="P632" s="167"/>
      <c r="Q632" s="167"/>
      <c r="R632" s="167"/>
      <c r="S632" s="167"/>
      <c r="T632" s="167"/>
      <c r="U632" s="167"/>
      <c r="V632" s="167"/>
      <c r="W632" s="167"/>
      <c r="X632" s="167"/>
      <c r="Y632" s="167"/>
      <c r="Z632" s="167"/>
      <c r="AA632" s="167"/>
      <c r="AB632" s="167"/>
      <c r="AC632" s="167"/>
      <c r="AD632" s="167"/>
      <c r="AE632" s="167"/>
      <c r="AF632" s="167"/>
      <c r="AG632" s="167"/>
      <c r="AH632" s="167"/>
      <c r="AI632" s="167"/>
      <c r="AJ632" s="167"/>
      <c r="AK632" s="167"/>
      <c r="AL632" s="167"/>
    </row>
    <row r="633" spans="1:38" ht="15.75" customHeight="1">
      <c r="A633" s="167"/>
      <c r="B633" s="167"/>
      <c r="C633" s="167"/>
      <c r="D633" s="167"/>
      <c r="E633" s="167"/>
      <c r="F633" s="167"/>
      <c r="G633" s="167"/>
      <c r="H633" s="167"/>
      <c r="I633" s="167"/>
      <c r="J633" s="167"/>
      <c r="K633" s="167"/>
      <c r="L633" s="167"/>
      <c r="M633" s="167"/>
      <c r="N633" s="167"/>
      <c r="O633" s="167"/>
      <c r="P633" s="167"/>
      <c r="Q633" s="167"/>
      <c r="R633" s="167"/>
      <c r="S633" s="167"/>
      <c r="T633" s="167"/>
      <c r="U633" s="167"/>
      <c r="V633" s="167"/>
      <c r="W633" s="167"/>
      <c r="X633" s="167"/>
      <c r="Y633" s="167"/>
      <c r="Z633" s="167"/>
      <c r="AA633" s="167"/>
      <c r="AB633" s="167"/>
      <c r="AC633" s="167"/>
      <c r="AD633" s="167"/>
      <c r="AE633" s="167"/>
      <c r="AF633" s="167"/>
      <c r="AG633" s="167"/>
      <c r="AH633" s="167"/>
      <c r="AI633" s="167"/>
      <c r="AJ633" s="167"/>
      <c r="AK633" s="167"/>
      <c r="AL633" s="167"/>
    </row>
    <row r="634" spans="1:38" ht="15.75" customHeight="1">
      <c r="A634" s="167"/>
      <c r="B634" s="167"/>
      <c r="C634" s="167"/>
      <c r="D634" s="167"/>
      <c r="E634" s="167"/>
      <c r="F634" s="167"/>
      <c r="G634" s="167"/>
      <c r="H634" s="167"/>
      <c r="I634" s="167"/>
      <c r="J634" s="167"/>
      <c r="K634" s="167"/>
      <c r="L634" s="167"/>
      <c r="M634" s="167"/>
      <c r="N634" s="167"/>
      <c r="O634" s="167"/>
      <c r="P634" s="167"/>
      <c r="Q634" s="167"/>
      <c r="R634" s="167"/>
      <c r="S634" s="167"/>
      <c r="T634" s="167"/>
      <c r="U634" s="167"/>
      <c r="V634" s="167"/>
      <c r="W634" s="167"/>
      <c r="X634" s="167"/>
      <c r="Y634" s="167"/>
      <c r="Z634" s="167"/>
      <c r="AA634" s="167"/>
      <c r="AB634" s="167"/>
      <c r="AC634" s="167"/>
      <c r="AD634" s="167"/>
      <c r="AE634" s="167"/>
      <c r="AF634" s="167"/>
      <c r="AG634" s="167"/>
      <c r="AH634" s="167"/>
      <c r="AI634" s="167"/>
      <c r="AJ634" s="167"/>
      <c r="AK634" s="167"/>
      <c r="AL634" s="167"/>
    </row>
    <row r="635" spans="1:38" ht="15.75" customHeight="1">
      <c r="A635" s="167"/>
      <c r="B635" s="167"/>
      <c r="C635" s="167"/>
      <c r="D635" s="167"/>
      <c r="E635" s="167"/>
      <c r="F635" s="167"/>
      <c r="G635" s="167"/>
      <c r="H635" s="167"/>
      <c r="I635" s="167"/>
      <c r="J635" s="167"/>
      <c r="K635" s="167"/>
      <c r="L635" s="167"/>
      <c r="M635" s="167"/>
      <c r="N635" s="167"/>
      <c r="O635" s="167"/>
      <c r="P635" s="167"/>
      <c r="Q635" s="167"/>
      <c r="R635" s="167"/>
      <c r="S635" s="167"/>
      <c r="T635" s="167"/>
      <c r="U635" s="167"/>
      <c r="V635" s="167"/>
      <c r="W635" s="167"/>
      <c r="X635" s="167"/>
      <c r="Y635" s="167"/>
      <c r="Z635" s="167"/>
      <c r="AA635" s="167"/>
      <c r="AB635" s="167"/>
      <c r="AC635" s="167"/>
      <c r="AD635" s="167"/>
      <c r="AE635" s="167"/>
      <c r="AF635" s="167"/>
      <c r="AG635" s="167"/>
      <c r="AH635" s="167"/>
      <c r="AI635" s="167"/>
      <c r="AJ635" s="167"/>
      <c r="AK635" s="167"/>
      <c r="AL635" s="167"/>
    </row>
    <row r="636" spans="1:38" ht="15.75" customHeight="1">
      <c r="A636" s="167"/>
      <c r="B636" s="167"/>
      <c r="C636" s="167"/>
      <c r="D636" s="167"/>
      <c r="E636" s="167"/>
      <c r="F636" s="167"/>
      <c r="G636" s="167"/>
      <c r="H636" s="167"/>
      <c r="I636" s="167"/>
      <c r="J636" s="167"/>
      <c r="K636" s="167"/>
      <c r="L636" s="167"/>
      <c r="M636" s="167"/>
      <c r="N636" s="167"/>
      <c r="O636" s="167"/>
      <c r="P636" s="167"/>
      <c r="Q636" s="167"/>
      <c r="R636" s="167"/>
      <c r="S636" s="167"/>
      <c r="T636" s="167"/>
      <c r="U636" s="167"/>
      <c r="V636" s="167"/>
      <c r="W636" s="167"/>
      <c r="X636" s="167"/>
      <c r="Y636" s="167"/>
      <c r="Z636" s="167"/>
      <c r="AA636" s="167"/>
      <c r="AB636" s="167"/>
      <c r="AC636" s="167"/>
      <c r="AD636" s="167"/>
      <c r="AE636" s="167"/>
      <c r="AF636" s="167"/>
      <c r="AG636" s="167"/>
      <c r="AH636" s="167"/>
      <c r="AI636" s="167"/>
      <c r="AJ636" s="167"/>
      <c r="AK636" s="167"/>
      <c r="AL636" s="167"/>
    </row>
    <row r="637" spans="1:38" ht="15.75" customHeight="1">
      <c r="A637" s="167"/>
      <c r="B637" s="167"/>
      <c r="C637" s="167"/>
      <c r="D637" s="167"/>
      <c r="E637" s="167"/>
      <c r="F637" s="167"/>
      <c r="G637" s="167"/>
      <c r="H637" s="167"/>
      <c r="I637" s="167"/>
      <c r="J637" s="167"/>
      <c r="K637" s="167"/>
      <c r="L637" s="167"/>
      <c r="M637" s="167"/>
      <c r="N637" s="167"/>
      <c r="O637" s="167"/>
      <c r="P637" s="167"/>
      <c r="Q637" s="167"/>
      <c r="R637" s="167"/>
      <c r="S637" s="167"/>
      <c r="T637" s="167"/>
      <c r="U637" s="167"/>
      <c r="V637" s="167"/>
      <c r="W637" s="167"/>
      <c r="X637" s="167"/>
      <c r="Y637" s="167"/>
      <c r="Z637" s="167"/>
      <c r="AA637" s="167"/>
      <c r="AB637" s="167"/>
      <c r="AC637" s="167"/>
      <c r="AD637" s="167"/>
      <c r="AE637" s="167"/>
      <c r="AF637" s="167"/>
      <c r="AG637" s="167"/>
      <c r="AH637" s="167"/>
      <c r="AI637" s="167"/>
      <c r="AJ637" s="167"/>
      <c r="AK637" s="167"/>
      <c r="AL637" s="167"/>
    </row>
    <row r="638" spans="1:38" ht="15.75" customHeight="1">
      <c r="A638" s="167"/>
      <c r="B638" s="167"/>
      <c r="C638" s="167"/>
      <c r="D638" s="167"/>
      <c r="E638" s="167"/>
      <c r="F638" s="167"/>
      <c r="G638" s="167"/>
      <c r="H638" s="167"/>
      <c r="I638" s="167"/>
      <c r="J638" s="167"/>
      <c r="K638" s="167"/>
      <c r="L638" s="167"/>
      <c r="M638" s="167"/>
      <c r="N638" s="167"/>
      <c r="O638" s="167"/>
      <c r="P638" s="167"/>
      <c r="Q638" s="167"/>
      <c r="R638" s="167"/>
      <c r="S638" s="167"/>
      <c r="T638" s="167"/>
      <c r="U638" s="167"/>
      <c r="V638" s="167"/>
      <c r="W638" s="167"/>
      <c r="X638" s="167"/>
      <c r="Y638" s="167"/>
      <c r="Z638" s="167"/>
      <c r="AA638" s="167"/>
      <c r="AB638" s="167"/>
      <c r="AC638" s="167"/>
      <c r="AD638" s="167"/>
      <c r="AE638" s="167"/>
      <c r="AF638" s="167"/>
      <c r="AG638" s="167"/>
      <c r="AH638" s="167"/>
      <c r="AI638" s="167"/>
      <c r="AJ638" s="167"/>
      <c r="AK638" s="167"/>
      <c r="AL638" s="167"/>
    </row>
    <row r="639" spans="1:38" ht="15.75" customHeight="1">
      <c r="A639" s="167"/>
      <c r="B639" s="167"/>
      <c r="C639" s="167"/>
      <c r="D639" s="167"/>
      <c r="E639" s="167"/>
      <c r="F639" s="167"/>
      <c r="G639" s="167"/>
      <c r="H639" s="167"/>
      <c r="I639" s="167"/>
      <c r="J639" s="167"/>
      <c r="K639" s="167"/>
      <c r="L639" s="167"/>
      <c r="M639" s="167"/>
      <c r="N639" s="167"/>
      <c r="O639" s="167"/>
      <c r="P639" s="167"/>
      <c r="Q639" s="167"/>
      <c r="R639" s="167"/>
      <c r="S639" s="167"/>
      <c r="T639" s="167"/>
      <c r="U639" s="167"/>
      <c r="V639" s="167"/>
      <c r="W639" s="167"/>
      <c r="X639" s="167"/>
      <c r="Y639" s="167"/>
      <c r="Z639" s="167"/>
      <c r="AA639" s="167"/>
      <c r="AB639" s="167"/>
      <c r="AC639" s="167"/>
      <c r="AD639" s="167"/>
      <c r="AE639" s="167"/>
      <c r="AF639" s="167"/>
      <c r="AG639" s="167"/>
      <c r="AH639" s="167"/>
      <c r="AI639" s="167"/>
      <c r="AJ639" s="167"/>
      <c r="AK639" s="167"/>
      <c r="AL639" s="167"/>
    </row>
    <row r="640" spans="1:38" ht="15.75" customHeight="1">
      <c r="A640" s="167"/>
      <c r="B640" s="167"/>
      <c r="C640" s="167"/>
      <c r="D640" s="167"/>
      <c r="E640" s="167"/>
      <c r="F640" s="167"/>
      <c r="G640" s="167"/>
      <c r="H640" s="167"/>
      <c r="I640" s="167"/>
      <c r="J640" s="167"/>
      <c r="K640" s="167"/>
      <c r="L640" s="167"/>
      <c r="M640" s="167"/>
      <c r="N640" s="167"/>
      <c r="O640" s="167"/>
      <c r="P640" s="167"/>
      <c r="Q640" s="167"/>
      <c r="R640" s="167"/>
      <c r="S640" s="167"/>
      <c r="T640" s="167"/>
      <c r="U640" s="167"/>
      <c r="V640" s="167"/>
      <c r="W640" s="167"/>
      <c r="X640" s="167"/>
      <c r="Y640" s="167"/>
      <c r="Z640" s="167"/>
      <c r="AA640" s="167"/>
      <c r="AB640" s="167"/>
      <c r="AC640" s="167"/>
      <c r="AD640" s="167"/>
      <c r="AE640" s="167"/>
      <c r="AF640" s="167"/>
      <c r="AG640" s="167"/>
      <c r="AH640" s="167"/>
      <c r="AI640" s="167"/>
      <c r="AJ640" s="167"/>
      <c r="AK640" s="167"/>
      <c r="AL640" s="167"/>
    </row>
    <row r="641" spans="1:38" ht="15.75" customHeight="1">
      <c r="A641" s="167"/>
      <c r="B641" s="167"/>
      <c r="C641" s="167"/>
      <c r="D641" s="167"/>
      <c r="E641" s="167"/>
      <c r="F641" s="167"/>
      <c r="G641" s="167"/>
      <c r="H641" s="167"/>
      <c r="I641" s="167"/>
      <c r="J641" s="167"/>
      <c r="K641" s="167"/>
      <c r="L641" s="167"/>
      <c r="M641" s="167"/>
      <c r="N641" s="167"/>
      <c r="O641" s="167"/>
      <c r="P641" s="167"/>
      <c r="Q641" s="167"/>
      <c r="R641" s="167"/>
      <c r="S641" s="167"/>
      <c r="T641" s="167"/>
      <c r="U641" s="167"/>
      <c r="V641" s="167"/>
      <c r="W641" s="167"/>
      <c r="X641" s="167"/>
      <c r="Y641" s="167"/>
      <c r="Z641" s="167"/>
      <c r="AA641" s="167"/>
      <c r="AB641" s="167"/>
      <c r="AC641" s="167"/>
      <c r="AD641" s="167"/>
      <c r="AE641" s="167"/>
      <c r="AF641" s="167"/>
      <c r="AG641" s="167"/>
      <c r="AH641" s="167"/>
      <c r="AI641" s="167"/>
      <c r="AJ641" s="167"/>
      <c r="AK641" s="167"/>
      <c r="AL641" s="167"/>
    </row>
    <row r="642" spans="1:38" ht="15.75" customHeight="1">
      <c r="A642" s="167"/>
      <c r="B642" s="167"/>
      <c r="C642" s="167"/>
      <c r="D642" s="167"/>
      <c r="E642" s="167"/>
      <c r="F642" s="167"/>
      <c r="G642" s="167"/>
      <c r="H642" s="167"/>
      <c r="I642" s="167"/>
      <c r="J642" s="167"/>
      <c r="K642" s="167"/>
      <c r="L642" s="167"/>
      <c r="M642" s="167"/>
      <c r="N642" s="167"/>
      <c r="O642" s="167"/>
      <c r="P642" s="167"/>
      <c r="Q642" s="167"/>
      <c r="R642" s="167"/>
      <c r="S642" s="167"/>
      <c r="T642" s="167"/>
      <c r="U642" s="167"/>
      <c r="V642" s="167"/>
      <c r="W642" s="167"/>
      <c r="X642" s="167"/>
      <c r="Y642" s="167"/>
      <c r="Z642" s="167"/>
      <c r="AA642" s="167"/>
      <c r="AB642" s="167"/>
      <c r="AC642" s="167"/>
      <c r="AD642" s="167"/>
      <c r="AE642" s="167"/>
      <c r="AF642" s="167"/>
      <c r="AG642" s="167"/>
      <c r="AH642" s="167"/>
      <c r="AI642" s="167"/>
      <c r="AJ642" s="167"/>
      <c r="AK642" s="167"/>
      <c r="AL642" s="167"/>
    </row>
    <row r="643" spans="1:38" ht="15.75" customHeight="1">
      <c r="A643" s="167"/>
      <c r="B643" s="167"/>
      <c r="C643" s="167"/>
      <c r="D643" s="167"/>
      <c r="E643" s="167"/>
      <c r="F643" s="167"/>
      <c r="G643" s="167"/>
      <c r="H643" s="167"/>
      <c r="I643" s="167"/>
      <c r="J643" s="167"/>
      <c r="K643" s="167"/>
      <c r="L643" s="167"/>
      <c r="M643" s="167"/>
      <c r="N643" s="167"/>
      <c r="O643" s="167"/>
      <c r="P643" s="167"/>
      <c r="Q643" s="167"/>
      <c r="R643" s="167"/>
      <c r="S643" s="167"/>
      <c r="T643" s="167"/>
      <c r="U643" s="167"/>
      <c r="V643" s="167"/>
      <c r="W643" s="167"/>
      <c r="X643" s="167"/>
      <c r="Y643" s="167"/>
      <c r="Z643" s="167"/>
      <c r="AA643" s="167"/>
      <c r="AB643" s="167"/>
      <c r="AC643" s="167"/>
      <c r="AD643" s="167"/>
      <c r="AE643" s="167"/>
      <c r="AF643" s="167"/>
      <c r="AG643" s="167"/>
      <c r="AH643" s="167"/>
      <c r="AI643" s="167"/>
      <c r="AJ643" s="167"/>
      <c r="AK643" s="167"/>
      <c r="AL643" s="167"/>
    </row>
    <row r="644" spans="1:38" ht="15.75" customHeight="1">
      <c r="A644" s="167"/>
      <c r="B644" s="167"/>
      <c r="C644" s="167"/>
      <c r="D644" s="167"/>
      <c r="E644" s="167"/>
      <c r="F644" s="167"/>
      <c r="G644" s="167"/>
      <c r="H644" s="167"/>
      <c r="I644" s="167"/>
      <c r="J644" s="167"/>
      <c r="K644" s="167"/>
      <c r="L644" s="167"/>
      <c r="M644" s="167"/>
      <c r="N644" s="167"/>
      <c r="O644" s="167"/>
      <c r="P644" s="167"/>
      <c r="Q644" s="167"/>
      <c r="R644" s="167"/>
      <c r="S644" s="167"/>
      <c r="T644" s="167"/>
      <c r="U644" s="167"/>
      <c r="V644" s="167"/>
      <c r="W644" s="167"/>
      <c r="X644" s="167"/>
      <c r="Y644" s="167"/>
      <c r="Z644" s="167"/>
      <c r="AA644" s="167"/>
      <c r="AB644" s="167"/>
      <c r="AC644" s="167"/>
      <c r="AD644" s="167"/>
      <c r="AE644" s="167"/>
      <c r="AF644" s="167"/>
      <c r="AG644" s="167"/>
      <c r="AH644" s="167"/>
      <c r="AI644" s="167"/>
      <c r="AJ644" s="167"/>
      <c r="AK644" s="167"/>
      <c r="AL644" s="167"/>
    </row>
    <row r="645" spans="1:38" ht="15.75" customHeight="1">
      <c r="A645" s="167"/>
      <c r="B645" s="167"/>
      <c r="C645" s="167"/>
      <c r="D645" s="167"/>
      <c r="E645" s="167"/>
      <c r="F645" s="167"/>
      <c r="G645" s="167"/>
      <c r="H645" s="167"/>
      <c r="I645" s="167"/>
      <c r="J645" s="167"/>
      <c r="K645" s="167"/>
      <c r="L645" s="167"/>
      <c r="M645" s="167"/>
      <c r="N645" s="167"/>
      <c r="O645" s="167"/>
      <c r="P645" s="167"/>
      <c r="Q645" s="167"/>
      <c r="R645" s="167"/>
      <c r="S645" s="167"/>
      <c r="T645" s="167"/>
      <c r="U645" s="167"/>
      <c r="V645" s="167"/>
      <c r="W645" s="167"/>
      <c r="X645" s="167"/>
      <c r="Y645" s="167"/>
      <c r="Z645" s="167"/>
      <c r="AA645" s="167"/>
      <c r="AB645" s="167"/>
      <c r="AC645" s="167"/>
      <c r="AD645" s="167"/>
      <c r="AE645" s="167"/>
      <c r="AF645" s="167"/>
      <c r="AG645" s="167"/>
      <c r="AH645" s="167"/>
      <c r="AI645" s="167"/>
      <c r="AJ645" s="167"/>
      <c r="AK645" s="167"/>
      <c r="AL645" s="167"/>
    </row>
    <row r="646" spans="1:38" ht="15.75" customHeight="1">
      <c r="A646" s="167"/>
      <c r="B646" s="167"/>
      <c r="C646" s="167"/>
      <c r="D646" s="167"/>
      <c r="E646" s="167"/>
      <c r="F646" s="167"/>
      <c r="G646" s="167"/>
      <c r="H646" s="167"/>
      <c r="I646" s="167"/>
      <c r="J646" s="167"/>
      <c r="K646" s="167"/>
      <c r="L646" s="167"/>
      <c r="M646" s="167"/>
      <c r="N646" s="167"/>
      <c r="O646" s="167"/>
      <c r="P646" s="167"/>
      <c r="Q646" s="167"/>
      <c r="R646" s="167"/>
      <c r="S646" s="167"/>
      <c r="T646" s="167"/>
      <c r="U646" s="167"/>
      <c r="V646" s="167"/>
      <c r="W646" s="167"/>
      <c r="X646" s="167"/>
      <c r="Y646" s="167"/>
      <c r="Z646" s="167"/>
      <c r="AA646" s="167"/>
      <c r="AB646" s="167"/>
      <c r="AC646" s="167"/>
      <c r="AD646" s="167"/>
      <c r="AE646" s="167"/>
      <c r="AF646" s="167"/>
      <c r="AG646" s="167"/>
      <c r="AH646" s="167"/>
      <c r="AI646" s="167"/>
      <c r="AJ646" s="167"/>
      <c r="AK646" s="167"/>
      <c r="AL646" s="167"/>
    </row>
    <row r="647" spans="1:38" ht="15.75" customHeight="1">
      <c r="A647" s="167"/>
      <c r="B647" s="167"/>
      <c r="C647" s="167"/>
      <c r="D647" s="167"/>
      <c r="E647" s="167"/>
      <c r="F647" s="167"/>
      <c r="G647" s="167"/>
      <c r="H647" s="167"/>
      <c r="I647" s="167"/>
      <c r="J647" s="167"/>
      <c r="K647" s="167"/>
      <c r="L647" s="167"/>
      <c r="M647" s="167"/>
      <c r="N647" s="167"/>
      <c r="O647" s="167"/>
      <c r="P647" s="167"/>
      <c r="Q647" s="167"/>
      <c r="R647" s="167"/>
      <c r="S647" s="167"/>
      <c r="T647" s="167"/>
      <c r="U647" s="167"/>
      <c r="V647" s="167"/>
      <c r="W647" s="167"/>
      <c r="X647" s="167"/>
      <c r="Y647" s="167"/>
      <c r="Z647" s="167"/>
      <c r="AA647" s="167"/>
      <c r="AB647" s="167"/>
      <c r="AC647" s="167"/>
      <c r="AD647" s="167"/>
      <c r="AE647" s="167"/>
      <c r="AF647" s="167"/>
      <c r="AG647" s="167"/>
      <c r="AH647" s="167"/>
      <c r="AI647" s="167"/>
      <c r="AJ647" s="167"/>
      <c r="AK647" s="167"/>
      <c r="AL647" s="167"/>
    </row>
    <row r="648" spans="1:38" ht="15.75" customHeight="1">
      <c r="A648" s="167"/>
      <c r="B648" s="167"/>
      <c r="C648" s="167"/>
      <c r="D648" s="167"/>
      <c r="E648" s="167"/>
      <c r="F648" s="167"/>
      <c r="G648" s="167"/>
      <c r="H648" s="167"/>
      <c r="I648" s="167"/>
      <c r="J648" s="167"/>
      <c r="K648" s="167"/>
      <c r="L648" s="167"/>
      <c r="M648" s="167"/>
      <c r="N648" s="167"/>
      <c r="O648" s="167"/>
      <c r="P648" s="167"/>
      <c r="Q648" s="167"/>
      <c r="R648" s="167"/>
      <c r="S648" s="167"/>
      <c r="T648" s="167"/>
      <c r="U648" s="167"/>
      <c r="V648" s="167"/>
      <c r="W648" s="167"/>
      <c r="X648" s="167"/>
      <c r="Y648" s="167"/>
      <c r="Z648" s="167"/>
      <c r="AA648" s="167"/>
      <c r="AB648" s="167"/>
      <c r="AC648" s="167"/>
      <c r="AD648" s="167"/>
      <c r="AE648" s="167"/>
      <c r="AF648" s="167"/>
      <c r="AG648" s="167"/>
      <c r="AH648" s="167"/>
      <c r="AI648" s="167"/>
      <c r="AJ648" s="167"/>
      <c r="AK648" s="167"/>
      <c r="AL648" s="167"/>
    </row>
    <row r="649" spans="1:38" ht="15.75" customHeight="1">
      <c r="A649" s="167"/>
      <c r="B649" s="167"/>
      <c r="C649" s="167"/>
      <c r="D649" s="167"/>
      <c r="E649" s="167"/>
      <c r="F649" s="167"/>
      <c r="G649" s="167"/>
      <c r="H649" s="167"/>
      <c r="I649" s="167"/>
      <c r="J649" s="167"/>
      <c r="K649" s="167"/>
      <c r="L649" s="167"/>
      <c r="M649" s="167"/>
      <c r="N649" s="167"/>
      <c r="O649" s="167"/>
      <c r="P649" s="167"/>
      <c r="Q649" s="167"/>
      <c r="R649" s="167"/>
      <c r="S649" s="167"/>
      <c r="T649" s="167"/>
      <c r="U649" s="167"/>
      <c r="V649" s="167"/>
      <c r="W649" s="167"/>
      <c r="X649" s="167"/>
      <c r="Y649" s="167"/>
      <c r="Z649" s="167"/>
      <c r="AA649" s="167"/>
      <c r="AB649" s="167"/>
      <c r="AC649" s="167"/>
      <c r="AD649" s="167"/>
      <c r="AE649" s="167"/>
      <c r="AF649" s="167"/>
      <c r="AG649" s="167"/>
      <c r="AH649" s="167"/>
      <c r="AI649" s="167"/>
      <c r="AJ649" s="167"/>
      <c r="AK649" s="167"/>
      <c r="AL649" s="167"/>
    </row>
    <row r="650" spans="1:38" ht="15.75" customHeight="1">
      <c r="A650" s="167"/>
      <c r="B650" s="167"/>
      <c r="C650" s="167"/>
      <c r="D650" s="167"/>
      <c r="E650" s="167"/>
      <c r="F650" s="167"/>
      <c r="G650" s="167"/>
      <c r="H650" s="167"/>
      <c r="I650" s="167"/>
      <c r="J650" s="167"/>
      <c r="K650" s="167"/>
      <c r="L650" s="167"/>
      <c r="M650" s="167"/>
      <c r="N650" s="167"/>
      <c r="O650" s="167"/>
      <c r="P650" s="167"/>
      <c r="Q650" s="167"/>
      <c r="R650" s="167"/>
      <c r="S650" s="167"/>
      <c r="T650" s="167"/>
      <c r="U650" s="167"/>
      <c r="V650" s="167"/>
      <c r="W650" s="167"/>
      <c r="X650" s="167"/>
      <c r="Y650" s="167"/>
      <c r="Z650" s="167"/>
      <c r="AA650" s="167"/>
      <c r="AB650" s="167"/>
      <c r="AC650" s="167"/>
      <c r="AD650" s="167"/>
      <c r="AE650" s="167"/>
      <c r="AF650" s="167"/>
      <c r="AG650" s="167"/>
      <c r="AH650" s="167"/>
      <c r="AI650" s="167"/>
      <c r="AJ650" s="167"/>
      <c r="AK650" s="167"/>
      <c r="AL650" s="167"/>
    </row>
    <row r="651" spans="1:38" ht="15.75" customHeight="1">
      <c r="A651" s="167"/>
      <c r="B651" s="167"/>
      <c r="C651" s="167"/>
      <c r="D651" s="167"/>
      <c r="E651" s="167"/>
      <c r="F651" s="167"/>
      <c r="G651" s="167"/>
      <c r="H651" s="167"/>
      <c r="I651" s="167"/>
      <c r="J651" s="167"/>
      <c r="K651" s="167"/>
      <c r="L651" s="167"/>
      <c r="M651" s="167"/>
      <c r="N651" s="167"/>
      <c r="O651" s="167"/>
      <c r="P651" s="167"/>
      <c r="Q651" s="167"/>
      <c r="R651" s="167"/>
      <c r="S651" s="167"/>
      <c r="T651" s="167"/>
      <c r="U651" s="167"/>
      <c r="V651" s="167"/>
      <c r="W651" s="167"/>
      <c r="X651" s="167"/>
      <c r="Y651" s="167"/>
      <c r="Z651" s="167"/>
      <c r="AA651" s="167"/>
      <c r="AB651" s="167"/>
      <c r="AC651" s="167"/>
      <c r="AD651" s="167"/>
      <c r="AE651" s="167"/>
      <c r="AF651" s="167"/>
      <c r="AG651" s="167"/>
      <c r="AH651" s="167"/>
      <c r="AI651" s="167"/>
      <c r="AJ651" s="167"/>
      <c r="AK651" s="167"/>
      <c r="AL651" s="167"/>
    </row>
    <row r="652" spans="1:38" ht="15.75" customHeight="1">
      <c r="A652" s="167"/>
      <c r="B652" s="167"/>
      <c r="C652" s="167"/>
      <c r="D652" s="167"/>
      <c r="E652" s="167"/>
      <c r="F652" s="167"/>
      <c r="G652" s="167"/>
      <c r="H652" s="167"/>
      <c r="I652" s="167"/>
      <c r="J652" s="167"/>
      <c r="K652" s="167"/>
      <c r="L652" s="167"/>
      <c r="M652" s="167"/>
      <c r="N652" s="167"/>
      <c r="O652" s="167"/>
      <c r="P652" s="167"/>
      <c r="Q652" s="167"/>
      <c r="R652" s="167"/>
      <c r="S652" s="167"/>
      <c r="T652" s="167"/>
      <c r="U652" s="167"/>
      <c r="V652" s="167"/>
      <c r="W652" s="167"/>
      <c r="X652" s="167"/>
      <c r="Y652" s="167"/>
      <c r="Z652" s="167"/>
      <c r="AA652" s="167"/>
      <c r="AB652" s="167"/>
      <c r="AC652" s="167"/>
      <c r="AD652" s="167"/>
      <c r="AE652" s="167"/>
      <c r="AF652" s="167"/>
      <c r="AG652" s="167"/>
      <c r="AH652" s="167"/>
      <c r="AI652" s="167"/>
      <c r="AJ652" s="167"/>
      <c r="AK652" s="167"/>
      <c r="AL652" s="167"/>
    </row>
    <row r="653" spans="1:38" ht="15.75" customHeight="1">
      <c r="A653" s="167"/>
      <c r="B653" s="167"/>
      <c r="C653" s="167"/>
      <c r="D653" s="167"/>
      <c r="E653" s="167"/>
      <c r="F653" s="167"/>
      <c r="G653" s="167"/>
      <c r="H653" s="167"/>
      <c r="I653" s="167"/>
      <c r="J653" s="167"/>
      <c r="K653" s="167"/>
      <c r="L653" s="167"/>
      <c r="M653" s="167"/>
      <c r="N653" s="167"/>
      <c r="O653" s="167"/>
      <c r="P653" s="167"/>
      <c r="Q653" s="167"/>
      <c r="R653" s="167"/>
      <c r="S653" s="167"/>
      <c r="T653" s="167"/>
      <c r="U653" s="167"/>
      <c r="V653" s="167"/>
      <c r="W653" s="167"/>
      <c r="X653" s="167"/>
      <c r="Y653" s="167"/>
      <c r="Z653" s="167"/>
      <c r="AA653" s="167"/>
      <c r="AB653" s="167"/>
      <c r="AC653" s="167"/>
      <c r="AD653" s="167"/>
      <c r="AE653" s="167"/>
      <c r="AF653" s="167"/>
      <c r="AG653" s="167"/>
      <c r="AH653" s="167"/>
      <c r="AI653" s="167"/>
      <c r="AJ653" s="167"/>
      <c r="AK653" s="167"/>
      <c r="AL653" s="167"/>
    </row>
    <row r="654" spans="1:38" ht="15.75" customHeight="1">
      <c r="A654" s="167"/>
      <c r="B654" s="167"/>
      <c r="C654" s="167"/>
      <c r="D654" s="167"/>
      <c r="E654" s="167"/>
      <c r="F654" s="167"/>
      <c r="G654" s="167"/>
      <c r="H654" s="167"/>
      <c r="I654" s="167"/>
      <c r="J654" s="167"/>
      <c r="K654" s="167"/>
      <c r="L654" s="167"/>
      <c r="M654" s="167"/>
      <c r="N654" s="167"/>
      <c r="O654" s="167"/>
      <c r="P654" s="167"/>
      <c r="Q654" s="167"/>
      <c r="R654" s="167"/>
      <c r="S654" s="167"/>
      <c r="T654" s="167"/>
      <c r="U654" s="167"/>
      <c r="V654" s="167"/>
      <c r="W654" s="167"/>
      <c r="X654" s="167"/>
      <c r="Y654" s="167"/>
      <c r="Z654" s="167"/>
      <c r="AA654" s="167"/>
      <c r="AB654" s="167"/>
      <c r="AC654" s="167"/>
      <c r="AD654" s="167"/>
      <c r="AE654" s="167"/>
      <c r="AF654" s="167"/>
      <c r="AG654" s="167"/>
      <c r="AH654" s="167"/>
      <c r="AI654" s="167"/>
      <c r="AJ654" s="167"/>
      <c r="AK654" s="167"/>
      <c r="AL654" s="167"/>
    </row>
    <row r="655" spans="1:38" ht="15.75" customHeight="1">
      <c r="A655" s="167"/>
      <c r="B655" s="167"/>
      <c r="C655" s="167"/>
      <c r="D655" s="167"/>
      <c r="E655" s="167"/>
      <c r="F655" s="167"/>
      <c r="G655" s="167"/>
      <c r="H655" s="167"/>
      <c r="I655" s="167"/>
      <c r="J655" s="167"/>
      <c r="K655" s="167"/>
      <c r="L655" s="167"/>
      <c r="M655" s="167"/>
      <c r="N655" s="167"/>
      <c r="O655" s="167"/>
      <c r="P655" s="167"/>
      <c r="Q655" s="167"/>
      <c r="R655" s="167"/>
      <c r="S655" s="167"/>
      <c r="T655" s="167"/>
      <c r="U655" s="167"/>
      <c r="V655" s="167"/>
      <c r="W655" s="167"/>
      <c r="X655" s="167"/>
      <c r="Y655" s="167"/>
      <c r="Z655" s="167"/>
      <c r="AA655" s="167"/>
      <c r="AB655" s="167"/>
      <c r="AC655" s="167"/>
      <c r="AD655" s="167"/>
      <c r="AE655" s="167"/>
      <c r="AF655" s="167"/>
      <c r="AG655" s="167"/>
      <c r="AH655" s="167"/>
      <c r="AI655" s="167"/>
      <c r="AJ655" s="167"/>
      <c r="AK655" s="167"/>
      <c r="AL655" s="167"/>
    </row>
    <row r="656" spans="1:38" ht="15.75" customHeight="1">
      <c r="A656" s="167"/>
      <c r="B656" s="167"/>
      <c r="C656" s="167"/>
      <c r="D656" s="167"/>
      <c r="E656" s="167"/>
      <c r="F656" s="167"/>
      <c r="G656" s="167"/>
      <c r="H656" s="167"/>
      <c r="I656" s="167"/>
      <c r="J656" s="167"/>
      <c r="K656" s="167"/>
      <c r="L656" s="167"/>
      <c r="M656" s="167"/>
      <c r="N656" s="167"/>
      <c r="O656" s="167"/>
      <c r="P656" s="167"/>
      <c r="Q656" s="167"/>
      <c r="R656" s="167"/>
      <c r="S656" s="167"/>
      <c r="T656" s="167"/>
      <c r="U656" s="167"/>
      <c r="V656" s="167"/>
      <c r="W656" s="167"/>
      <c r="X656" s="167"/>
      <c r="Y656" s="167"/>
      <c r="Z656" s="167"/>
      <c r="AA656" s="167"/>
      <c r="AB656" s="167"/>
      <c r="AC656" s="167"/>
      <c r="AD656" s="167"/>
      <c r="AE656" s="167"/>
      <c r="AF656" s="167"/>
      <c r="AG656" s="167"/>
      <c r="AH656" s="167"/>
      <c r="AI656" s="167"/>
      <c r="AJ656" s="167"/>
      <c r="AK656" s="167"/>
      <c r="AL656" s="167"/>
    </row>
    <row r="657" spans="1:38" ht="15.75" customHeight="1">
      <c r="A657" s="167"/>
      <c r="B657" s="167"/>
      <c r="C657" s="167"/>
      <c r="D657" s="167"/>
      <c r="E657" s="167"/>
      <c r="F657" s="167"/>
      <c r="G657" s="167"/>
      <c r="H657" s="167"/>
      <c r="I657" s="167"/>
      <c r="J657" s="167"/>
      <c r="K657" s="167"/>
      <c r="L657" s="167"/>
      <c r="M657" s="167"/>
      <c r="N657" s="167"/>
      <c r="O657" s="167"/>
      <c r="P657" s="167"/>
      <c r="Q657" s="167"/>
      <c r="R657" s="167"/>
      <c r="S657" s="167"/>
      <c r="T657" s="167"/>
      <c r="U657" s="167"/>
      <c r="V657" s="167"/>
      <c r="W657" s="167"/>
      <c r="X657" s="167"/>
      <c r="Y657" s="167"/>
      <c r="Z657" s="167"/>
      <c r="AA657" s="167"/>
      <c r="AB657" s="167"/>
      <c r="AC657" s="167"/>
      <c r="AD657" s="167"/>
      <c r="AE657" s="167"/>
      <c r="AF657" s="167"/>
      <c r="AG657" s="167"/>
      <c r="AH657" s="167"/>
      <c r="AI657" s="167"/>
      <c r="AJ657" s="167"/>
      <c r="AK657" s="167"/>
      <c r="AL657" s="167"/>
    </row>
    <row r="658" spans="1:38" ht="15.75" customHeight="1">
      <c r="A658" s="167"/>
      <c r="B658" s="167"/>
      <c r="C658" s="167"/>
      <c r="D658" s="167"/>
      <c r="E658" s="167"/>
      <c r="F658" s="167"/>
      <c r="G658" s="167"/>
      <c r="H658" s="167"/>
      <c r="I658" s="167"/>
      <c r="J658" s="167"/>
      <c r="K658" s="167"/>
      <c r="L658" s="167"/>
      <c r="M658" s="167"/>
      <c r="N658" s="167"/>
      <c r="O658" s="167"/>
      <c r="P658" s="167"/>
      <c r="Q658" s="167"/>
      <c r="R658" s="167"/>
      <c r="S658" s="167"/>
      <c r="T658" s="167"/>
      <c r="U658" s="167"/>
      <c r="V658" s="167"/>
      <c r="W658" s="167"/>
      <c r="X658" s="167"/>
      <c r="Y658" s="167"/>
      <c r="Z658" s="167"/>
      <c r="AA658" s="167"/>
      <c r="AB658" s="167"/>
      <c r="AC658" s="167"/>
      <c r="AD658" s="167"/>
      <c r="AE658" s="167"/>
      <c r="AF658" s="167"/>
      <c r="AG658" s="167"/>
      <c r="AH658" s="167"/>
      <c r="AI658" s="167"/>
      <c r="AJ658" s="167"/>
      <c r="AK658" s="167"/>
      <c r="AL658" s="167"/>
    </row>
    <row r="659" spans="1:38" ht="15.75" customHeight="1">
      <c r="A659" s="167"/>
      <c r="B659" s="167"/>
      <c r="C659" s="167"/>
      <c r="D659" s="167"/>
      <c r="E659" s="167"/>
      <c r="F659" s="167"/>
      <c r="G659" s="167"/>
      <c r="H659" s="167"/>
      <c r="I659" s="167"/>
      <c r="J659" s="167"/>
      <c r="K659" s="167"/>
      <c r="L659" s="167"/>
      <c r="M659" s="167"/>
      <c r="N659" s="167"/>
      <c r="O659" s="167"/>
      <c r="P659" s="167"/>
      <c r="Q659" s="167"/>
      <c r="R659" s="167"/>
      <c r="S659" s="167"/>
      <c r="T659" s="167"/>
      <c r="U659" s="167"/>
      <c r="V659" s="167"/>
      <c r="W659" s="167"/>
      <c r="X659" s="167"/>
      <c r="Y659" s="167"/>
      <c r="Z659" s="167"/>
      <c r="AA659" s="167"/>
      <c r="AB659" s="167"/>
      <c r="AC659" s="167"/>
      <c r="AD659" s="167"/>
      <c r="AE659" s="167"/>
      <c r="AF659" s="167"/>
      <c r="AG659" s="167"/>
      <c r="AH659" s="167"/>
      <c r="AI659" s="167"/>
      <c r="AJ659" s="167"/>
      <c r="AK659" s="167"/>
      <c r="AL659" s="167"/>
    </row>
    <row r="660" spans="1:38" ht="15.75" customHeight="1">
      <c r="A660" s="167"/>
      <c r="B660" s="167"/>
      <c r="C660" s="167"/>
      <c r="D660" s="167"/>
      <c r="E660" s="167"/>
      <c r="F660" s="167"/>
      <c r="G660" s="167"/>
      <c r="H660" s="167"/>
      <c r="I660" s="167"/>
      <c r="J660" s="167"/>
      <c r="K660" s="167"/>
      <c r="L660" s="167"/>
      <c r="M660" s="167"/>
      <c r="N660" s="167"/>
      <c r="O660" s="167"/>
      <c r="P660" s="167"/>
      <c r="Q660" s="167"/>
      <c r="R660" s="167"/>
      <c r="S660" s="167"/>
      <c r="T660" s="167"/>
      <c r="U660" s="167"/>
      <c r="V660" s="167"/>
      <c r="W660" s="167"/>
      <c r="X660" s="167"/>
      <c r="Y660" s="167"/>
      <c r="Z660" s="167"/>
      <c r="AA660" s="167"/>
      <c r="AB660" s="167"/>
      <c r="AC660" s="167"/>
      <c r="AD660" s="167"/>
      <c r="AE660" s="167"/>
      <c r="AF660" s="167"/>
      <c r="AG660" s="167"/>
      <c r="AH660" s="167"/>
      <c r="AI660" s="167"/>
      <c r="AJ660" s="167"/>
      <c r="AK660" s="167"/>
      <c r="AL660" s="167"/>
    </row>
    <row r="661" spans="1:38" ht="15.75" customHeight="1">
      <c r="A661" s="167"/>
      <c r="B661" s="167"/>
      <c r="C661" s="167"/>
      <c r="D661" s="167"/>
      <c r="E661" s="167"/>
      <c r="F661" s="167"/>
      <c r="G661" s="167"/>
      <c r="H661" s="167"/>
      <c r="I661" s="167"/>
      <c r="J661" s="167"/>
      <c r="K661" s="167"/>
      <c r="L661" s="167"/>
      <c r="M661" s="167"/>
      <c r="N661" s="167"/>
      <c r="O661" s="167"/>
      <c r="P661" s="167"/>
      <c r="Q661" s="167"/>
      <c r="R661" s="167"/>
      <c r="S661" s="167"/>
      <c r="T661" s="167"/>
      <c r="U661" s="167"/>
      <c r="V661" s="167"/>
      <c r="W661" s="167"/>
      <c r="X661" s="167"/>
      <c r="Y661" s="167"/>
      <c r="Z661" s="167"/>
      <c r="AA661" s="167"/>
      <c r="AB661" s="167"/>
      <c r="AC661" s="167"/>
      <c r="AD661" s="167"/>
      <c r="AE661" s="167"/>
      <c r="AF661" s="167"/>
      <c r="AG661" s="167"/>
      <c r="AH661" s="167"/>
      <c r="AI661" s="167"/>
      <c r="AJ661" s="167"/>
      <c r="AK661" s="167"/>
      <c r="AL661" s="167"/>
    </row>
    <row r="662" spans="1:38" ht="15.75" customHeight="1">
      <c r="A662" s="167"/>
      <c r="B662" s="167"/>
      <c r="C662" s="167"/>
      <c r="D662" s="167"/>
      <c r="E662" s="167"/>
      <c r="F662" s="167"/>
      <c r="G662" s="167"/>
      <c r="H662" s="167"/>
      <c r="I662" s="167"/>
      <c r="J662" s="167"/>
      <c r="K662" s="167"/>
      <c r="L662" s="167"/>
      <c r="M662" s="167"/>
      <c r="N662" s="167"/>
      <c r="O662" s="167"/>
      <c r="P662" s="167"/>
      <c r="Q662" s="167"/>
      <c r="R662" s="167"/>
      <c r="S662" s="167"/>
      <c r="T662" s="167"/>
      <c r="U662" s="167"/>
      <c r="V662" s="167"/>
      <c r="W662" s="167"/>
      <c r="X662" s="167"/>
      <c r="Y662" s="167"/>
      <c r="Z662" s="167"/>
      <c r="AA662" s="167"/>
      <c r="AB662" s="167"/>
      <c r="AC662" s="167"/>
      <c r="AD662" s="167"/>
      <c r="AE662" s="167"/>
      <c r="AF662" s="167"/>
      <c r="AG662" s="167"/>
      <c r="AH662" s="167"/>
      <c r="AI662" s="167"/>
      <c r="AJ662" s="167"/>
      <c r="AK662" s="167"/>
      <c r="AL662" s="167"/>
    </row>
    <row r="663" spans="1:38" ht="15.75" customHeight="1">
      <c r="A663" s="167"/>
      <c r="B663" s="167"/>
      <c r="C663" s="167"/>
      <c r="D663" s="167"/>
      <c r="E663" s="167"/>
      <c r="F663" s="167"/>
      <c r="G663" s="167"/>
      <c r="H663" s="167"/>
      <c r="I663" s="167"/>
      <c r="J663" s="167"/>
      <c r="K663" s="167"/>
      <c r="L663" s="167"/>
      <c r="M663" s="167"/>
      <c r="N663" s="167"/>
      <c r="O663" s="167"/>
      <c r="P663" s="167"/>
      <c r="Q663" s="167"/>
      <c r="R663" s="167"/>
      <c r="S663" s="167"/>
      <c r="T663" s="167"/>
      <c r="U663" s="167"/>
      <c r="V663" s="167"/>
      <c r="W663" s="167"/>
      <c r="X663" s="167"/>
      <c r="Y663" s="167"/>
      <c r="Z663" s="167"/>
      <c r="AA663" s="167"/>
      <c r="AB663" s="167"/>
      <c r="AC663" s="167"/>
      <c r="AD663" s="167"/>
      <c r="AE663" s="167"/>
      <c r="AF663" s="167"/>
      <c r="AG663" s="167"/>
      <c r="AH663" s="167"/>
      <c r="AI663" s="167"/>
      <c r="AJ663" s="167"/>
      <c r="AK663" s="167"/>
      <c r="AL663" s="167"/>
    </row>
    <row r="664" spans="1:38" ht="15.75" customHeight="1">
      <c r="A664" s="167"/>
      <c r="B664" s="167"/>
      <c r="C664" s="167"/>
      <c r="D664" s="167"/>
      <c r="E664" s="167"/>
      <c r="F664" s="167"/>
      <c r="G664" s="167"/>
      <c r="H664" s="167"/>
      <c r="I664" s="167"/>
      <c r="J664" s="167"/>
      <c r="K664" s="167"/>
      <c r="L664" s="167"/>
      <c r="M664" s="167"/>
      <c r="N664" s="167"/>
      <c r="O664" s="167"/>
      <c r="P664" s="167"/>
      <c r="Q664" s="167"/>
      <c r="R664" s="167"/>
      <c r="S664" s="167"/>
      <c r="T664" s="167"/>
      <c r="U664" s="167"/>
      <c r="V664" s="167"/>
      <c r="W664" s="167"/>
      <c r="X664" s="167"/>
      <c r="Y664" s="167"/>
      <c r="Z664" s="167"/>
      <c r="AA664" s="167"/>
      <c r="AB664" s="167"/>
      <c r="AC664" s="167"/>
      <c r="AD664" s="167"/>
      <c r="AE664" s="167"/>
      <c r="AF664" s="167"/>
      <c r="AG664" s="167"/>
      <c r="AH664" s="167"/>
      <c r="AI664" s="167"/>
      <c r="AJ664" s="167"/>
      <c r="AK664" s="167"/>
      <c r="AL664" s="167"/>
    </row>
    <row r="665" spans="1:38" ht="15.75" customHeight="1">
      <c r="A665" s="167"/>
      <c r="B665" s="167"/>
      <c r="C665" s="167"/>
      <c r="D665" s="167"/>
      <c r="E665" s="167"/>
      <c r="F665" s="167"/>
      <c r="G665" s="167"/>
      <c r="H665" s="167"/>
      <c r="I665" s="167"/>
      <c r="J665" s="167"/>
      <c r="K665" s="167"/>
      <c r="L665" s="167"/>
      <c r="M665" s="167"/>
      <c r="N665" s="167"/>
      <c r="O665" s="167"/>
      <c r="P665" s="167"/>
      <c r="Q665" s="167"/>
      <c r="R665" s="167"/>
      <c r="S665" s="167"/>
      <c r="T665" s="167"/>
      <c r="U665" s="167"/>
      <c r="V665" s="167"/>
      <c r="W665" s="167"/>
      <c r="X665" s="167"/>
      <c r="Y665" s="167"/>
      <c r="Z665" s="167"/>
      <c r="AA665" s="167"/>
      <c r="AB665" s="167"/>
      <c r="AC665" s="167"/>
      <c r="AD665" s="167"/>
      <c r="AE665" s="167"/>
      <c r="AF665" s="167"/>
      <c r="AG665" s="167"/>
      <c r="AH665" s="167"/>
      <c r="AI665" s="167"/>
      <c r="AJ665" s="167"/>
      <c r="AK665" s="167"/>
      <c r="AL665" s="167"/>
    </row>
    <row r="666" spans="1:38" ht="15.75" customHeight="1">
      <c r="A666" s="167"/>
      <c r="B666" s="167"/>
      <c r="C666" s="167"/>
      <c r="D666" s="167"/>
      <c r="E666" s="167"/>
      <c r="F666" s="167"/>
      <c r="G666" s="167"/>
      <c r="H666" s="167"/>
      <c r="I666" s="167"/>
      <c r="J666" s="167"/>
      <c r="K666" s="167"/>
      <c r="L666" s="167"/>
      <c r="M666" s="167"/>
      <c r="N666" s="167"/>
      <c r="O666" s="167"/>
      <c r="P666" s="167"/>
      <c r="Q666" s="167"/>
      <c r="R666" s="167"/>
      <c r="S666" s="167"/>
      <c r="T666" s="167"/>
      <c r="U666" s="167"/>
      <c r="V666" s="167"/>
      <c r="W666" s="167"/>
      <c r="X666" s="167"/>
      <c r="Y666" s="167"/>
      <c r="Z666" s="167"/>
      <c r="AA666" s="167"/>
      <c r="AB666" s="167"/>
      <c r="AC666" s="167"/>
      <c r="AD666" s="167"/>
      <c r="AE666" s="167"/>
      <c r="AF666" s="167"/>
      <c r="AG666" s="167"/>
      <c r="AH666" s="167"/>
      <c r="AI666" s="167"/>
      <c r="AJ666" s="167"/>
      <c r="AK666" s="167"/>
      <c r="AL666" s="167"/>
    </row>
    <row r="667" spans="1:38" ht="15.75" customHeight="1">
      <c r="A667" s="167"/>
      <c r="B667" s="167"/>
      <c r="C667" s="167"/>
      <c r="D667" s="167"/>
      <c r="E667" s="167"/>
      <c r="F667" s="167"/>
      <c r="G667" s="167"/>
      <c r="H667" s="167"/>
      <c r="I667" s="167"/>
      <c r="J667" s="167"/>
      <c r="K667" s="167"/>
      <c r="L667" s="167"/>
      <c r="M667" s="167"/>
      <c r="N667" s="167"/>
      <c r="O667" s="167"/>
      <c r="P667" s="167"/>
      <c r="Q667" s="167"/>
      <c r="R667" s="167"/>
      <c r="S667" s="167"/>
      <c r="T667" s="167"/>
      <c r="U667" s="167"/>
      <c r="V667" s="167"/>
      <c r="W667" s="167"/>
      <c r="X667" s="167"/>
      <c r="Y667" s="167"/>
      <c r="Z667" s="167"/>
      <c r="AA667" s="167"/>
      <c r="AB667" s="167"/>
      <c r="AC667" s="167"/>
      <c r="AD667" s="167"/>
      <c r="AE667" s="167"/>
      <c r="AF667" s="167"/>
      <c r="AG667" s="167"/>
      <c r="AH667" s="167"/>
      <c r="AI667" s="167"/>
      <c r="AJ667" s="167"/>
      <c r="AK667" s="167"/>
      <c r="AL667" s="167"/>
    </row>
    <row r="668" spans="1:38" ht="15.75" customHeight="1">
      <c r="A668" s="167"/>
      <c r="B668" s="167"/>
      <c r="C668" s="167"/>
      <c r="D668" s="167"/>
      <c r="E668" s="167"/>
      <c r="F668" s="167"/>
      <c r="G668" s="167"/>
      <c r="H668" s="167"/>
      <c r="I668" s="167"/>
      <c r="J668" s="167"/>
      <c r="K668" s="167"/>
      <c r="L668" s="167"/>
      <c r="M668" s="167"/>
      <c r="N668" s="167"/>
      <c r="O668" s="167"/>
      <c r="P668" s="167"/>
      <c r="Q668" s="167"/>
      <c r="R668" s="167"/>
      <c r="S668" s="167"/>
      <c r="T668" s="167"/>
      <c r="U668" s="167"/>
      <c r="V668" s="167"/>
      <c r="W668" s="167"/>
      <c r="X668" s="167"/>
      <c r="Y668" s="167"/>
      <c r="Z668" s="167"/>
      <c r="AA668" s="167"/>
      <c r="AB668" s="167"/>
      <c r="AC668" s="167"/>
      <c r="AD668" s="167"/>
      <c r="AE668" s="167"/>
      <c r="AF668" s="167"/>
      <c r="AG668" s="167"/>
      <c r="AH668" s="167"/>
      <c r="AI668" s="167"/>
      <c r="AJ668" s="167"/>
      <c r="AK668" s="167"/>
      <c r="AL668" s="167"/>
    </row>
    <row r="669" spans="1:38" ht="15.75" customHeight="1">
      <c r="A669" s="167"/>
      <c r="B669" s="167"/>
      <c r="C669" s="167"/>
      <c r="D669" s="167"/>
      <c r="E669" s="167"/>
      <c r="F669" s="167"/>
      <c r="G669" s="167"/>
      <c r="H669" s="167"/>
      <c r="I669" s="167"/>
      <c r="J669" s="167"/>
      <c r="K669" s="167"/>
      <c r="L669" s="167"/>
      <c r="M669" s="167"/>
      <c r="N669" s="167"/>
      <c r="O669" s="167"/>
      <c r="P669" s="167"/>
      <c r="Q669" s="167"/>
      <c r="R669" s="167"/>
      <c r="S669" s="167"/>
      <c r="T669" s="167"/>
      <c r="U669" s="167"/>
      <c r="V669" s="167"/>
      <c r="W669" s="167"/>
      <c r="X669" s="167"/>
      <c r="Y669" s="167"/>
      <c r="Z669" s="167"/>
      <c r="AA669" s="167"/>
      <c r="AB669" s="167"/>
      <c r="AC669" s="167"/>
      <c r="AD669" s="167"/>
      <c r="AE669" s="167"/>
      <c r="AF669" s="167"/>
      <c r="AG669" s="167"/>
      <c r="AH669" s="167"/>
      <c r="AI669" s="167"/>
      <c r="AJ669" s="167"/>
      <c r="AK669" s="167"/>
      <c r="AL669" s="167"/>
    </row>
    <row r="670" spans="1:38" ht="15.75" customHeight="1">
      <c r="A670" s="167"/>
      <c r="B670" s="167"/>
      <c r="C670" s="167"/>
      <c r="D670" s="167"/>
      <c r="E670" s="167"/>
      <c r="F670" s="167"/>
      <c r="G670" s="167"/>
      <c r="H670" s="167"/>
      <c r="I670" s="167"/>
      <c r="J670" s="167"/>
      <c r="K670" s="167"/>
      <c r="L670" s="167"/>
      <c r="M670" s="167"/>
      <c r="N670" s="167"/>
      <c r="O670" s="167"/>
      <c r="P670" s="167"/>
      <c r="Q670" s="167"/>
      <c r="R670" s="167"/>
      <c r="S670" s="167"/>
      <c r="T670" s="167"/>
      <c r="U670" s="167"/>
      <c r="V670" s="167"/>
      <c r="W670" s="167"/>
      <c r="X670" s="167"/>
      <c r="Y670" s="167"/>
      <c r="Z670" s="167"/>
      <c r="AA670" s="167"/>
      <c r="AB670" s="167"/>
      <c r="AC670" s="167"/>
      <c r="AD670" s="167"/>
      <c r="AE670" s="167"/>
      <c r="AF670" s="167"/>
      <c r="AG670" s="167"/>
      <c r="AH670" s="167"/>
      <c r="AI670" s="167"/>
      <c r="AJ670" s="167"/>
      <c r="AK670" s="167"/>
      <c r="AL670" s="167"/>
    </row>
    <row r="671" spans="1:38" ht="15.75" customHeight="1">
      <c r="A671" s="167"/>
      <c r="B671" s="167"/>
      <c r="C671" s="167"/>
      <c r="D671" s="167"/>
      <c r="E671" s="167"/>
      <c r="F671" s="167"/>
      <c r="G671" s="167"/>
      <c r="H671" s="167"/>
      <c r="I671" s="167"/>
      <c r="J671" s="167"/>
      <c r="K671" s="167"/>
      <c r="L671" s="167"/>
      <c r="M671" s="167"/>
      <c r="N671" s="167"/>
      <c r="O671" s="167"/>
      <c r="P671" s="167"/>
      <c r="Q671" s="167"/>
      <c r="R671" s="167"/>
      <c r="S671" s="167"/>
      <c r="T671" s="167"/>
      <c r="U671" s="167"/>
      <c r="V671" s="167"/>
      <c r="W671" s="167"/>
      <c r="X671" s="167"/>
      <c r="Y671" s="167"/>
      <c r="Z671" s="167"/>
      <c r="AA671" s="167"/>
      <c r="AB671" s="167"/>
      <c r="AC671" s="167"/>
      <c r="AD671" s="167"/>
      <c r="AE671" s="167"/>
      <c r="AF671" s="167"/>
      <c r="AG671" s="167"/>
      <c r="AH671" s="167"/>
      <c r="AI671" s="167"/>
      <c r="AJ671" s="167"/>
      <c r="AK671" s="167"/>
      <c r="AL671" s="167"/>
    </row>
    <row r="672" spans="1:38" ht="15.75" customHeight="1">
      <c r="A672" s="167"/>
      <c r="B672" s="167"/>
      <c r="C672" s="167"/>
      <c r="D672" s="167"/>
      <c r="E672" s="167"/>
      <c r="F672" s="167"/>
      <c r="G672" s="167"/>
      <c r="H672" s="167"/>
      <c r="I672" s="167"/>
      <c r="J672" s="167"/>
      <c r="K672" s="167"/>
      <c r="L672" s="167"/>
      <c r="M672" s="167"/>
      <c r="N672" s="167"/>
      <c r="O672" s="167"/>
      <c r="P672" s="167"/>
      <c r="Q672" s="167"/>
      <c r="R672" s="167"/>
      <c r="S672" s="167"/>
      <c r="T672" s="167"/>
      <c r="U672" s="167"/>
      <c r="V672" s="167"/>
      <c r="W672" s="167"/>
      <c r="X672" s="167"/>
      <c r="Y672" s="167"/>
      <c r="Z672" s="167"/>
      <c r="AA672" s="167"/>
      <c r="AB672" s="167"/>
      <c r="AC672" s="167"/>
      <c r="AD672" s="167"/>
      <c r="AE672" s="167"/>
      <c r="AF672" s="167"/>
      <c r="AG672" s="167"/>
      <c r="AH672" s="167"/>
      <c r="AI672" s="167"/>
      <c r="AJ672" s="167"/>
      <c r="AK672" s="167"/>
      <c r="AL672" s="167"/>
    </row>
    <row r="673" spans="1:38" ht="15.75" customHeight="1">
      <c r="A673" s="167"/>
      <c r="B673" s="167"/>
      <c r="C673" s="167"/>
      <c r="D673" s="167"/>
      <c r="E673" s="167"/>
      <c r="F673" s="167"/>
      <c r="G673" s="167"/>
      <c r="H673" s="167"/>
      <c r="I673" s="167"/>
      <c r="J673" s="167"/>
      <c r="K673" s="167"/>
      <c r="L673" s="167"/>
      <c r="M673" s="167"/>
      <c r="N673" s="167"/>
      <c r="O673" s="167"/>
      <c r="P673" s="167"/>
      <c r="Q673" s="167"/>
      <c r="R673" s="167"/>
      <c r="S673" s="167"/>
      <c r="T673" s="167"/>
      <c r="U673" s="167"/>
      <c r="V673" s="167"/>
      <c r="W673" s="167"/>
      <c r="X673" s="167"/>
      <c r="Y673" s="167"/>
      <c r="Z673" s="167"/>
      <c r="AA673" s="167"/>
      <c r="AB673" s="167"/>
      <c r="AC673" s="167"/>
      <c r="AD673" s="167"/>
      <c r="AE673" s="167"/>
      <c r="AF673" s="167"/>
      <c r="AG673" s="167"/>
      <c r="AH673" s="167"/>
      <c r="AI673" s="167"/>
      <c r="AJ673" s="167"/>
      <c r="AK673" s="167"/>
      <c r="AL673" s="167"/>
    </row>
    <row r="674" spans="1:38" ht="15.75" customHeight="1">
      <c r="A674" s="167"/>
      <c r="B674" s="167"/>
      <c r="C674" s="167"/>
      <c r="D674" s="167"/>
      <c r="E674" s="167"/>
      <c r="F674" s="167"/>
      <c r="G674" s="167"/>
      <c r="H674" s="167"/>
      <c r="I674" s="167"/>
      <c r="J674" s="167"/>
      <c r="K674" s="167"/>
      <c r="L674" s="167"/>
      <c r="M674" s="167"/>
      <c r="N674" s="167"/>
      <c r="O674" s="167"/>
      <c r="P674" s="167"/>
      <c r="Q674" s="167"/>
      <c r="R674" s="167"/>
      <c r="S674" s="167"/>
      <c r="T674" s="167"/>
      <c r="U674" s="167"/>
      <c r="V674" s="167"/>
      <c r="W674" s="167"/>
      <c r="X674" s="167"/>
      <c r="Y674" s="167"/>
      <c r="Z674" s="167"/>
      <c r="AA674" s="167"/>
      <c r="AB674" s="167"/>
      <c r="AC674" s="167"/>
      <c r="AD674" s="167"/>
      <c r="AE674" s="167"/>
      <c r="AF674" s="167"/>
      <c r="AG674" s="167"/>
      <c r="AH674" s="167"/>
      <c r="AI674" s="167"/>
      <c r="AJ674" s="167"/>
      <c r="AK674" s="167"/>
      <c r="AL674" s="167"/>
    </row>
    <row r="675" spans="1:38" ht="15.75" customHeight="1">
      <c r="A675" s="167"/>
      <c r="B675" s="167"/>
      <c r="C675" s="167"/>
      <c r="D675" s="167"/>
      <c r="E675" s="167"/>
      <c r="F675" s="167"/>
      <c r="G675" s="167"/>
      <c r="H675" s="167"/>
      <c r="I675" s="167"/>
      <c r="J675" s="167"/>
      <c r="K675" s="167"/>
      <c r="L675" s="167"/>
      <c r="M675" s="167"/>
      <c r="N675" s="167"/>
      <c r="O675" s="167"/>
      <c r="P675" s="167"/>
      <c r="Q675" s="167"/>
      <c r="R675" s="167"/>
      <c r="S675" s="167"/>
      <c r="T675" s="167"/>
      <c r="U675" s="167"/>
      <c r="V675" s="167"/>
      <c r="W675" s="167"/>
      <c r="X675" s="167"/>
      <c r="Y675" s="167"/>
      <c r="Z675" s="167"/>
      <c r="AA675" s="167"/>
      <c r="AB675" s="167"/>
      <c r="AC675" s="167"/>
      <c r="AD675" s="167"/>
      <c r="AE675" s="167"/>
      <c r="AF675" s="167"/>
      <c r="AG675" s="167"/>
      <c r="AH675" s="167"/>
      <c r="AI675" s="167"/>
      <c r="AJ675" s="167"/>
      <c r="AK675" s="167"/>
      <c r="AL675" s="167"/>
    </row>
    <row r="676" spans="1:38" ht="15.75" customHeight="1">
      <c r="A676" s="167"/>
      <c r="B676" s="167"/>
      <c r="C676" s="167"/>
      <c r="D676" s="167"/>
      <c r="E676" s="167"/>
      <c r="F676" s="167"/>
      <c r="G676" s="167"/>
      <c r="H676" s="167"/>
      <c r="I676" s="167"/>
      <c r="J676" s="167"/>
      <c r="K676" s="167"/>
      <c r="L676" s="167"/>
      <c r="M676" s="167"/>
      <c r="N676" s="167"/>
      <c r="O676" s="167"/>
      <c r="P676" s="167"/>
      <c r="Q676" s="167"/>
      <c r="R676" s="167"/>
      <c r="S676" s="167"/>
      <c r="T676" s="167"/>
      <c r="U676" s="167"/>
      <c r="V676" s="167"/>
      <c r="W676" s="167"/>
      <c r="X676" s="167"/>
      <c r="Y676" s="167"/>
      <c r="Z676" s="167"/>
      <c r="AA676" s="167"/>
      <c r="AB676" s="167"/>
      <c r="AC676" s="167"/>
      <c r="AD676" s="167"/>
      <c r="AE676" s="167"/>
      <c r="AF676" s="167"/>
      <c r="AG676" s="167"/>
      <c r="AH676" s="167"/>
      <c r="AI676" s="167"/>
      <c r="AJ676" s="167"/>
      <c r="AK676" s="167"/>
      <c r="AL676" s="167"/>
    </row>
    <row r="677" spans="1:38" ht="15.75" customHeight="1">
      <c r="A677" s="167"/>
      <c r="B677" s="167"/>
      <c r="C677" s="167"/>
      <c r="D677" s="167"/>
      <c r="E677" s="167"/>
      <c r="F677" s="167"/>
      <c r="G677" s="167"/>
      <c r="H677" s="167"/>
      <c r="I677" s="167"/>
      <c r="J677" s="167"/>
      <c r="K677" s="167"/>
      <c r="L677" s="167"/>
      <c r="M677" s="167"/>
      <c r="N677" s="167"/>
      <c r="O677" s="167"/>
      <c r="P677" s="167"/>
      <c r="Q677" s="167"/>
      <c r="R677" s="167"/>
      <c r="S677" s="167"/>
      <c r="T677" s="167"/>
      <c r="U677" s="167"/>
      <c r="V677" s="167"/>
      <c r="W677" s="167"/>
      <c r="X677" s="167"/>
      <c r="Y677" s="167"/>
      <c r="Z677" s="167"/>
      <c r="AA677" s="167"/>
      <c r="AB677" s="167"/>
      <c r="AC677" s="167"/>
      <c r="AD677" s="167"/>
      <c r="AE677" s="167"/>
      <c r="AF677" s="167"/>
      <c r="AG677" s="167"/>
      <c r="AH677" s="167"/>
      <c r="AI677" s="167"/>
      <c r="AJ677" s="167"/>
      <c r="AK677" s="167"/>
      <c r="AL677" s="167"/>
    </row>
    <row r="678" spans="1:38" ht="15.75" customHeight="1">
      <c r="A678" s="167"/>
      <c r="B678" s="167"/>
      <c r="C678" s="167"/>
      <c r="D678" s="167"/>
      <c r="E678" s="167"/>
      <c r="F678" s="167"/>
      <c r="G678" s="167"/>
      <c r="H678" s="167"/>
      <c r="I678" s="167"/>
      <c r="J678" s="167"/>
      <c r="K678" s="167"/>
      <c r="L678" s="167"/>
      <c r="M678" s="167"/>
      <c r="N678" s="167"/>
      <c r="O678" s="167"/>
      <c r="P678" s="167"/>
      <c r="Q678" s="167"/>
      <c r="R678" s="167"/>
      <c r="S678" s="167"/>
      <c r="T678" s="167"/>
      <c r="U678" s="167"/>
      <c r="V678" s="167"/>
      <c r="W678" s="167"/>
      <c r="X678" s="167"/>
      <c r="Y678" s="167"/>
      <c r="Z678" s="167"/>
      <c r="AA678" s="167"/>
      <c r="AB678" s="167"/>
      <c r="AC678" s="167"/>
      <c r="AD678" s="167"/>
      <c r="AE678" s="167"/>
      <c r="AF678" s="167"/>
      <c r="AG678" s="167"/>
      <c r="AH678" s="167"/>
      <c r="AI678" s="167"/>
      <c r="AJ678" s="167"/>
      <c r="AK678" s="167"/>
      <c r="AL678" s="167"/>
    </row>
    <row r="679" spans="1:38" ht="15.75" customHeight="1">
      <c r="A679" s="167"/>
      <c r="B679" s="167"/>
      <c r="C679" s="167"/>
      <c r="D679" s="167"/>
      <c r="E679" s="167"/>
      <c r="F679" s="167"/>
      <c r="G679" s="167"/>
      <c r="H679" s="167"/>
      <c r="I679" s="167"/>
      <c r="J679" s="167"/>
      <c r="K679" s="167"/>
      <c r="L679" s="167"/>
      <c r="M679" s="167"/>
      <c r="N679" s="167"/>
      <c r="O679" s="167"/>
      <c r="P679" s="167"/>
      <c r="Q679" s="167"/>
      <c r="R679" s="167"/>
      <c r="S679" s="167"/>
      <c r="T679" s="167"/>
      <c r="U679" s="167"/>
      <c r="V679" s="167"/>
      <c r="W679" s="167"/>
      <c r="X679" s="167"/>
      <c r="Y679" s="167"/>
      <c r="Z679" s="167"/>
      <c r="AA679" s="167"/>
      <c r="AB679" s="167"/>
      <c r="AC679" s="167"/>
      <c r="AD679" s="167"/>
      <c r="AE679" s="167"/>
      <c r="AF679" s="167"/>
      <c r="AG679" s="167"/>
      <c r="AH679" s="167"/>
      <c r="AI679" s="167"/>
      <c r="AJ679" s="167"/>
      <c r="AK679" s="167"/>
      <c r="AL679" s="167"/>
    </row>
    <row r="680" spans="1:38" ht="15.75" customHeight="1">
      <c r="A680" s="167"/>
      <c r="B680" s="167"/>
      <c r="C680" s="167"/>
      <c r="D680" s="167"/>
      <c r="E680" s="167"/>
      <c r="F680" s="167"/>
      <c r="G680" s="167"/>
      <c r="H680" s="167"/>
      <c r="I680" s="167"/>
      <c r="J680" s="167"/>
      <c r="K680" s="167"/>
      <c r="L680" s="167"/>
      <c r="M680" s="167"/>
      <c r="N680" s="167"/>
      <c r="O680" s="167"/>
      <c r="P680" s="167"/>
      <c r="Q680" s="167"/>
      <c r="R680" s="167"/>
      <c r="S680" s="167"/>
      <c r="T680" s="167"/>
      <c r="U680" s="167"/>
      <c r="V680" s="167"/>
      <c r="W680" s="167"/>
      <c r="X680" s="167"/>
      <c r="Y680" s="167"/>
      <c r="Z680" s="167"/>
      <c r="AA680" s="167"/>
      <c r="AB680" s="167"/>
      <c r="AC680" s="167"/>
      <c r="AD680" s="167"/>
      <c r="AE680" s="167"/>
      <c r="AF680" s="167"/>
      <c r="AG680" s="167"/>
      <c r="AH680" s="167"/>
      <c r="AI680" s="167"/>
      <c r="AJ680" s="167"/>
      <c r="AK680" s="167"/>
      <c r="AL680" s="167"/>
    </row>
    <row r="681" spans="1:38" ht="15.75" customHeight="1">
      <c r="A681" s="167"/>
      <c r="B681" s="167"/>
      <c r="C681" s="167"/>
      <c r="D681" s="167"/>
      <c r="E681" s="167"/>
      <c r="F681" s="167"/>
      <c r="G681" s="167"/>
      <c r="H681" s="167"/>
      <c r="I681" s="167"/>
      <c r="J681" s="167"/>
      <c r="K681" s="167"/>
      <c r="L681" s="167"/>
      <c r="M681" s="167"/>
      <c r="N681" s="167"/>
      <c r="O681" s="167"/>
      <c r="P681" s="167"/>
      <c r="Q681" s="167"/>
      <c r="R681" s="167"/>
      <c r="S681" s="167"/>
      <c r="T681" s="167"/>
      <c r="U681" s="167"/>
      <c r="V681" s="167"/>
      <c r="W681" s="167"/>
      <c r="X681" s="167"/>
      <c r="Y681" s="167"/>
      <c r="Z681" s="167"/>
      <c r="AA681" s="167"/>
      <c r="AB681" s="167"/>
      <c r="AC681" s="167"/>
      <c r="AD681" s="167"/>
      <c r="AE681" s="167"/>
      <c r="AF681" s="167"/>
      <c r="AG681" s="167"/>
      <c r="AH681" s="167"/>
      <c r="AI681" s="167"/>
      <c r="AJ681" s="167"/>
      <c r="AK681" s="167"/>
      <c r="AL681" s="167"/>
    </row>
    <row r="682" spans="1:38" ht="15.75" customHeight="1">
      <c r="A682" s="167"/>
      <c r="B682" s="167"/>
      <c r="C682" s="167"/>
      <c r="D682" s="167"/>
      <c r="E682" s="167"/>
      <c r="F682" s="167"/>
      <c r="G682" s="167"/>
      <c r="H682" s="167"/>
      <c r="I682" s="167"/>
      <c r="J682" s="167"/>
      <c r="K682" s="167"/>
      <c r="L682" s="167"/>
      <c r="M682" s="167"/>
      <c r="N682" s="167"/>
      <c r="O682" s="167"/>
      <c r="P682" s="167"/>
      <c r="Q682" s="167"/>
      <c r="R682" s="167"/>
      <c r="S682" s="167"/>
      <c r="T682" s="167"/>
      <c r="U682" s="167"/>
      <c r="V682" s="167"/>
      <c r="W682" s="167"/>
      <c r="X682" s="167"/>
      <c r="Y682" s="167"/>
      <c r="Z682" s="167"/>
      <c r="AA682" s="167"/>
      <c r="AB682" s="167"/>
      <c r="AC682" s="167"/>
      <c r="AD682" s="167"/>
      <c r="AE682" s="167"/>
      <c r="AF682" s="167"/>
      <c r="AG682" s="167"/>
      <c r="AH682" s="167"/>
      <c r="AI682" s="167"/>
      <c r="AJ682" s="167"/>
      <c r="AK682" s="167"/>
      <c r="AL682" s="167"/>
    </row>
    <row r="683" spans="1:38" ht="15.75" customHeight="1">
      <c r="A683" s="167"/>
      <c r="B683" s="167"/>
      <c r="C683" s="167"/>
      <c r="D683" s="167"/>
      <c r="E683" s="167"/>
      <c r="F683" s="167"/>
      <c r="G683" s="167"/>
      <c r="H683" s="167"/>
      <c r="I683" s="167"/>
      <c r="J683" s="167"/>
      <c r="K683" s="167"/>
      <c r="L683" s="167"/>
      <c r="M683" s="167"/>
      <c r="N683" s="167"/>
      <c r="O683" s="167"/>
      <c r="P683" s="167"/>
      <c r="Q683" s="167"/>
      <c r="R683" s="167"/>
      <c r="S683" s="167"/>
      <c r="T683" s="167"/>
      <c r="U683" s="167"/>
      <c r="V683" s="167"/>
      <c r="W683" s="167"/>
      <c r="X683" s="167"/>
      <c r="Y683" s="167"/>
      <c r="Z683" s="167"/>
      <c r="AA683" s="167"/>
      <c r="AB683" s="167"/>
      <c r="AC683" s="167"/>
      <c r="AD683" s="167"/>
      <c r="AE683" s="167"/>
      <c r="AF683" s="167"/>
      <c r="AG683" s="167"/>
      <c r="AH683" s="167"/>
      <c r="AI683" s="167"/>
      <c r="AJ683" s="167"/>
      <c r="AK683" s="167"/>
      <c r="AL683" s="167"/>
    </row>
    <row r="684" spans="1:38" ht="15.75" customHeight="1">
      <c r="A684" s="167"/>
      <c r="B684" s="167"/>
      <c r="C684" s="167"/>
      <c r="D684" s="167"/>
      <c r="E684" s="167"/>
      <c r="F684" s="167"/>
      <c r="G684" s="167"/>
      <c r="H684" s="167"/>
      <c r="I684" s="167"/>
      <c r="J684" s="167"/>
      <c r="K684" s="167"/>
      <c r="L684" s="167"/>
      <c r="M684" s="167"/>
      <c r="N684" s="167"/>
      <c r="O684" s="167"/>
      <c r="P684" s="167"/>
      <c r="Q684" s="167"/>
      <c r="R684" s="167"/>
      <c r="S684" s="167"/>
      <c r="T684" s="167"/>
      <c r="U684" s="167"/>
      <c r="V684" s="167"/>
      <c r="W684" s="167"/>
      <c r="X684" s="167"/>
      <c r="Y684" s="167"/>
      <c r="Z684" s="167"/>
      <c r="AA684" s="167"/>
      <c r="AB684" s="167"/>
      <c r="AC684" s="167"/>
      <c r="AD684" s="167"/>
      <c r="AE684" s="167"/>
      <c r="AF684" s="167"/>
      <c r="AG684" s="167"/>
      <c r="AH684" s="167"/>
      <c r="AI684" s="167"/>
      <c r="AJ684" s="167"/>
      <c r="AK684" s="167"/>
      <c r="AL684" s="167"/>
    </row>
    <row r="685" spans="1:38" ht="15.75" customHeight="1">
      <c r="A685" s="167"/>
      <c r="B685" s="167"/>
      <c r="C685" s="167"/>
      <c r="D685" s="167"/>
      <c r="E685" s="167"/>
      <c r="F685" s="167"/>
      <c r="G685" s="167"/>
      <c r="H685" s="167"/>
      <c r="I685" s="167"/>
      <c r="J685" s="167"/>
      <c r="K685" s="167"/>
      <c r="L685" s="167"/>
      <c r="M685" s="167"/>
      <c r="N685" s="167"/>
      <c r="O685" s="167"/>
      <c r="P685" s="167"/>
      <c r="Q685" s="167"/>
      <c r="R685" s="167"/>
      <c r="S685" s="167"/>
      <c r="T685" s="167"/>
      <c r="U685" s="167"/>
      <c r="V685" s="167"/>
      <c r="W685" s="167"/>
      <c r="X685" s="167"/>
      <c r="Y685" s="167"/>
      <c r="Z685" s="167"/>
      <c r="AA685" s="167"/>
      <c r="AB685" s="167"/>
      <c r="AC685" s="167"/>
      <c r="AD685" s="167"/>
      <c r="AE685" s="167"/>
      <c r="AF685" s="167"/>
      <c r="AG685" s="167"/>
      <c r="AH685" s="167"/>
      <c r="AI685" s="167"/>
      <c r="AJ685" s="167"/>
      <c r="AK685" s="167"/>
      <c r="AL685" s="167"/>
    </row>
    <row r="686" spans="1:38" ht="15.75" customHeight="1">
      <c r="A686" s="167"/>
      <c r="B686" s="167"/>
      <c r="C686" s="167"/>
      <c r="D686" s="167"/>
      <c r="E686" s="167"/>
      <c r="F686" s="167"/>
      <c r="G686" s="167"/>
      <c r="H686" s="167"/>
      <c r="I686" s="167"/>
      <c r="J686" s="167"/>
      <c r="K686" s="167"/>
      <c r="L686" s="167"/>
      <c r="M686" s="167"/>
      <c r="N686" s="167"/>
      <c r="O686" s="167"/>
      <c r="P686" s="167"/>
      <c r="Q686" s="167"/>
      <c r="R686" s="167"/>
      <c r="S686" s="167"/>
      <c r="T686" s="167"/>
      <c r="U686" s="167"/>
      <c r="V686" s="167"/>
      <c r="W686" s="167"/>
      <c r="X686" s="167"/>
      <c r="Y686" s="167"/>
      <c r="Z686" s="167"/>
      <c r="AA686" s="167"/>
      <c r="AB686" s="167"/>
      <c r="AC686" s="167"/>
      <c r="AD686" s="167"/>
      <c r="AE686" s="167"/>
      <c r="AF686" s="167"/>
      <c r="AG686" s="167"/>
      <c r="AH686" s="167"/>
      <c r="AI686" s="167"/>
      <c r="AJ686" s="167"/>
      <c r="AK686" s="167"/>
      <c r="AL686" s="167"/>
    </row>
    <row r="687" spans="1:38" ht="15.75" customHeight="1">
      <c r="A687" s="167"/>
      <c r="B687" s="167"/>
      <c r="C687" s="167"/>
      <c r="D687" s="167"/>
      <c r="E687" s="167"/>
      <c r="F687" s="167"/>
      <c r="G687" s="167"/>
      <c r="H687" s="167"/>
      <c r="I687" s="167"/>
      <c r="J687" s="167"/>
      <c r="K687" s="167"/>
      <c r="L687" s="167"/>
      <c r="M687" s="167"/>
      <c r="N687" s="167"/>
      <c r="O687" s="167"/>
      <c r="P687" s="167"/>
      <c r="Q687" s="167"/>
      <c r="R687" s="167"/>
      <c r="S687" s="167"/>
      <c r="T687" s="167"/>
      <c r="U687" s="167"/>
      <c r="V687" s="167"/>
      <c r="W687" s="167"/>
      <c r="X687" s="167"/>
      <c r="Y687" s="167"/>
      <c r="Z687" s="167"/>
      <c r="AA687" s="167"/>
      <c r="AB687" s="167"/>
      <c r="AC687" s="167"/>
      <c r="AD687" s="167"/>
      <c r="AE687" s="167"/>
      <c r="AF687" s="167"/>
      <c r="AG687" s="167"/>
      <c r="AH687" s="167"/>
      <c r="AI687" s="167"/>
      <c r="AJ687" s="167"/>
      <c r="AK687" s="167"/>
      <c r="AL687" s="167"/>
    </row>
    <row r="688" spans="1:38" ht="15.75" customHeight="1">
      <c r="A688" s="167"/>
      <c r="B688" s="167"/>
      <c r="C688" s="167"/>
      <c r="D688" s="167"/>
      <c r="E688" s="167"/>
      <c r="F688" s="167"/>
      <c r="G688" s="167"/>
      <c r="H688" s="167"/>
      <c r="I688" s="167"/>
      <c r="J688" s="167"/>
      <c r="K688" s="167"/>
      <c r="L688" s="167"/>
      <c r="M688" s="167"/>
      <c r="N688" s="167"/>
      <c r="O688" s="167"/>
      <c r="P688" s="167"/>
      <c r="Q688" s="167"/>
      <c r="R688" s="167"/>
      <c r="S688" s="167"/>
      <c r="T688" s="167"/>
      <c r="U688" s="167"/>
      <c r="V688" s="167"/>
      <c r="W688" s="167"/>
      <c r="X688" s="167"/>
      <c r="Y688" s="167"/>
      <c r="Z688" s="167"/>
      <c r="AA688" s="167"/>
      <c r="AB688" s="167"/>
      <c r="AC688" s="167"/>
      <c r="AD688" s="167"/>
      <c r="AE688" s="167"/>
      <c r="AF688" s="167"/>
      <c r="AG688" s="167"/>
      <c r="AH688" s="167"/>
      <c r="AI688" s="167"/>
      <c r="AJ688" s="167"/>
      <c r="AK688" s="167"/>
      <c r="AL688" s="167"/>
    </row>
    <row r="689" spans="1:38" ht="15.75" customHeight="1">
      <c r="A689" s="167"/>
      <c r="B689" s="167"/>
      <c r="C689" s="167"/>
      <c r="D689" s="167"/>
      <c r="E689" s="167"/>
      <c r="F689" s="167"/>
      <c r="G689" s="167"/>
      <c r="H689" s="167"/>
      <c r="I689" s="167"/>
      <c r="J689" s="167"/>
      <c r="K689" s="167"/>
      <c r="L689" s="167"/>
      <c r="M689" s="167"/>
      <c r="N689" s="167"/>
      <c r="O689" s="167"/>
      <c r="P689" s="167"/>
      <c r="Q689" s="167"/>
      <c r="R689" s="167"/>
      <c r="S689" s="167"/>
      <c r="T689" s="167"/>
      <c r="U689" s="167"/>
      <c r="V689" s="167"/>
      <c r="W689" s="167"/>
      <c r="X689" s="167"/>
      <c r="Y689" s="167"/>
      <c r="Z689" s="167"/>
      <c r="AA689" s="167"/>
      <c r="AB689" s="167"/>
      <c r="AC689" s="167"/>
      <c r="AD689" s="167"/>
      <c r="AE689" s="167"/>
      <c r="AF689" s="167"/>
      <c r="AG689" s="167"/>
      <c r="AH689" s="167"/>
      <c r="AI689" s="167"/>
      <c r="AJ689" s="167"/>
      <c r="AK689" s="167"/>
      <c r="AL689" s="167"/>
    </row>
    <row r="690" spans="1:38" ht="15.75" customHeight="1">
      <c r="A690" s="167"/>
      <c r="B690" s="167"/>
      <c r="C690" s="167"/>
      <c r="D690" s="167"/>
      <c r="E690" s="167"/>
      <c r="F690" s="167"/>
      <c r="G690" s="167"/>
      <c r="H690" s="167"/>
      <c r="I690" s="167"/>
      <c r="J690" s="167"/>
      <c r="K690" s="167"/>
      <c r="L690" s="167"/>
      <c r="M690" s="167"/>
      <c r="N690" s="167"/>
      <c r="O690" s="167"/>
      <c r="P690" s="167"/>
      <c r="Q690" s="167"/>
      <c r="R690" s="167"/>
      <c r="S690" s="167"/>
      <c r="T690" s="167"/>
      <c r="U690" s="167"/>
      <c r="V690" s="167"/>
      <c r="W690" s="167"/>
      <c r="X690" s="167"/>
      <c r="Y690" s="167"/>
      <c r="Z690" s="167"/>
      <c r="AA690" s="167"/>
      <c r="AB690" s="167"/>
      <c r="AC690" s="167"/>
      <c r="AD690" s="167"/>
      <c r="AE690" s="167"/>
      <c r="AF690" s="167"/>
      <c r="AG690" s="167"/>
      <c r="AH690" s="167"/>
      <c r="AI690" s="167"/>
      <c r="AJ690" s="167"/>
      <c r="AK690" s="167"/>
      <c r="AL690" s="167"/>
    </row>
    <row r="691" spans="1:38" ht="15.75" customHeight="1">
      <c r="A691" s="167"/>
      <c r="B691" s="167"/>
      <c r="C691" s="167"/>
      <c r="D691" s="167"/>
      <c r="E691" s="167"/>
      <c r="F691" s="167"/>
      <c r="G691" s="167"/>
      <c r="H691" s="167"/>
      <c r="I691" s="167"/>
      <c r="J691" s="167"/>
      <c r="K691" s="167"/>
      <c r="L691" s="167"/>
      <c r="M691" s="167"/>
      <c r="N691" s="167"/>
      <c r="O691" s="167"/>
      <c r="P691" s="167"/>
      <c r="Q691" s="167"/>
      <c r="R691" s="167"/>
      <c r="S691" s="167"/>
      <c r="T691" s="167"/>
      <c r="U691" s="167"/>
      <c r="V691" s="167"/>
      <c r="W691" s="167"/>
      <c r="X691" s="167"/>
      <c r="Y691" s="167"/>
      <c r="Z691" s="167"/>
      <c r="AA691" s="167"/>
      <c r="AB691" s="167"/>
      <c r="AC691" s="167"/>
      <c r="AD691" s="167"/>
      <c r="AE691" s="167"/>
      <c r="AF691" s="167"/>
      <c r="AG691" s="167"/>
      <c r="AH691" s="167"/>
      <c r="AI691" s="167"/>
      <c r="AJ691" s="167"/>
      <c r="AK691" s="167"/>
      <c r="AL691" s="167"/>
    </row>
    <row r="692" spans="1:38" ht="15.75" customHeight="1">
      <c r="A692" s="167"/>
      <c r="B692" s="167"/>
      <c r="C692" s="167"/>
      <c r="D692" s="167"/>
      <c r="E692" s="167"/>
      <c r="F692" s="167"/>
      <c r="G692" s="167"/>
      <c r="H692" s="167"/>
      <c r="I692" s="167"/>
      <c r="J692" s="167"/>
      <c r="K692" s="167"/>
      <c r="L692" s="167"/>
      <c r="M692" s="167"/>
      <c r="N692" s="167"/>
      <c r="O692" s="167"/>
      <c r="P692" s="167"/>
      <c r="Q692" s="167"/>
      <c r="R692" s="167"/>
      <c r="S692" s="167"/>
      <c r="T692" s="167"/>
      <c r="U692" s="167"/>
      <c r="V692" s="167"/>
      <c r="W692" s="167"/>
      <c r="X692" s="167"/>
      <c r="Y692" s="167"/>
      <c r="Z692" s="167"/>
      <c r="AA692" s="167"/>
      <c r="AB692" s="167"/>
      <c r="AC692" s="167"/>
      <c r="AD692" s="167"/>
      <c r="AE692" s="167"/>
      <c r="AF692" s="167"/>
      <c r="AG692" s="167"/>
      <c r="AH692" s="167"/>
      <c r="AI692" s="167"/>
      <c r="AJ692" s="167"/>
      <c r="AK692" s="167"/>
      <c r="AL692" s="167"/>
    </row>
    <row r="693" spans="1:38" ht="15.75" customHeight="1">
      <c r="A693" s="167"/>
      <c r="B693" s="167"/>
      <c r="C693" s="167"/>
      <c r="D693" s="167"/>
      <c r="E693" s="167"/>
      <c r="F693" s="167"/>
      <c r="G693" s="167"/>
      <c r="H693" s="167"/>
      <c r="I693" s="167"/>
      <c r="J693" s="167"/>
      <c r="K693" s="167"/>
      <c r="L693" s="167"/>
      <c r="M693" s="167"/>
      <c r="N693" s="167"/>
      <c r="O693" s="167"/>
      <c r="P693" s="167"/>
      <c r="Q693" s="167"/>
      <c r="R693" s="167"/>
      <c r="S693" s="167"/>
      <c r="T693" s="167"/>
      <c r="U693" s="167"/>
      <c r="V693" s="167"/>
      <c r="W693" s="167"/>
      <c r="X693" s="167"/>
      <c r="Y693" s="167"/>
      <c r="Z693" s="167"/>
      <c r="AA693" s="167"/>
      <c r="AB693" s="167"/>
      <c r="AC693" s="167"/>
      <c r="AD693" s="167"/>
      <c r="AE693" s="167"/>
      <c r="AF693" s="167"/>
      <c r="AG693" s="167"/>
      <c r="AH693" s="167"/>
      <c r="AI693" s="167"/>
      <c r="AJ693" s="167"/>
      <c r="AK693" s="167"/>
      <c r="AL693" s="167"/>
    </row>
    <row r="694" spans="1:38" ht="15.75" customHeight="1">
      <c r="A694" s="167"/>
      <c r="B694" s="167"/>
      <c r="C694" s="167"/>
      <c r="D694" s="167"/>
      <c r="E694" s="167"/>
      <c r="F694" s="167"/>
      <c r="G694" s="167"/>
      <c r="H694" s="167"/>
      <c r="I694" s="167"/>
      <c r="J694" s="167"/>
      <c r="K694" s="167"/>
      <c r="L694" s="167"/>
      <c r="M694" s="167"/>
      <c r="N694" s="167"/>
      <c r="O694" s="167"/>
      <c r="P694" s="167"/>
      <c r="Q694" s="167"/>
      <c r="R694" s="167"/>
      <c r="S694" s="167"/>
      <c r="T694" s="167"/>
      <c r="U694" s="167"/>
      <c r="V694" s="167"/>
      <c r="W694" s="167"/>
      <c r="X694" s="167"/>
      <c r="Y694" s="167"/>
      <c r="Z694" s="167"/>
      <c r="AA694" s="167"/>
      <c r="AB694" s="167"/>
      <c r="AC694" s="167"/>
      <c r="AD694" s="167"/>
      <c r="AE694" s="167"/>
      <c r="AF694" s="167"/>
      <c r="AG694" s="167"/>
      <c r="AH694" s="167"/>
      <c r="AI694" s="167"/>
      <c r="AJ694" s="167"/>
      <c r="AK694" s="167"/>
      <c r="AL694" s="167"/>
    </row>
    <row r="695" spans="1:38" ht="15.75" customHeight="1">
      <c r="A695" s="167"/>
      <c r="B695" s="167"/>
      <c r="C695" s="167"/>
      <c r="D695" s="167"/>
      <c r="E695" s="167"/>
      <c r="F695" s="167"/>
      <c r="G695" s="167"/>
      <c r="H695" s="167"/>
      <c r="I695" s="167"/>
      <c r="J695" s="167"/>
      <c r="K695" s="167"/>
      <c r="L695" s="167"/>
      <c r="M695" s="167"/>
      <c r="N695" s="167"/>
      <c r="O695" s="167"/>
      <c r="P695" s="167"/>
      <c r="Q695" s="167"/>
      <c r="R695" s="167"/>
      <c r="S695" s="167"/>
      <c r="T695" s="167"/>
      <c r="U695" s="167"/>
      <c r="V695" s="167"/>
      <c r="W695" s="167"/>
      <c r="X695" s="167"/>
      <c r="Y695" s="167"/>
      <c r="Z695" s="167"/>
      <c r="AA695" s="167"/>
      <c r="AB695" s="167"/>
      <c r="AC695" s="167"/>
      <c r="AD695" s="167"/>
      <c r="AE695" s="167"/>
      <c r="AF695" s="167"/>
      <c r="AG695" s="167"/>
      <c r="AH695" s="167"/>
      <c r="AI695" s="167"/>
      <c r="AJ695" s="167"/>
      <c r="AK695" s="167"/>
      <c r="AL695" s="167"/>
    </row>
    <row r="696" spans="1:38" ht="15.75" customHeight="1">
      <c r="A696" s="167"/>
      <c r="B696" s="167"/>
      <c r="C696" s="167"/>
      <c r="D696" s="167"/>
      <c r="E696" s="167"/>
      <c r="F696" s="167"/>
      <c r="G696" s="167"/>
      <c r="H696" s="167"/>
      <c r="I696" s="167"/>
      <c r="J696" s="167"/>
      <c r="K696" s="167"/>
      <c r="L696" s="167"/>
      <c r="M696" s="167"/>
      <c r="N696" s="167"/>
      <c r="O696" s="167"/>
      <c r="P696" s="167"/>
      <c r="Q696" s="167"/>
      <c r="R696" s="167"/>
      <c r="S696" s="167"/>
      <c r="T696" s="167"/>
      <c r="U696" s="167"/>
      <c r="V696" s="167"/>
      <c r="W696" s="167"/>
      <c r="X696" s="167"/>
      <c r="Y696" s="167"/>
      <c r="Z696" s="167"/>
      <c r="AA696" s="167"/>
      <c r="AB696" s="167"/>
      <c r="AC696" s="167"/>
      <c r="AD696" s="167"/>
      <c r="AE696" s="167"/>
      <c r="AF696" s="167"/>
      <c r="AG696" s="167"/>
      <c r="AH696" s="167"/>
      <c r="AI696" s="167"/>
      <c r="AJ696" s="167"/>
      <c r="AK696" s="167"/>
      <c r="AL696" s="167"/>
    </row>
    <row r="697" spans="1:38" ht="15.75" customHeight="1">
      <c r="A697" s="167"/>
      <c r="B697" s="167"/>
      <c r="C697" s="167"/>
      <c r="D697" s="167"/>
      <c r="E697" s="167"/>
      <c r="F697" s="167"/>
      <c r="G697" s="167"/>
      <c r="H697" s="167"/>
      <c r="I697" s="167"/>
      <c r="J697" s="167"/>
      <c r="K697" s="167"/>
      <c r="L697" s="167"/>
      <c r="M697" s="167"/>
      <c r="N697" s="167"/>
      <c r="O697" s="167"/>
      <c r="P697" s="167"/>
      <c r="Q697" s="167"/>
      <c r="R697" s="167"/>
      <c r="S697" s="167"/>
      <c r="T697" s="167"/>
      <c r="U697" s="167"/>
      <c r="V697" s="167"/>
      <c r="W697" s="167"/>
      <c r="X697" s="167"/>
      <c r="Y697" s="167"/>
      <c r="Z697" s="167"/>
      <c r="AA697" s="167"/>
      <c r="AB697" s="167"/>
      <c r="AC697" s="167"/>
      <c r="AD697" s="167"/>
      <c r="AE697" s="167"/>
      <c r="AF697" s="167"/>
      <c r="AG697" s="167"/>
      <c r="AH697" s="167"/>
      <c r="AI697" s="167"/>
      <c r="AJ697" s="167"/>
      <c r="AK697" s="167"/>
      <c r="AL697" s="167"/>
    </row>
    <row r="698" spans="1:38" ht="15.75" customHeight="1">
      <c r="A698" s="167"/>
      <c r="B698" s="167"/>
      <c r="C698" s="167"/>
      <c r="D698" s="167"/>
      <c r="E698" s="167"/>
      <c r="F698" s="167"/>
      <c r="G698" s="167"/>
      <c r="H698" s="167"/>
      <c r="I698" s="167"/>
      <c r="J698" s="167"/>
      <c r="K698" s="167"/>
      <c r="L698" s="167"/>
      <c r="M698" s="167"/>
      <c r="N698" s="167"/>
      <c r="O698" s="167"/>
      <c r="P698" s="167"/>
      <c r="Q698" s="167"/>
      <c r="R698" s="167"/>
      <c r="S698" s="167"/>
      <c r="T698" s="167"/>
      <c r="U698" s="167"/>
      <c r="V698" s="167"/>
      <c r="W698" s="167"/>
      <c r="X698" s="167"/>
      <c r="Y698" s="167"/>
      <c r="Z698" s="167"/>
      <c r="AA698" s="167"/>
      <c r="AB698" s="167"/>
      <c r="AC698" s="167"/>
      <c r="AD698" s="167"/>
      <c r="AE698" s="167"/>
      <c r="AF698" s="167"/>
      <c r="AG698" s="167"/>
      <c r="AH698" s="167"/>
      <c r="AI698" s="167"/>
      <c r="AJ698" s="167"/>
      <c r="AK698" s="167"/>
      <c r="AL698" s="167"/>
    </row>
    <row r="699" spans="1:38" ht="15.75" customHeight="1">
      <c r="A699" s="167"/>
      <c r="B699" s="167"/>
      <c r="C699" s="167"/>
      <c r="D699" s="167"/>
      <c r="E699" s="167"/>
      <c r="F699" s="167"/>
      <c r="G699" s="167"/>
      <c r="H699" s="167"/>
      <c r="I699" s="167"/>
      <c r="J699" s="167"/>
      <c r="K699" s="167"/>
      <c r="L699" s="167"/>
      <c r="M699" s="167"/>
      <c r="N699" s="167"/>
      <c r="O699" s="167"/>
      <c r="P699" s="167"/>
      <c r="Q699" s="167"/>
      <c r="R699" s="167"/>
      <c r="S699" s="167"/>
      <c r="T699" s="167"/>
      <c r="U699" s="167"/>
      <c r="V699" s="167"/>
      <c r="W699" s="167"/>
      <c r="X699" s="167"/>
      <c r="Y699" s="167"/>
      <c r="Z699" s="167"/>
      <c r="AA699" s="167"/>
      <c r="AB699" s="167"/>
      <c r="AC699" s="167"/>
      <c r="AD699" s="167"/>
      <c r="AE699" s="167"/>
      <c r="AF699" s="167"/>
      <c r="AG699" s="167"/>
      <c r="AH699" s="167"/>
      <c r="AI699" s="167"/>
      <c r="AJ699" s="167"/>
      <c r="AK699" s="167"/>
      <c r="AL699" s="167"/>
    </row>
    <row r="700" spans="1:38" ht="15.75" customHeight="1">
      <c r="A700" s="167"/>
      <c r="B700" s="167"/>
      <c r="C700" s="167"/>
      <c r="D700" s="167"/>
      <c r="E700" s="167"/>
      <c r="F700" s="167"/>
      <c r="G700" s="167"/>
      <c r="H700" s="167"/>
      <c r="I700" s="167"/>
      <c r="J700" s="167"/>
      <c r="K700" s="167"/>
      <c r="L700" s="167"/>
      <c r="M700" s="167"/>
      <c r="N700" s="167"/>
      <c r="O700" s="167"/>
      <c r="P700" s="167"/>
      <c r="Q700" s="167"/>
      <c r="R700" s="167"/>
      <c r="S700" s="167"/>
      <c r="T700" s="167"/>
      <c r="U700" s="167"/>
      <c r="V700" s="167"/>
      <c r="W700" s="167"/>
      <c r="X700" s="167"/>
      <c r="Y700" s="167"/>
      <c r="Z700" s="167"/>
      <c r="AA700" s="167"/>
      <c r="AB700" s="167"/>
      <c r="AC700" s="167"/>
      <c r="AD700" s="167"/>
      <c r="AE700" s="167"/>
      <c r="AF700" s="167"/>
      <c r="AG700" s="167"/>
      <c r="AH700" s="167"/>
      <c r="AI700" s="167"/>
      <c r="AJ700" s="167"/>
      <c r="AK700" s="167"/>
      <c r="AL700" s="167"/>
    </row>
    <row r="701" spans="1:38" ht="15.75" customHeight="1">
      <c r="A701" s="167"/>
      <c r="B701" s="167"/>
      <c r="C701" s="167"/>
      <c r="D701" s="167"/>
      <c r="E701" s="167"/>
      <c r="F701" s="167"/>
      <c r="G701" s="167"/>
      <c r="H701" s="167"/>
      <c r="I701" s="167"/>
      <c r="J701" s="167"/>
      <c r="K701" s="167"/>
      <c r="L701" s="167"/>
      <c r="M701" s="167"/>
      <c r="N701" s="167"/>
      <c r="O701" s="167"/>
      <c r="P701" s="167"/>
      <c r="Q701" s="167"/>
      <c r="R701" s="167"/>
      <c r="S701" s="167"/>
      <c r="T701" s="167"/>
      <c r="U701" s="167"/>
      <c r="V701" s="167"/>
      <c r="W701" s="167"/>
      <c r="X701" s="167"/>
      <c r="Y701" s="167"/>
      <c r="Z701" s="167"/>
      <c r="AA701" s="167"/>
      <c r="AB701" s="167"/>
      <c r="AC701" s="167"/>
      <c r="AD701" s="167"/>
      <c r="AE701" s="167"/>
      <c r="AF701" s="167"/>
      <c r="AG701" s="167"/>
      <c r="AH701" s="167"/>
      <c r="AI701" s="167"/>
      <c r="AJ701" s="167"/>
      <c r="AK701" s="167"/>
      <c r="AL701" s="167"/>
    </row>
    <row r="702" spans="1:38" ht="15.75" customHeight="1">
      <c r="A702" s="167"/>
      <c r="B702" s="167"/>
      <c r="C702" s="167"/>
      <c r="D702" s="167"/>
      <c r="E702" s="167"/>
      <c r="F702" s="167"/>
      <c r="G702" s="167"/>
      <c r="H702" s="167"/>
      <c r="I702" s="167"/>
      <c r="J702" s="167"/>
      <c r="K702" s="167"/>
      <c r="L702" s="167"/>
      <c r="M702" s="167"/>
      <c r="N702" s="167"/>
      <c r="O702" s="167"/>
      <c r="P702" s="167"/>
      <c r="Q702" s="167"/>
      <c r="R702" s="167"/>
      <c r="S702" s="167"/>
      <c r="T702" s="167"/>
      <c r="U702" s="167"/>
      <c r="V702" s="167"/>
      <c r="W702" s="167"/>
      <c r="X702" s="167"/>
      <c r="Y702" s="167"/>
      <c r="Z702" s="167"/>
      <c r="AA702" s="167"/>
      <c r="AB702" s="167"/>
      <c r="AC702" s="167"/>
      <c r="AD702" s="167"/>
      <c r="AE702" s="167"/>
      <c r="AF702" s="167"/>
      <c r="AG702" s="167"/>
      <c r="AH702" s="167"/>
      <c r="AI702" s="167"/>
      <c r="AJ702" s="167"/>
      <c r="AK702" s="167"/>
      <c r="AL702" s="167"/>
    </row>
    <row r="703" spans="1:38" ht="15.75" customHeight="1">
      <c r="A703" s="167"/>
      <c r="B703" s="167"/>
      <c r="C703" s="167"/>
      <c r="D703" s="167"/>
      <c r="E703" s="167"/>
      <c r="F703" s="167"/>
      <c r="G703" s="167"/>
      <c r="H703" s="167"/>
      <c r="I703" s="167"/>
      <c r="J703" s="167"/>
      <c r="K703" s="167"/>
      <c r="L703" s="167"/>
      <c r="M703" s="167"/>
      <c r="N703" s="167"/>
      <c r="O703" s="167"/>
      <c r="P703" s="167"/>
      <c r="Q703" s="167"/>
      <c r="R703" s="167"/>
      <c r="S703" s="167"/>
      <c r="T703" s="167"/>
      <c r="U703" s="167"/>
      <c r="V703" s="167"/>
      <c r="W703" s="167"/>
      <c r="X703" s="167"/>
      <c r="Y703" s="167"/>
      <c r="Z703" s="167"/>
      <c r="AA703" s="167"/>
      <c r="AB703" s="167"/>
      <c r="AC703" s="167"/>
      <c r="AD703" s="167"/>
      <c r="AE703" s="167"/>
      <c r="AF703" s="167"/>
      <c r="AG703" s="167"/>
      <c r="AH703" s="167"/>
      <c r="AI703" s="167"/>
      <c r="AJ703" s="167"/>
      <c r="AK703" s="167"/>
      <c r="AL703" s="167"/>
    </row>
    <row r="704" spans="1:38" ht="15.75" customHeight="1">
      <c r="A704" s="167"/>
      <c r="B704" s="167"/>
      <c r="C704" s="167"/>
      <c r="D704" s="167"/>
      <c r="E704" s="167"/>
      <c r="F704" s="167"/>
      <c r="G704" s="167"/>
      <c r="H704" s="167"/>
      <c r="I704" s="167"/>
      <c r="J704" s="167"/>
      <c r="K704" s="167"/>
      <c r="L704" s="167"/>
      <c r="M704" s="167"/>
      <c r="N704" s="167"/>
      <c r="O704" s="167"/>
      <c r="P704" s="167"/>
      <c r="Q704" s="167"/>
      <c r="R704" s="167"/>
      <c r="S704" s="167"/>
      <c r="T704" s="167"/>
      <c r="U704" s="167"/>
      <c r="V704" s="167"/>
      <c r="W704" s="167"/>
      <c r="X704" s="167"/>
      <c r="Y704" s="167"/>
      <c r="Z704" s="167"/>
      <c r="AA704" s="167"/>
      <c r="AB704" s="167"/>
      <c r="AC704" s="167"/>
      <c r="AD704" s="167"/>
      <c r="AE704" s="167"/>
      <c r="AF704" s="167"/>
      <c r="AG704" s="167"/>
      <c r="AH704" s="167"/>
      <c r="AI704" s="167"/>
      <c r="AJ704" s="167"/>
      <c r="AK704" s="167"/>
      <c r="AL704" s="167"/>
    </row>
    <row r="705" spans="1:38" ht="15.75" customHeight="1">
      <c r="A705" s="167"/>
      <c r="B705" s="167"/>
      <c r="C705" s="167"/>
      <c r="D705" s="167"/>
      <c r="E705" s="167"/>
      <c r="F705" s="167"/>
      <c r="G705" s="167"/>
      <c r="H705" s="167"/>
      <c r="I705" s="167"/>
      <c r="J705" s="167"/>
      <c r="K705" s="167"/>
      <c r="L705" s="167"/>
      <c r="M705" s="167"/>
      <c r="N705" s="167"/>
      <c r="O705" s="167"/>
      <c r="P705" s="167"/>
      <c r="Q705" s="167"/>
      <c r="R705" s="167"/>
      <c r="S705" s="167"/>
      <c r="T705" s="167"/>
      <c r="U705" s="167"/>
      <c r="V705" s="167"/>
      <c r="W705" s="167"/>
      <c r="X705" s="167"/>
      <c r="Y705" s="167"/>
      <c r="Z705" s="167"/>
      <c r="AA705" s="167"/>
      <c r="AB705" s="167"/>
      <c r="AC705" s="167"/>
      <c r="AD705" s="167"/>
      <c r="AE705" s="167"/>
      <c r="AF705" s="167"/>
      <c r="AG705" s="167"/>
      <c r="AH705" s="167"/>
      <c r="AI705" s="167"/>
      <c r="AJ705" s="167"/>
      <c r="AK705" s="167"/>
      <c r="AL705" s="167"/>
    </row>
    <row r="706" spans="1:38" ht="15.75" customHeight="1">
      <c r="A706" s="167"/>
      <c r="B706" s="167"/>
      <c r="C706" s="167"/>
      <c r="D706" s="167"/>
      <c r="E706" s="167"/>
      <c r="F706" s="167"/>
      <c r="G706" s="167"/>
      <c r="H706" s="167"/>
      <c r="I706" s="167"/>
      <c r="J706" s="167"/>
      <c r="K706" s="167"/>
      <c r="L706" s="167"/>
      <c r="M706" s="167"/>
      <c r="N706" s="167"/>
      <c r="O706" s="167"/>
      <c r="P706" s="167"/>
      <c r="Q706" s="167"/>
      <c r="R706" s="167"/>
      <c r="S706" s="167"/>
      <c r="T706" s="167"/>
      <c r="U706" s="167"/>
      <c r="V706" s="167"/>
      <c r="W706" s="167"/>
      <c r="X706" s="167"/>
      <c r="Y706" s="167"/>
      <c r="Z706" s="167"/>
      <c r="AA706" s="167"/>
      <c r="AB706" s="167"/>
      <c r="AC706" s="167"/>
      <c r="AD706" s="167"/>
      <c r="AE706" s="167"/>
      <c r="AF706" s="167"/>
      <c r="AG706" s="167"/>
      <c r="AH706" s="167"/>
      <c r="AI706" s="167"/>
      <c r="AJ706" s="167"/>
      <c r="AK706" s="167"/>
      <c r="AL706" s="167"/>
    </row>
    <row r="707" spans="1:38" ht="15.75" customHeight="1">
      <c r="A707" s="167"/>
      <c r="B707" s="167"/>
      <c r="C707" s="167"/>
      <c r="D707" s="167"/>
      <c r="E707" s="167"/>
      <c r="F707" s="167"/>
      <c r="G707" s="167"/>
      <c r="H707" s="167"/>
      <c r="I707" s="167"/>
      <c r="J707" s="167"/>
      <c r="K707" s="167"/>
      <c r="L707" s="167"/>
      <c r="M707" s="167"/>
      <c r="N707" s="167"/>
      <c r="O707" s="167"/>
      <c r="P707" s="167"/>
      <c r="Q707" s="167"/>
      <c r="R707" s="167"/>
      <c r="S707" s="167"/>
      <c r="T707" s="167"/>
      <c r="U707" s="167"/>
      <c r="V707" s="167"/>
      <c r="W707" s="167"/>
      <c r="X707" s="167"/>
      <c r="Y707" s="167"/>
      <c r="Z707" s="167"/>
      <c r="AA707" s="167"/>
      <c r="AB707" s="167"/>
      <c r="AC707" s="167"/>
      <c r="AD707" s="167"/>
      <c r="AE707" s="167"/>
      <c r="AF707" s="167"/>
      <c r="AG707" s="167"/>
      <c r="AH707" s="167"/>
      <c r="AI707" s="167"/>
      <c r="AJ707" s="167"/>
      <c r="AK707" s="167"/>
      <c r="AL707" s="167"/>
    </row>
    <row r="708" spans="1:38" ht="15.75" customHeight="1">
      <c r="A708" s="167"/>
      <c r="B708" s="167"/>
      <c r="C708" s="167"/>
      <c r="D708" s="167"/>
      <c r="E708" s="167"/>
      <c r="F708" s="167"/>
      <c r="G708" s="167"/>
      <c r="H708" s="167"/>
      <c r="I708" s="167"/>
      <c r="J708" s="167"/>
      <c r="K708" s="167"/>
      <c r="L708" s="167"/>
      <c r="M708" s="167"/>
      <c r="N708" s="167"/>
      <c r="O708" s="167"/>
      <c r="P708" s="167"/>
      <c r="Q708" s="167"/>
      <c r="R708" s="167"/>
      <c r="S708" s="167"/>
      <c r="T708" s="167"/>
      <c r="U708" s="167"/>
      <c r="V708" s="167"/>
      <c r="W708" s="167"/>
      <c r="X708" s="167"/>
      <c r="Y708" s="167"/>
      <c r="Z708" s="167"/>
      <c r="AA708" s="167"/>
      <c r="AB708" s="167"/>
      <c r="AC708" s="167"/>
      <c r="AD708" s="167"/>
      <c r="AE708" s="167"/>
      <c r="AF708" s="167"/>
      <c r="AG708" s="167"/>
      <c r="AH708" s="167"/>
      <c r="AI708" s="167"/>
      <c r="AJ708" s="167"/>
      <c r="AK708" s="167"/>
      <c r="AL708" s="167"/>
    </row>
    <row r="709" spans="1:38" ht="15.75" customHeight="1">
      <c r="A709" s="167"/>
      <c r="B709" s="167"/>
      <c r="C709" s="167"/>
      <c r="D709" s="167"/>
      <c r="E709" s="167"/>
      <c r="F709" s="167"/>
      <c r="G709" s="167"/>
      <c r="H709" s="167"/>
      <c r="I709" s="167"/>
      <c r="J709" s="167"/>
      <c r="K709" s="167"/>
      <c r="L709" s="167"/>
      <c r="M709" s="167"/>
      <c r="N709" s="167"/>
      <c r="O709" s="167"/>
      <c r="P709" s="167"/>
      <c r="Q709" s="167"/>
      <c r="R709" s="167"/>
      <c r="S709" s="167"/>
      <c r="T709" s="167"/>
      <c r="U709" s="167"/>
      <c r="V709" s="167"/>
      <c r="W709" s="167"/>
      <c r="X709" s="167"/>
      <c r="Y709" s="167"/>
      <c r="Z709" s="167"/>
      <c r="AA709" s="167"/>
      <c r="AB709" s="167"/>
      <c r="AC709" s="167"/>
      <c r="AD709" s="167"/>
      <c r="AE709" s="167"/>
      <c r="AF709" s="167"/>
      <c r="AG709" s="167"/>
      <c r="AH709" s="167"/>
      <c r="AI709" s="167"/>
      <c r="AJ709" s="167"/>
      <c r="AK709" s="167"/>
      <c r="AL709" s="167"/>
    </row>
    <row r="710" spans="1:38" ht="15.75" customHeight="1">
      <c r="A710" s="167"/>
      <c r="B710" s="167"/>
      <c r="C710" s="167"/>
      <c r="D710" s="167"/>
      <c r="E710" s="167"/>
      <c r="F710" s="167"/>
      <c r="G710" s="167"/>
      <c r="H710" s="167"/>
      <c r="I710" s="167"/>
      <c r="J710" s="167"/>
      <c r="K710" s="167"/>
      <c r="L710" s="167"/>
      <c r="M710" s="167"/>
      <c r="N710" s="167"/>
      <c r="O710" s="167"/>
      <c r="P710" s="167"/>
      <c r="Q710" s="167"/>
      <c r="R710" s="167"/>
      <c r="S710" s="167"/>
      <c r="T710" s="167"/>
      <c r="U710" s="167"/>
      <c r="V710" s="167"/>
      <c r="W710" s="167"/>
      <c r="X710" s="167"/>
      <c r="Y710" s="167"/>
      <c r="Z710" s="167"/>
      <c r="AA710" s="167"/>
      <c r="AB710" s="167"/>
      <c r="AC710" s="167"/>
      <c r="AD710" s="167"/>
      <c r="AE710" s="167"/>
      <c r="AF710" s="167"/>
      <c r="AG710" s="167"/>
      <c r="AH710" s="167"/>
      <c r="AI710" s="167"/>
      <c r="AJ710" s="167"/>
      <c r="AK710" s="167"/>
      <c r="AL710" s="167"/>
    </row>
    <row r="711" spans="1:38" ht="15.75" customHeight="1">
      <c r="A711" s="167"/>
      <c r="B711" s="167"/>
      <c r="C711" s="167"/>
      <c r="D711" s="167"/>
      <c r="E711" s="167"/>
      <c r="F711" s="167"/>
      <c r="G711" s="167"/>
      <c r="H711" s="167"/>
      <c r="I711" s="167"/>
      <c r="J711" s="167"/>
      <c r="K711" s="167"/>
      <c r="L711" s="167"/>
      <c r="M711" s="167"/>
      <c r="N711" s="167"/>
      <c r="O711" s="167"/>
      <c r="P711" s="167"/>
      <c r="Q711" s="167"/>
      <c r="R711" s="167"/>
      <c r="S711" s="167"/>
      <c r="T711" s="167"/>
      <c r="U711" s="167"/>
      <c r="V711" s="167"/>
      <c r="W711" s="167"/>
      <c r="X711" s="167"/>
      <c r="Y711" s="167"/>
      <c r="Z711" s="167"/>
      <c r="AA711" s="167"/>
      <c r="AB711" s="167"/>
      <c r="AC711" s="167"/>
      <c r="AD711" s="167"/>
      <c r="AE711" s="167"/>
      <c r="AF711" s="167"/>
      <c r="AG711" s="167"/>
      <c r="AH711" s="167"/>
      <c r="AI711" s="167"/>
      <c r="AJ711" s="167"/>
      <c r="AK711" s="167"/>
      <c r="AL711" s="167"/>
    </row>
    <row r="712" spans="1:38" ht="15.75" customHeight="1">
      <c r="A712" s="167"/>
      <c r="B712" s="167"/>
      <c r="C712" s="167"/>
      <c r="D712" s="167"/>
      <c r="E712" s="167"/>
      <c r="F712" s="167"/>
      <c r="G712" s="167"/>
      <c r="H712" s="167"/>
      <c r="I712" s="167"/>
      <c r="J712" s="167"/>
      <c r="K712" s="167"/>
      <c r="L712" s="167"/>
      <c r="M712" s="167"/>
      <c r="N712" s="167"/>
      <c r="O712" s="167"/>
      <c r="P712" s="167"/>
      <c r="Q712" s="167"/>
      <c r="R712" s="167"/>
      <c r="S712" s="167"/>
      <c r="T712" s="167"/>
      <c r="U712" s="167"/>
      <c r="V712" s="167"/>
      <c r="W712" s="167"/>
      <c r="X712" s="167"/>
      <c r="Y712" s="167"/>
      <c r="Z712" s="167"/>
      <c r="AA712" s="167"/>
      <c r="AB712" s="167"/>
      <c r="AC712" s="167"/>
      <c r="AD712" s="167"/>
      <c r="AE712" s="167"/>
      <c r="AF712" s="167"/>
      <c r="AG712" s="167"/>
      <c r="AH712" s="167"/>
      <c r="AI712" s="167"/>
      <c r="AJ712" s="167"/>
      <c r="AK712" s="167"/>
      <c r="AL712" s="167"/>
    </row>
    <row r="713" spans="1:38" ht="15.75" customHeight="1">
      <c r="A713" s="167"/>
      <c r="B713" s="167"/>
      <c r="C713" s="167"/>
      <c r="D713" s="167"/>
      <c r="E713" s="167"/>
      <c r="F713" s="167"/>
      <c r="G713" s="167"/>
      <c r="H713" s="167"/>
      <c r="I713" s="167"/>
      <c r="J713" s="167"/>
      <c r="K713" s="167"/>
      <c r="L713" s="167"/>
      <c r="M713" s="167"/>
      <c r="N713" s="167"/>
      <c r="O713" s="167"/>
      <c r="P713" s="167"/>
      <c r="Q713" s="167"/>
      <c r="R713" s="167"/>
      <c r="S713" s="167"/>
      <c r="T713" s="167"/>
      <c r="U713" s="167"/>
      <c r="V713" s="167"/>
      <c r="W713" s="167"/>
      <c r="X713" s="167"/>
      <c r="Y713" s="167"/>
      <c r="Z713" s="167"/>
      <c r="AA713" s="167"/>
      <c r="AB713" s="167"/>
      <c r="AC713" s="167"/>
      <c r="AD713" s="167"/>
      <c r="AE713" s="167"/>
      <c r="AF713" s="167"/>
      <c r="AG713" s="167"/>
      <c r="AH713" s="167"/>
      <c r="AI713" s="167"/>
      <c r="AJ713" s="167"/>
      <c r="AK713" s="167"/>
      <c r="AL713" s="167"/>
    </row>
    <row r="714" spans="1:38" ht="15.75" customHeight="1">
      <c r="A714" s="167"/>
      <c r="B714" s="167"/>
      <c r="C714" s="167"/>
      <c r="D714" s="167"/>
      <c r="E714" s="167"/>
      <c r="F714" s="167"/>
      <c r="G714" s="167"/>
      <c r="H714" s="167"/>
      <c r="I714" s="167"/>
      <c r="J714" s="167"/>
      <c r="K714" s="167"/>
      <c r="L714" s="167"/>
      <c r="M714" s="167"/>
      <c r="N714" s="167"/>
      <c r="O714" s="167"/>
      <c r="P714" s="167"/>
      <c r="Q714" s="167"/>
      <c r="R714" s="167"/>
      <c r="S714" s="167"/>
      <c r="T714" s="167"/>
      <c r="U714" s="167"/>
      <c r="V714" s="167"/>
      <c r="W714" s="167"/>
      <c r="X714" s="167"/>
      <c r="Y714" s="167"/>
      <c r="Z714" s="167"/>
      <c r="AA714" s="167"/>
      <c r="AB714" s="167"/>
      <c r="AC714" s="167"/>
      <c r="AD714" s="167"/>
      <c r="AE714" s="167"/>
      <c r="AF714" s="167"/>
      <c r="AG714" s="167"/>
      <c r="AH714" s="167"/>
      <c r="AI714" s="167"/>
      <c r="AJ714" s="167"/>
      <c r="AK714" s="167"/>
      <c r="AL714" s="167"/>
    </row>
    <row r="715" spans="1:38" ht="15.75" customHeight="1">
      <c r="A715" s="167"/>
      <c r="B715" s="167"/>
      <c r="C715" s="167"/>
      <c r="D715" s="167"/>
      <c r="E715" s="167"/>
      <c r="F715" s="167"/>
      <c r="G715" s="167"/>
      <c r="H715" s="167"/>
      <c r="I715" s="167"/>
      <c r="J715" s="167"/>
      <c r="K715" s="167"/>
      <c r="L715" s="167"/>
      <c r="M715" s="167"/>
      <c r="N715" s="167"/>
      <c r="O715" s="167"/>
      <c r="P715" s="167"/>
      <c r="Q715" s="167"/>
      <c r="R715" s="167"/>
      <c r="S715" s="167"/>
      <c r="T715" s="167"/>
      <c r="U715" s="167"/>
      <c r="V715" s="167"/>
      <c r="W715" s="167"/>
      <c r="X715" s="167"/>
      <c r="Y715" s="167"/>
      <c r="Z715" s="167"/>
      <c r="AA715" s="167"/>
      <c r="AB715" s="167"/>
      <c r="AC715" s="167"/>
      <c r="AD715" s="167"/>
      <c r="AE715" s="167"/>
      <c r="AF715" s="167"/>
      <c r="AG715" s="167"/>
      <c r="AH715" s="167"/>
      <c r="AI715" s="167"/>
      <c r="AJ715" s="167"/>
      <c r="AK715" s="167"/>
      <c r="AL715" s="167"/>
    </row>
    <row r="716" spans="1:38" ht="15.75" customHeight="1">
      <c r="A716" s="167"/>
      <c r="B716" s="167"/>
      <c r="C716" s="167"/>
      <c r="D716" s="167"/>
      <c r="E716" s="167"/>
      <c r="F716" s="167"/>
      <c r="G716" s="167"/>
      <c r="H716" s="167"/>
      <c r="I716" s="167"/>
      <c r="J716" s="167"/>
      <c r="K716" s="167"/>
      <c r="L716" s="167"/>
      <c r="M716" s="167"/>
      <c r="N716" s="167"/>
      <c r="O716" s="167"/>
      <c r="P716" s="167"/>
      <c r="Q716" s="167"/>
      <c r="R716" s="167"/>
      <c r="S716" s="167"/>
      <c r="T716" s="167"/>
      <c r="U716" s="167"/>
      <c r="V716" s="167"/>
      <c r="W716" s="167"/>
      <c r="X716" s="167"/>
      <c r="Y716" s="167"/>
      <c r="Z716" s="167"/>
      <c r="AA716" s="167"/>
      <c r="AB716" s="167"/>
      <c r="AC716" s="167"/>
      <c r="AD716" s="167"/>
      <c r="AE716" s="167"/>
      <c r="AF716" s="167"/>
      <c r="AG716" s="167"/>
      <c r="AH716" s="167"/>
      <c r="AI716" s="167"/>
      <c r="AJ716" s="167"/>
      <c r="AK716" s="167"/>
      <c r="AL716" s="167"/>
    </row>
    <row r="717" spans="1:38" ht="15.75" customHeight="1">
      <c r="A717" s="167"/>
      <c r="B717" s="167"/>
      <c r="C717" s="167"/>
      <c r="D717" s="167"/>
      <c r="E717" s="167"/>
      <c r="F717" s="167"/>
      <c r="G717" s="167"/>
      <c r="H717" s="167"/>
      <c r="I717" s="167"/>
      <c r="J717" s="167"/>
      <c r="K717" s="167"/>
      <c r="L717" s="167"/>
      <c r="M717" s="167"/>
      <c r="N717" s="167"/>
      <c r="O717" s="167"/>
      <c r="P717" s="167"/>
      <c r="Q717" s="167"/>
      <c r="R717" s="167"/>
      <c r="S717" s="167"/>
      <c r="T717" s="167"/>
      <c r="U717" s="167"/>
      <c r="V717" s="167"/>
      <c r="W717" s="167"/>
      <c r="X717" s="167"/>
      <c r="Y717" s="167"/>
      <c r="Z717" s="167"/>
      <c r="AA717" s="167"/>
      <c r="AB717" s="167"/>
      <c r="AC717" s="167"/>
      <c r="AD717" s="167"/>
      <c r="AE717" s="167"/>
      <c r="AF717" s="167"/>
      <c r="AG717" s="167"/>
      <c r="AH717" s="167"/>
      <c r="AI717" s="167"/>
      <c r="AJ717" s="167"/>
      <c r="AK717" s="167"/>
      <c r="AL717" s="167"/>
    </row>
    <row r="718" spans="1:38" ht="15.75" customHeight="1">
      <c r="A718" s="167"/>
      <c r="B718" s="167"/>
      <c r="C718" s="167"/>
      <c r="D718" s="167"/>
      <c r="E718" s="167"/>
      <c r="F718" s="167"/>
      <c r="G718" s="167"/>
      <c r="H718" s="167"/>
      <c r="I718" s="167"/>
      <c r="J718" s="167"/>
      <c r="K718" s="167"/>
      <c r="L718" s="167"/>
      <c r="M718" s="167"/>
      <c r="N718" s="167"/>
      <c r="O718" s="167"/>
      <c r="P718" s="167"/>
      <c r="Q718" s="167"/>
      <c r="R718" s="167"/>
      <c r="S718" s="167"/>
      <c r="T718" s="167"/>
      <c r="U718" s="167"/>
      <c r="V718" s="167"/>
      <c r="W718" s="167"/>
      <c r="X718" s="167"/>
      <c r="Y718" s="167"/>
      <c r="Z718" s="167"/>
      <c r="AA718" s="167"/>
      <c r="AB718" s="167"/>
      <c r="AC718" s="167"/>
      <c r="AD718" s="167"/>
      <c r="AE718" s="167"/>
      <c r="AF718" s="167"/>
      <c r="AG718" s="167"/>
      <c r="AH718" s="167"/>
      <c r="AI718" s="167"/>
      <c r="AJ718" s="167"/>
      <c r="AK718" s="167"/>
      <c r="AL718" s="167"/>
    </row>
    <row r="719" spans="1:38" ht="15.75" customHeight="1">
      <c r="A719" s="167"/>
      <c r="B719" s="167"/>
      <c r="C719" s="167"/>
      <c r="D719" s="167"/>
      <c r="E719" s="167"/>
      <c r="F719" s="167"/>
      <c r="G719" s="167"/>
      <c r="H719" s="167"/>
      <c r="I719" s="167"/>
      <c r="J719" s="167"/>
      <c r="K719" s="167"/>
      <c r="L719" s="167"/>
      <c r="M719" s="167"/>
      <c r="N719" s="167"/>
      <c r="O719" s="167"/>
      <c r="P719" s="167"/>
      <c r="Q719" s="167"/>
      <c r="R719" s="167"/>
      <c r="S719" s="167"/>
      <c r="T719" s="167"/>
      <c r="U719" s="167"/>
      <c r="V719" s="167"/>
      <c r="W719" s="167"/>
      <c r="X719" s="167"/>
      <c r="Y719" s="167"/>
      <c r="Z719" s="167"/>
      <c r="AA719" s="167"/>
      <c r="AB719" s="167"/>
      <c r="AC719" s="167"/>
      <c r="AD719" s="167"/>
      <c r="AE719" s="167"/>
      <c r="AF719" s="167"/>
      <c r="AG719" s="167"/>
      <c r="AH719" s="167"/>
      <c r="AI719" s="167"/>
      <c r="AJ719" s="167"/>
      <c r="AK719" s="167"/>
      <c r="AL719" s="167"/>
    </row>
    <row r="720" spans="1:38" ht="15.75" customHeight="1">
      <c r="A720" s="167"/>
      <c r="B720" s="167"/>
      <c r="C720" s="167"/>
      <c r="D720" s="167"/>
      <c r="E720" s="167"/>
      <c r="F720" s="167"/>
      <c r="G720" s="167"/>
      <c r="H720" s="167"/>
      <c r="I720" s="167"/>
      <c r="J720" s="167"/>
      <c r="K720" s="167"/>
      <c r="L720" s="167"/>
      <c r="M720" s="167"/>
      <c r="N720" s="167"/>
      <c r="O720" s="167"/>
      <c r="P720" s="167"/>
      <c r="Q720" s="167"/>
      <c r="R720" s="167"/>
      <c r="S720" s="167"/>
      <c r="T720" s="167"/>
      <c r="U720" s="167"/>
      <c r="V720" s="167"/>
      <c r="W720" s="167"/>
      <c r="X720" s="167"/>
      <c r="Y720" s="167"/>
      <c r="Z720" s="167"/>
      <c r="AA720" s="167"/>
      <c r="AB720" s="167"/>
      <c r="AC720" s="167"/>
      <c r="AD720" s="167"/>
      <c r="AE720" s="167"/>
      <c r="AF720" s="167"/>
      <c r="AG720" s="167"/>
      <c r="AH720" s="167"/>
      <c r="AI720" s="167"/>
      <c r="AJ720" s="167"/>
      <c r="AK720" s="167"/>
      <c r="AL720" s="167"/>
    </row>
    <row r="721" spans="1:38" ht="15.75" customHeight="1">
      <c r="A721" s="167"/>
      <c r="B721" s="167"/>
      <c r="C721" s="167"/>
      <c r="D721" s="167"/>
      <c r="E721" s="167"/>
      <c r="F721" s="167"/>
      <c r="G721" s="167"/>
      <c r="H721" s="167"/>
      <c r="I721" s="167"/>
      <c r="J721" s="167"/>
      <c r="K721" s="167"/>
      <c r="L721" s="167"/>
      <c r="M721" s="167"/>
      <c r="N721" s="167"/>
      <c r="O721" s="167"/>
      <c r="P721" s="167"/>
      <c r="Q721" s="167"/>
      <c r="R721" s="167"/>
      <c r="S721" s="167"/>
      <c r="T721" s="167"/>
      <c r="U721" s="167"/>
      <c r="V721" s="167"/>
      <c r="W721" s="167"/>
      <c r="X721" s="167"/>
      <c r="Y721" s="167"/>
      <c r="Z721" s="167"/>
      <c r="AA721" s="167"/>
      <c r="AB721" s="167"/>
      <c r="AC721" s="167"/>
      <c r="AD721" s="167"/>
      <c r="AE721" s="167"/>
      <c r="AF721" s="167"/>
      <c r="AG721" s="167"/>
      <c r="AH721" s="167"/>
      <c r="AI721" s="167"/>
      <c r="AJ721" s="167"/>
      <c r="AK721" s="167"/>
      <c r="AL721" s="167"/>
    </row>
    <row r="722" spans="1:38" ht="15.75" customHeight="1">
      <c r="A722" s="167"/>
      <c r="B722" s="167"/>
      <c r="C722" s="167"/>
      <c r="D722" s="167"/>
      <c r="E722" s="167"/>
      <c r="F722" s="167"/>
      <c r="G722" s="167"/>
      <c r="H722" s="167"/>
      <c r="I722" s="167"/>
      <c r="J722" s="167"/>
      <c r="K722" s="167"/>
      <c r="L722" s="167"/>
      <c r="M722" s="167"/>
      <c r="N722" s="167"/>
      <c r="O722" s="167"/>
      <c r="P722" s="167"/>
      <c r="Q722" s="167"/>
      <c r="R722" s="167"/>
      <c r="S722" s="167"/>
      <c r="T722" s="167"/>
      <c r="U722" s="167"/>
      <c r="V722" s="167"/>
      <c r="W722" s="167"/>
      <c r="X722" s="167"/>
      <c r="Y722" s="167"/>
      <c r="Z722" s="167"/>
      <c r="AA722" s="167"/>
      <c r="AB722" s="167"/>
      <c r="AC722" s="167"/>
      <c r="AD722" s="167"/>
      <c r="AE722" s="167"/>
      <c r="AF722" s="167"/>
      <c r="AG722" s="167"/>
      <c r="AH722" s="167"/>
      <c r="AI722" s="167"/>
      <c r="AJ722" s="167"/>
      <c r="AK722" s="167"/>
      <c r="AL722" s="167"/>
    </row>
    <row r="723" spans="1:38" ht="15.75" customHeight="1">
      <c r="A723" s="167"/>
      <c r="B723" s="167"/>
      <c r="C723" s="167"/>
      <c r="D723" s="167"/>
      <c r="E723" s="167"/>
      <c r="F723" s="167"/>
      <c r="G723" s="167"/>
      <c r="H723" s="167"/>
      <c r="I723" s="167"/>
      <c r="J723" s="167"/>
      <c r="K723" s="167"/>
      <c r="L723" s="167"/>
      <c r="M723" s="167"/>
      <c r="N723" s="167"/>
      <c r="O723" s="167"/>
      <c r="P723" s="167"/>
      <c r="Q723" s="167"/>
      <c r="R723" s="167"/>
      <c r="S723" s="167"/>
      <c r="T723" s="167"/>
      <c r="U723" s="167"/>
      <c r="V723" s="167"/>
      <c r="W723" s="167"/>
      <c r="X723" s="167"/>
      <c r="Y723" s="167"/>
      <c r="Z723" s="167"/>
      <c r="AA723" s="167"/>
      <c r="AB723" s="167"/>
      <c r="AC723" s="167"/>
      <c r="AD723" s="167"/>
      <c r="AE723" s="167"/>
      <c r="AF723" s="167"/>
      <c r="AG723" s="167"/>
      <c r="AH723" s="167"/>
      <c r="AI723" s="167"/>
      <c r="AJ723" s="167"/>
      <c r="AK723" s="167"/>
      <c r="AL723" s="167"/>
    </row>
    <row r="724" spans="1:38" ht="15.75" customHeight="1">
      <c r="A724" s="167"/>
      <c r="B724" s="167"/>
      <c r="C724" s="167"/>
      <c r="D724" s="167"/>
      <c r="E724" s="167"/>
      <c r="F724" s="167"/>
      <c r="G724" s="167"/>
      <c r="H724" s="167"/>
      <c r="I724" s="167"/>
      <c r="J724" s="167"/>
      <c r="K724" s="167"/>
      <c r="L724" s="167"/>
      <c r="M724" s="167"/>
      <c r="N724" s="167"/>
      <c r="O724" s="167"/>
      <c r="P724" s="167"/>
      <c r="Q724" s="167"/>
      <c r="R724" s="167"/>
      <c r="S724" s="167"/>
      <c r="T724" s="167"/>
      <c r="U724" s="167"/>
      <c r="V724" s="167"/>
      <c r="W724" s="167"/>
      <c r="X724" s="167"/>
      <c r="Y724" s="167"/>
      <c r="Z724" s="167"/>
      <c r="AA724" s="167"/>
      <c r="AB724" s="167"/>
      <c r="AC724" s="167"/>
      <c r="AD724" s="167"/>
      <c r="AE724" s="167"/>
      <c r="AF724" s="167"/>
      <c r="AG724" s="167"/>
      <c r="AH724" s="167"/>
      <c r="AI724" s="167"/>
      <c r="AJ724" s="167"/>
      <c r="AK724" s="167"/>
      <c r="AL724" s="167"/>
    </row>
    <row r="725" spans="1:38" ht="15.75" customHeight="1">
      <c r="A725" s="167"/>
      <c r="B725" s="167"/>
      <c r="C725" s="167"/>
      <c r="D725" s="167"/>
      <c r="E725" s="167"/>
      <c r="F725" s="167"/>
      <c r="G725" s="167"/>
      <c r="H725" s="167"/>
      <c r="I725" s="167"/>
      <c r="J725" s="167"/>
      <c r="K725" s="167"/>
      <c r="L725" s="167"/>
      <c r="M725" s="167"/>
      <c r="N725" s="167"/>
      <c r="O725" s="167"/>
      <c r="P725" s="167"/>
      <c r="Q725" s="167"/>
      <c r="R725" s="167"/>
      <c r="S725" s="167"/>
      <c r="T725" s="167"/>
      <c r="U725" s="167"/>
      <c r="V725" s="167"/>
      <c r="W725" s="167"/>
      <c r="X725" s="167"/>
      <c r="Y725" s="167"/>
      <c r="Z725" s="167"/>
      <c r="AA725" s="167"/>
      <c r="AB725" s="167"/>
      <c r="AC725" s="167"/>
      <c r="AD725" s="167"/>
      <c r="AE725" s="167"/>
      <c r="AF725" s="167"/>
      <c r="AG725" s="167"/>
      <c r="AH725" s="167"/>
      <c r="AI725" s="167"/>
      <c r="AJ725" s="167"/>
      <c r="AK725" s="167"/>
      <c r="AL725" s="167"/>
    </row>
    <row r="726" spans="1:38" ht="15.75" customHeight="1">
      <c r="A726" s="167"/>
      <c r="B726" s="167"/>
      <c r="C726" s="167"/>
      <c r="D726" s="167"/>
      <c r="E726" s="167"/>
      <c r="F726" s="167"/>
      <c r="G726" s="167"/>
      <c r="H726" s="167"/>
      <c r="I726" s="167"/>
      <c r="J726" s="167"/>
      <c r="K726" s="167"/>
      <c r="L726" s="167"/>
      <c r="M726" s="167"/>
      <c r="N726" s="167"/>
      <c r="O726" s="167"/>
      <c r="P726" s="167"/>
      <c r="Q726" s="167"/>
      <c r="R726" s="167"/>
      <c r="S726" s="167"/>
      <c r="T726" s="167"/>
      <c r="U726" s="167"/>
      <c r="V726" s="167"/>
      <c r="W726" s="167"/>
      <c r="X726" s="167"/>
      <c r="Y726" s="167"/>
      <c r="Z726" s="167"/>
      <c r="AA726" s="167"/>
      <c r="AB726" s="167"/>
      <c r="AC726" s="167"/>
      <c r="AD726" s="167"/>
      <c r="AE726" s="167"/>
      <c r="AF726" s="167"/>
      <c r="AG726" s="167"/>
      <c r="AH726" s="167"/>
      <c r="AI726" s="167"/>
      <c r="AJ726" s="167"/>
      <c r="AK726" s="167"/>
      <c r="AL726" s="167"/>
    </row>
    <row r="727" spans="1:38" ht="15.75" customHeight="1">
      <c r="A727" s="167"/>
      <c r="B727" s="167"/>
      <c r="C727" s="167"/>
      <c r="D727" s="167"/>
      <c r="E727" s="167"/>
      <c r="F727" s="167"/>
      <c r="G727" s="167"/>
      <c r="H727" s="167"/>
      <c r="I727" s="167"/>
      <c r="J727" s="167"/>
      <c r="K727" s="167"/>
      <c r="L727" s="167"/>
      <c r="M727" s="167"/>
      <c r="N727" s="167"/>
      <c r="O727" s="167"/>
      <c r="P727" s="167"/>
      <c r="Q727" s="167"/>
      <c r="R727" s="167"/>
      <c r="S727" s="167"/>
      <c r="T727" s="167"/>
      <c r="U727" s="167"/>
      <c r="V727" s="167"/>
      <c r="W727" s="167"/>
      <c r="X727" s="167"/>
      <c r="Y727" s="167"/>
      <c r="Z727" s="167"/>
      <c r="AA727" s="167"/>
      <c r="AB727" s="167"/>
      <c r="AC727" s="167"/>
      <c r="AD727" s="167"/>
      <c r="AE727" s="167"/>
      <c r="AF727" s="167"/>
      <c r="AG727" s="167"/>
      <c r="AH727" s="167"/>
      <c r="AI727" s="167"/>
      <c r="AJ727" s="167"/>
      <c r="AK727" s="167"/>
      <c r="AL727" s="167"/>
    </row>
    <row r="728" spans="1:38" ht="15.75" customHeight="1">
      <c r="A728" s="167"/>
      <c r="B728" s="167"/>
      <c r="C728" s="167"/>
      <c r="D728" s="167"/>
      <c r="E728" s="167"/>
      <c r="F728" s="167"/>
      <c r="G728" s="167"/>
      <c r="H728" s="167"/>
      <c r="I728" s="167"/>
      <c r="J728" s="167"/>
      <c r="K728" s="167"/>
      <c r="L728" s="167"/>
      <c r="M728" s="167"/>
      <c r="N728" s="167"/>
      <c r="O728" s="167"/>
      <c r="P728" s="167"/>
      <c r="Q728" s="167"/>
      <c r="R728" s="167"/>
      <c r="S728" s="167"/>
      <c r="T728" s="167"/>
      <c r="U728" s="167"/>
      <c r="V728" s="167"/>
      <c r="W728" s="167"/>
      <c r="X728" s="167"/>
      <c r="Y728" s="167"/>
      <c r="Z728" s="167"/>
      <c r="AA728" s="167"/>
      <c r="AB728" s="167"/>
      <c r="AC728" s="167"/>
      <c r="AD728" s="167"/>
      <c r="AE728" s="167"/>
      <c r="AF728" s="167"/>
      <c r="AG728" s="167"/>
      <c r="AH728" s="167"/>
      <c r="AI728" s="167"/>
      <c r="AJ728" s="167"/>
      <c r="AK728" s="167"/>
      <c r="AL728" s="167"/>
    </row>
    <row r="729" spans="1:38" ht="15.75" customHeight="1">
      <c r="A729" s="167"/>
      <c r="B729" s="167"/>
      <c r="C729" s="167"/>
      <c r="D729" s="167"/>
      <c r="E729" s="167"/>
      <c r="F729" s="167"/>
      <c r="G729" s="167"/>
      <c r="H729" s="167"/>
      <c r="I729" s="167"/>
      <c r="J729" s="167"/>
      <c r="K729" s="167"/>
      <c r="L729" s="167"/>
      <c r="M729" s="167"/>
      <c r="N729" s="167"/>
      <c r="O729" s="167"/>
      <c r="P729" s="167"/>
      <c r="Q729" s="167"/>
      <c r="R729" s="167"/>
      <c r="S729" s="167"/>
      <c r="T729" s="167"/>
      <c r="U729" s="167"/>
      <c r="V729" s="167"/>
      <c r="W729" s="167"/>
      <c r="X729" s="167"/>
      <c r="Y729" s="167"/>
      <c r="Z729" s="167"/>
      <c r="AA729" s="167"/>
      <c r="AB729" s="167"/>
      <c r="AC729" s="167"/>
      <c r="AD729" s="167"/>
      <c r="AE729" s="167"/>
      <c r="AF729" s="167"/>
      <c r="AG729" s="167"/>
      <c r="AH729" s="167"/>
      <c r="AI729" s="167"/>
      <c r="AJ729" s="167"/>
      <c r="AK729" s="167"/>
      <c r="AL729" s="167"/>
    </row>
    <row r="730" spans="1:38" ht="15.75" customHeight="1">
      <c r="A730" s="167"/>
      <c r="B730" s="167"/>
      <c r="C730" s="167"/>
      <c r="D730" s="167"/>
      <c r="E730" s="167"/>
      <c r="F730" s="167"/>
      <c r="G730" s="167"/>
      <c r="H730" s="167"/>
      <c r="I730" s="167"/>
      <c r="J730" s="167"/>
      <c r="K730" s="167"/>
      <c r="L730" s="167"/>
      <c r="M730" s="167"/>
      <c r="N730" s="167"/>
      <c r="O730" s="167"/>
      <c r="P730" s="167"/>
      <c r="Q730" s="167"/>
      <c r="R730" s="167"/>
      <c r="S730" s="167"/>
      <c r="T730" s="167"/>
      <c r="U730" s="167"/>
      <c r="V730" s="167"/>
      <c r="W730" s="167"/>
      <c r="X730" s="167"/>
      <c r="Y730" s="167"/>
      <c r="Z730" s="167"/>
      <c r="AA730" s="167"/>
      <c r="AB730" s="167"/>
      <c r="AC730" s="167"/>
      <c r="AD730" s="167"/>
      <c r="AE730" s="167"/>
      <c r="AF730" s="167"/>
      <c r="AG730" s="167"/>
      <c r="AH730" s="167"/>
      <c r="AI730" s="167"/>
      <c r="AJ730" s="167"/>
      <c r="AK730" s="167"/>
      <c r="AL730" s="167"/>
    </row>
    <row r="731" spans="1:38" ht="15.75" customHeight="1">
      <c r="A731" s="167"/>
      <c r="B731" s="167"/>
      <c r="C731" s="167"/>
      <c r="D731" s="167"/>
      <c r="E731" s="167"/>
      <c r="F731" s="167"/>
      <c r="G731" s="167"/>
      <c r="H731" s="167"/>
      <c r="I731" s="167"/>
      <c r="J731" s="167"/>
      <c r="K731" s="167"/>
      <c r="L731" s="167"/>
      <c r="M731" s="167"/>
      <c r="N731" s="167"/>
      <c r="O731" s="167"/>
      <c r="P731" s="167"/>
      <c r="Q731" s="167"/>
      <c r="R731" s="167"/>
      <c r="S731" s="167"/>
      <c r="T731" s="167"/>
      <c r="U731" s="167"/>
      <c r="V731" s="167"/>
      <c r="W731" s="167"/>
      <c r="X731" s="167"/>
      <c r="Y731" s="167"/>
      <c r="Z731" s="167"/>
      <c r="AA731" s="167"/>
      <c r="AB731" s="167"/>
      <c r="AC731" s="167"/>
      <c r="AD731" s="167"/>
      <c r="AE731" s="167"/>
      <c r="AF731" s="167"/>
      <c r="AG731" s="167"/>
      <c r="AH731" s="167"/>
      <c r="AI731" s="167"/>
      <c r="AJ731" s="167"/>
      <c r="AK731" s="167"/>
      <c r="AL731" s="167"/>
    </row>
    <row r="732" spans="1:38" ht="15.75" customHeight="1">
      <c r="A732" s="167"/>
      <c r="B732" s="167"/>
      <c r="C732" s="167"/>
      <c r="D732" s="167"/>
      <c r="E732" s="167"/>
      <c r="F732" s="167"/>
      <c r="G732" s="167"/>
      <c r="H732" s="167"/>
      <c r="I732" s="167"/>
      <c r="J732" s="167"/>
      <c r="K732" s="167"/>
      <c r="L732" s="167"/>
      <c r="M732" s="167"/>
      <c r="N732" s="167"/>
      <c r="O732" s="167"/>
      <c r="P732" s="167"/>
      <c r="Q732" s="167"/>
      <c r="R732" s="167"/>
      <c r="S732" s="167"/>
      <c r="T732" s="167"/>
      <c r="U732" s="167"/>
      <c r="V732" s="167"/>
      <c r="W732" s="167"/>
      <c r="X732" s="167"/>
      <c r="Y732" s="167"/>
      <c r="Z732" s="167"/>
      <c r="AA732" s="167"/>
      <c r="AB732" s="167"/>
      <c r="AC732" s="167"/>
      <c r="AD732" s="167"/>
      <c r="AE732" s="167"/>
      <c r="AF732" s="167"/>
      <c r="AG732" s="167"/>
      <c r="AH732" s="167"/>
      <c r="AI732" s="167"/>
      <c r="AJ732" s="167"/>
      <c r="AK732" s="167"/>
      <c r="AL732" s="167"/>
    </row>
    <row r="733" spans="1:38" ht="15.75" customHeight="1">
      <c r="A733" s="167"/>
      <c r="B733" s="167"/>
      <c r="C733" s="167"/>
      <c r="D733" s="167"/>
      <c r="E733" s="167"/>
      <c r="F733" s="167"/>
      <c r="G733" s="167"/>
      <c r="H733" s="167"/>
      <c r="I733" s="167"/>
      <c r="J733" s="167"/>
      <c r="K733" s="167"/>
      <c r="L733" s="167"/>
      <c r="M733" s="167"/>
      <c r="N733" s="167"/>
      <c r="O733" s="167"/>
      <c r="P733" s="167"/>
      <c r="Q733" s="167"/>
      <c r="R733" s="167"/>
      <c r="S733" s="167"/>
      <c r="T733" s="167"/>
      <c r="U733" s="167"/>
      <c r="V733" s="167"/>
      <c r="W733" s="167"/>
      <c r="X733" s="167"/>
      <c r="Y733" s="167"/>
      <c r="Z733" s="167"/>
      <c r="AA733" s="167"/>
      <c r="AB733" s="167"/>
      <c r="AC733" s="167"/>
      <c r="AD733" s="167"/>
      <c r="AE733" s="167"/>
      <c r="AF733" s="167"/>
      <c r="AG733" s="167"/>
      <c r="AH733" s="167"/>
      <c r="AI733" s="167"/>
      <c r="AJ733" s="167"/>
      <c r="AK733" s="167"/>
      <c r="AL733" s="167"/>
    </row>
    <row r="734" spans="1:38" ht="15.75" customHeight="1">
      <c r="A734" s="167"/>
      <c r="B734" s="167"/>
      <c r="C734" s="167"/>
      <c r="D734" s="167"/>
      <c r="E734" s="167"/>
      <c r="F734" s="167"/>
      <c r="G734" s="167"/>
      <c r="H734" s="167"/>
      <c r="I734" s="167"/>
      <c r="J734" s="167"/>
      <c r="K734" s="167"/>
      <c r="L734" s="167"/>
      <c r="M734" s="167"/>
      <c r="N734" s="167"/>
      <c r="O734" s="167"/>
      <c r="P734" s="167"/>
      <c r="Q734" s="167"/>
      <c r="R734" s="167"/>
      <c r="S734" s="167"/>
      <c r="T734" s="167"/>
      <c r="U734" s="167"/>
      <c r="V734" s="167"/>
      <c r="W734" s="167"/>
      <c r="X734" s="167"/>
      <c r="Y734" s="167"/>
      <c r="Z734" s="167"/>
      <c r="AA734" s="167"/>
      <c r="AB734" s="167"/>
      <c r="AC734" s="167"/>
      <c r="AD734" s="167"/>
      <c r="AE734" s="167"/>
      <c r="AF734" s="167"/>
      <c r="AG734" s="167"/>
      <c r="AH734" s="167"/>
      <c r="AI734" s="167"/>
      <c r="AJ734" s="167"/>
      <c r="AK734" s="167"/>
      <c r="AL734" s="167"/>
    </row>
    <row r="735" spans="1:38" ht="15.75" customHeight="1">
      <c r="A735" s="167"/>
      <c r="B735" s="167"/>
      <c r="C735" s="167"/>
      <c r="D735" s="167"/>
      <c r="E735" s="167"/>
      <c r="F735" s="167"/>
      <c r="G735" s="167"/>
      <c r="H735" s="167"/>
      <c r="I735" s="167"/>
      <c r="J735" s="167"/>
      <c r="K735" s="167"/>
      <c r="L735" s="167"/>
      <c r="M735" s="167"/>
      <c r="N735" s="167"/>
      <c r="O735" s="167"/>
      <c r="P735" s="167"/>
      <c r="Q735" s="167"/>
      <c r="R735" s="167"/>
      <c r="S735" s="167"/>
      <c r="T735" s="167"/>
      <c r="U735" s="167"/>
      <c r="V735" s="167"/>
      <c r="W735" s="167"/>
      <c r="X735" s="167"/>
      <c r="Y735" s="167"/>
      <c r="Z735" s="167"/>
      <c r="AA735" s="167"/>
      <c r="AB735" s="167"/>
      <c r="AC735" s="167"/>
      <c r="AD735" s="167"/>
      <c r="AE735" s="167"/>
      <c r="AF735" s="167"/>
      <c r="AG735" s="167"/>
      <c r="AH735" s="167"/>
      <c r="AI735" s="167"/>
      <c r="AJ735" s="167"/>
      <c r="AK735" s="167"/>
      <c r="AL735" s="167"/>
    </row>
    <row r="736" spans="1:38" ht="15.75" customHeight="1">
      <c r="A736" s="167"/>
      <c r="B736" s="167"/>
      <c r="C736" s="167"/>
      <c r="D736" s="167"/>
      <c r="E736" s="167"/>
      <c r="F736" s="167"/>
      <c r="G736" s="167"/>
      <c r="H736" s="167"/>
      <c r="I736" s="167"/>
      <c r="J736" s="167"/>
      <c r="K736" s="167"/>
      <c r="L736" s="167"/>
      <c r="M736" s="167"/>
      <c r="N736" s="167"/>
      <c r="O736" s="167"/>
      <c r="P736" s="167"/>
      <c r="Q736" s="167"/>
      <c r="R736" s="167"/>
      <c r="S736" s="167"/>
      <c r="T736" s="167"/>
      <c r="U736" s="167"/>
      <c r="V736" s="167"/>
      <c r="W736" s="167"/>
      <c r="X736" s="167"/>
      <c r="Y736" s="167"/>
      <c r="Z736" s="167"/>
      <c r="AA736" s="167"/>
      <c r="AB736" s="167"/>
      <c r="AC736" s="167"/>
      <c r="AD736" s="167"/>
      <c r="AE736" s="167"/>
      <c r="AF736" s="167"/>
      <c r="AG736" s="167"/>
      <c r="AH736" s="167"/>
      <c r="AI736" s="167"/>
      <c r="AJ736" s="167"/>
      <c r="AK736" s="167"/>
      <c r="AL736" s="167"/>
    </row>
    <row r="737" spans="1:38" ht="15.75" customHeight="1">
      <c r="A737" s="167"/>
      <c r="B737" s="167"/>
      <c r="C737" s="167"/>
      <c r="D737" s="167"/>
      <c r="E737" s="167"/>
      <c r="F737" s="167"/>
      <c r="G737" s="167"/>
      <c r="H737" s="167"/>
      <c r="I737" s="167"/>
      <c r="J737" s="167"/>
      <c r="K737" s="167"/>
      <c r="L737" s="167"/>
      <c r="M737" s="167"/>
      <c r="N737" s="167"/>
      <c r="O737" s="167"/>
      <c r="P737" s="167"/>
      <c r="Q737" s="167"/>
      <c r="R737" s="167"/>
      <c r="S737" s="167"/>
      <c r="T737" s="167"/>
      <c r="U737" s="167"/>
      <c r="V737" s="167"/>
      <c r="W737" s="167"/>
      <c r="X737" s="167"/>
      <c r="Y737" s="167"/>
      <c r="Z737" s="167"/>
      <c r="AA737" s="167"/>
      <c r="AB737" s="167"/>
      <c r="AC737" s="167"/>
      <c r="AD737" s="167"/>
      <c r="AE737" s="167"/>
      <c r="AF737" s="167"/>
      <c r="AG737" s="167"/>
      <c r="AH737" s="167"/>
      <c r="AI737" s="167"/>
      <c r="AJ737" s="167"/>
      <c r="AK737" s="167"/>
      <c r="AL737" s="167"/>
    </row>
    <row r="738" spans="1:38" ht="15.75" customHeight="1">
      <c r="A738" s="167"/>
      <c r="B738" s="167"/>
      <c r="C738" s="167"/>
      <c r="D738" s="167"/>
      <c r="E738" s="167"/>
      <c r="F738" s="167"/>
      <c r="G738" s="167"/>
      <c r="H738" s="167"/>
      <c r="I738" s="167"/>
      <c r="J738" s="167"/>
      <c r="K738" s="167"/>
      <c r="L738" s="167"/>
      <c r="M738" s="167"/>
      <c r="N738" s="167"/>
      <c r="O738" s="167"/>
      <c r="P738" s="167"/>
      <c r="Q738" s="167"/>
      <c r="R738" s="167"/>
      <c r="S738" s="167"/>
      <c r="T738" s="167"/>
      <c r="U738" s="167"/>
      <c r="V738" s="167"/>
      <c r="W738" s="167"/>
      <c r="X738" s="167"/>
      <c r="Y738" s="167"/>
      <c r="Z738" s="167"/>
      <c r="AA738" s="167"/>
      <c r="AB738" s="167"/>
      <c r="AC738" s="167"/>
      <c r="AD738" s="167"/>
      <c r="AE738" s="167"/>
      <c r="AF738" s="167"/>
      <c r="AG738" s="167"/>
      <c r="AH738" s="167"/>
      <c r="AI738" s="167"/>
      <c r="AJ738" s="167"/>
      <c r="AK738" s="167"/>
      <c r="AL738" s="167"/>
    </row>
    <row r="739" spans="1:38" ht="15.75" customHeight="1">
      <c r="A739" s="167"/>
      <c r="B739" s="167"/>
      <c r="C739" s="167"/>
      <c r="D739" s="167"/>
      <c r="E739" s="167"/>
      <c r="F739" s="167"/>
      <c r="G739" s="167"/>
      <c r="H739" s="167"/>
      <c r="I739" s="167"/>
      <c r="J739" s="167"/>
      <c r="K739" s="167"/>
      <c r="L739" s="167"/>
      <c r="M739" s="167"/>
      <c r="N739" s="167"/>
      <c r="O739" s="167"/>
      <c r="P739" s="167"/>
      <c r="Q739" s="167"/>
      <c r="R739" s="167"/>
      <c r="S739" s="167"/>
      <c r="T739" s="167"/>
      <c r="U739" s="167"/>
      <c r="V739" s="167"/>
      <c r="W739" s="167"/>
      <c r="X739" s="167"/>
      <c r="Y739" s="167"/>
      <c r="Z739" s="167"/>
      <c r="AA739" s="167"/>
      <c r="AB739" s="167"/>
      <c r="AC739" s="167"/>
      <c r="AD739" s="167"/>
      <c r="AE739" s="167"/>
      <c r="AF739" s="167"/>
      <c r="AG739" s="167"/>
      <c r="AH739" s="167"/>
      <c r="AI739" s="167"/>
      <c r="AJ739" s="167"/>
      <c r="AK739" s="167"/>
      <c r="AL739" s="167"/>
    </row>
    <row r="740" spans="1:38" ht="15.75" customHeight="1">
      <c r="A740" s="167"/>
      <c r="B740" s="167"/>
      <c r="C740" s="167"/>
      <c r="D740" s="167"/>
      <c r="E740" s="167"/>
      <c r="F740" s="167"/>
      <c r="G740" s="167"/>
      <c r="H740" s="167"/>
      <c r="I740" s="167"/>
      <c r="J740" s="167"/>
      <c r="K740" s="167"/>
      <c r="L740" s="167"/>
      <c r="M740" s="167"/>
      <c r="N740" s="167"/>
      <c r="O740" s="167"/>
      <c r="P740" s="167"/>
      <c r="Q740" s="167"/>
      <c r="R740" s="167"/>
      <c r="S740" s="167"/>
      <c r="T740" s="167"/>
      <c r="U740" s="167"/>
      <c r="V740" s="167"/>
      <c r="W740" s="167"/>
      <c r="X740" s="167"/>
      <c r="Y740" s="167"/>
      <c r="Z740" s="167"/>
      <c r="AA740" s="167"/>
      <c r="AB740" s="167"/>
      <c r="AC740" s="167"/>
      <c r="AD740" s="167"/>
      <c r="AE740" s="167"/>
      <c r="AF740" s="167"/>
      <c r="AG740" s="167"/>
      <c r="AH740" s="167"/>
      <c r="AI740" s="167"/>
      <c r="AJ740" s="167"/>
      <c r="AK740" s="167"/>
      <c r="AL740" s="167"/>
    </row>
    <row r="741" spans="1:38" ht="15.75" customHeight="1">
      <c r="A741" s="167"/>
      <c r="B741" s="167"/>
      <c r="C741" s="167"/>
      <c r="D741" s="167"/>
      <c r="E741" s="167"/>
      <c r="F741" s="167"/>
      <c r="G741" s="167"/>
      <c r="H741" s="167"/>
      <c r="I741" s="167"/>
      <c r="J741" s="167"/>
      <c r="K741" s="167"/>
      <c r="L741" s="167"/>
      <c r="M741" s="167"/>
      <c r="N741" s="167"/>
      <c r="O741" s="167"/>
      <c r="P741" s="167"/>
      <c r="Q741" s="167"/>
      <c r="R741" s="167"/>
      <c r="S741" s="167"/>
      <c r="T741" s="167"/>
      <c r="U741" s="167"/>
      <c r="V741" s="167"/>
      <c r="W741" s="167"/>
      <c r="X741" s="167"/>
      <c r="Y741" s="167"/>
      <c r="Z741" s="167"/>
      <c r="AA741" s="167"/>
      <c r="AB741" s="167"/>
      <c r="AC741" s="167"/>
      <c r="AD741" s="167"/>
      <c r="AE741" s="167"/>
      <c r="AF741" s="167"/>
      <c r="AG741" s="167"/>
      <c r="AH741" s="167"/>
      <c r="AI741" s="167"/>
      <c r="AJ741" s="167"/>
      <c r="AK741" s="167"/>
      <c r="AL741" s="167"/>
    </row>
    <row r="742" spans="1:38" ht="15.75" customHeight="1">
      <c r="A742" s="167"/>
      <c r="B742" s="167"/>
      <c r="C742" s="167"/>
      <c r="D742" s="167"/>
      <c r="E742" s="167"/>
      <c r="F742" s="167"/>
      <c r="G742" s="167"/>
      <c r="H742" s="167"/>
      <c r="I742" s="167"/>
      <c r="J742" s="167"/>
      <c r="K742" s="167"/>
      <c r="L742" s="167"/>
      <c r="M742" s="167"/>
      <c r="N742" s="167"/>
      <c r="O742" s="167"/>
      <c r="P742" s="167"/>
      <c r="Q742" s="167"/>
      <c r="R742" s="167"/>
      <c r="S742" s="167"/>
      <c r="T742" s="167"/>
      <c r="U742" s="167"/>
      <c r="V742" s="167"/>
      <c r="W742" s="167"/>
      <c r="X742" s="167"/>
      <c r="Y742" s="167"/>
      <c r="Z742" s="167"/>
      <c r="AA742" s="167"/>
      <c r="AB742" s="167"/>
      <c r="AC742" s="167"/>
      <c r="AD742" s="167"/>
      <c r="AE742" s="167"/>
      <c r="AF742" s="167"/>
      <c r="AG742" s="167"/>
      <c r="AH742" s="167"/>
      <c r="AI742" s="167"/>
      <c r="AJ742" s="167"/>
      <c r="AK742" s="167"/>
      <c r="AL742" s="167"/>
    </row>
    <row r="743" spans="1:38" ht="15.75" customHeight="1">
      <c r="A743" s="167"/>
      <c r="B743" s="167"/>
      <c r="C743" s="167"/>
      <c r="D743" s="167"/>
      <c r="E743" s="167"/>
      <c r="F743" s="167"/>
      <c r="G743" s="167"/>
      <c r="H743" s="167"/>
      <c r="I743" s="167"/>
      <c r="J743" s="167"/>
      <c r="K743" s="167"/>
      <c r="L743" s="167"/>
      <c r="M743" s="167"/>
      <c r="N743" s="167"/>
      <c r="O743" s="167"/>
      <c r="P743" s="167"/>
      <c r="Q743" s="167"/>
      <c r="R743" s="167"/>
      <c r="S743" s="167"/>
      <c r="T743" s="167"/>
      <c r="U743" s="167"/>
      <c r="V743" s="167"/>
      <c r="W743" s="167"/>
      <c r="X743" s="167"/>
      <c r="Y743" s="167"/>
      <c r="Z743" s="167"/>
      <c r="AA743" s="167"/>
      <c r="AB743" s="167"/>
      <c r="AC743" s="167"/>
      <c r="AD743" s="167"/>
      <c r="AE743" s="167"/>
      <c r="AF743" s="167"/>
      <c r="AG743" s="167"/>
      <c r="AH743" s="167"/>
      <c r="AI743" s="167"/>
      <c r="AJ743" s="167"/>
      <c r="AK743" s="167"/>
      <c r="AL743" s="167"/>
    </row>
    <row r="744" spans="1:38" ht="15.75" customHeight="1">
      <c r="A744" s="167"/>
      <c r="B744" s="167"/>
      <c r="C744" s="167"/>
      <c r="D744" s="167"/>
      <c r="E744" s="167"/>
      <c r="F744" s="167"/>
      <c r="G744" s="167"/>
      <c r="H744" s="167"/>
      <c r="I744" s="167"/>
      <c r="J744" s="167"/>
      <c r="K744" s="167"/>
      <c r="L744" s="167"/>
      <c r="M744" s="167"/>
      <c r="N744" s="167"/>
      <c r="O744" s="167"/>
      <c r="P744" s="167"/>
      <c r="Q744" s="167"/>
      <c r="R744" s="167"/>
      <c r="S744" s="167"/>
      <c r="T744" s="167"/>
      <c r="U744" s="167"/>
      <c r="V744" s="167"/>
      <c r="W744" s="167"/>
      <c r="X744" s="167"/>
      <c r="Y744" s="167"/>
      <c r="Z744" s="167"/>
      <c r="AA744" s="167"/>
      <c r="AB744" s="167"/>
      <c r="AC744" s="167"/>
      <c r="AD744" s="167"/>
      <c r="AE744" s="167"/>
      <c r="AF744" s="167"/>
      <c r="AG744" s="167"/>
      <c r="AH744" s="167"/>
      <c r="AI744" s="167"/>
      <c r="AJ744" s="167"/>
      <c r="AK744" s="167"/>
      <c r="AL744" s="167"/>
    </row>
    <row r="745" spans="1:38" ht="15.75" customHeight="1">
      <c r="A745" s="167"/>
      <c r="B745" s="167"/>
      <c r="C745" s="167"/>
      <c r="D745" s="167"/>
      <c r="E745" s="167"/>
      <c r="F745" s="167"/>
      <c r="G745" s="167"/>
      <c r="H745" s="167"/>
      <c r="I745" s="167"/>
      <c r="J745" s="167"/>
      <c r="K745" s="167"/>
      <c r="L745" s="167"/>
      <c r="M745" s="167"/>
      <c r="N745" s="167"/>
      <c r="O745" s="167"/>
      <c r="P745" s="167"/>
      <c r="Q745" s="167"/>
      <c r="R745" s="167"/>
      <c r="S745" s="167"/>
      <c r="T745" s="167"/>
      <c r="U745" s="167"/>
      <c r="V745" s="167"/>
      <c r="W745" s="167"/>
      <c r="X745" s="167"/>
      <c r="Y745" s="167"/>
      <c r="Z745" s="167"/>
      <c r="AA745" s="167"/>
      <c r="AB745" s="167"/>
      <c r="AC745" s="167"/>
      <c r="AD745" s="167"/>
      <c r="AE745" s="167"/>
      <c r="AF745" s="167"/>
      <c r="AG745" s="167"/>
      <c r="AH745" s="167"/>
      <c r="AI745" s="167"/>
      <c r="AJ745" s="167"/>
      <c r="AK745" s="167"/>
      <c r="AL745" s="167"/>
    </row>
    <row r="746" spans="1:38" ht="15.75" customHeight="1">
      <c r="A746" s="167"/>
      <c r="B746" s="167"/>
      <c r="C746" s="167"/>
      <c r="D746" s="167"/>
      <c r="E746" s="167"/>
      <c r="F746" s="167"/>
      <c r="G746" s="167"/>
      <c r="H746" s="167"/>
      <c r="I746" s="167"/>
      <c r="J746" s="167"/>
      <c r="K746" s="167"/>
      <c r="L746" s="167"/>
      <c r="M746" s="167"/>
      <c r="N746" s="167"/>
      <c r="O746" s="167"/>
      <c r="P746" s="167"/>
      <c r="Q746" s="167"/>
      <c r="R746" s="167"/>
      <c r="S746" s="167"/>
      <c r="T746" s="167"/>
      <c r="U746" s="167"/>
      <c r="V746" s="167"/>
      <c r="W746" s="167"/>
      <c r="X746" s="167"/>
      <c r="Y746" s="167"/>
      <c r="Z746" s="167"/>
      <c r="AA746" s="167"/>
      <c r="AB746" s="167"/>
      <c r="AC746" s="167"/>
      <c r="AD746" s="167"/>
      <c r="AE746" s="167"/>
      <c r="AF746" s="167"/>
      <c r="AG746" s="167"/>
      <c r="AH746" s="167"/>
      <c r="AI746" s="167"/>
      <c r="AJ746" s="167"/>
      <c r="AK746" s="167"/>
      <c r="AL746" s="167"/>
    </row>
    <row r="747" spans="1:38" ht="15.75" customHeight="1">
      <c r="A747" s="167"/>
      <c r="B747" s="167"/>
      <c r="C747" s="167"/>
      <c r="D747" s="167"/>
      <c r="E747" s="167"/>
      <c r="F747" s="167"/>
      <c r="G747" s="167"/>
      <c r="H747" s="167"/>
      <c r="I747" s="167"/>
      <c r="J747" s="167"/>
      <c r="K747" s="167"/>
      <c r="L747" s="167"/>
      <c r="M747" s="167"/>
      <c r="N747" s="167"/>
      <c r="O747" s="167"/>
      <c r="P747" s="167"/>
      <c r="Q747" s="167"/>
      <c r="R747" s="167"/>
      <c r="S747" s="167"/>
      <c r="T747" s="167"/>
      <c r="U747" s="167"/>
      <c r="V747" s="167"/>
      <c r="W747" s="167"/>
      <c r="X747" s="167"/>
      <c r="Y747" s="167"/>
      <c r="Z747" s="167"/>
      <c r="AA747" s="167"/>
      <c r="AB747" s="167"/>
      <c r="AC747" s="167"/>
      <c r="AD747" s="167"/>
      <c r="AE747" s="167"/>
      <c r="AF747" s="167"/>
      <c r="AG747" s="167"/>
      <c r="AH747" s="167"/>
      <c r="AI747" s="167"/>
      <c r="AJ747" s="167"/>
      <c r="AK747" s="167"/>
      <c r="AL747" s="167"/>
    </row>
    <row r="748" spans="1:38" ht="15.75" customHeight="1">
      <c r="A748" s="167"/>
      <c r="B748" s="167"/>
      <c r="C748" s="167"/>
      <c r="D748" s="167"/>
      <c r="E748" s="167"/>
      <c r="F748" s="167"/>
      <c r="G748" s="167"/>
      <c r="H748" s="167"/>
      <c r="I748" s="167"/>
      <c r="J748" s="167"/>
      <c r="K748" s="167"/>
      <c r="L748" s="167"/>
      <c r="M748" s="167"/>
      <c r="N748" s="167"/>
      <c r="O748" s="167"/>
      <c r="P748" s="167"/>
      <c r="Q748" s="167"/>
      <c r="R748" s="167"/>
      <c r="S748" s="167"/>
      <c r="T748" s="167"/>
      <c r="U748" s="167"/>
      <c r="V748" s="167"/>
      <c r="W748" s="167"/>
      <c r="X748" s="167"/>
      <c r="Y748" s="167"/>
      <c r="Z748" s="167"/>
      <c r="AA748" s="167"/>
      <c r="AB748" s="167"/>
      <c r="AC748" s="167"/>
      <c r="AD748" s="167"/>
      <c r="AE748" s="167"/>
      <c r="AF748" s="167"/>
      <c r="AG748" s="167"/>
      <c r="AH748" s="167"/>
      <c r="AI748" s="167"/>
      <c r="AJ748" s="167"/>
      <c r="AK748" s="167"/>
      <c r="AL748" s="167"/>
    </row>
    <row r="749" spans="1:38" ht="15.75" customHeight="1">
      <c r="A749" s="167"/>
      <c r="B749" s="167"/>
      <c r="C749" s="167"/>
      <c r="D749" s="167"/>
      <c r="E749" s="167"/>
      <c r="F749" s="167"/>
      <c r="G749" s="167"/>
      <c r="H749" s="167"/>
      <c r="I749" s="167"/>
      <c r="J749" s="167"/>
      <c r="K749" s="167"/>
      <c r="L749" s="167"/>
      <c r="M749" s="167"/>
      <c r="N749" s="167"/>
      <c r="O749" s="167"/>
      <c r="P749" s="167"/>
      <c r="Q749" s="167"/>
      <c r="R749" s="167"/>
      <c r="S749" s="167"/>
      <c r="T749" s="167"/>
      <c r="U749" s="167"/>
      <c r="V749" s="167"/>
      <c r="W749" s="167"/>
      <c r="X749" s="167"/>
      <c r="Y749" s="167"/>
      <c r="Z749" s="167"/>
      <c r="AA749" s="167"/>
      <c r="AB749" s="167"/>
      <c r="AC749" s="167"/>
      <c r="AD749" s="167"/>
      <c r="AE749" s="167"/>
      <c r="AF749" s="167"/>
      <c r="AG749" s="167"/>
      <c r="AH749" s="167"/>
      <c r="AI749" s="167"/>
      <c r="AJ749" s="167"/>
      <c r="AK749" s="167"/>
      <c r="AL749" s="167"/>
    </row>
    <row r="750" spans="1:38" ht="15.75" customHeight="1">
      <c r="A750" s="167"/>
      <c r="B750" s="167"/>
      <c r="C750" s="167"/>
      <c r="D750" s="167"/>
      <c r="E750" s="167"/>
      <c r="F750" s="167"/>
      <c r="G750" s="167"/>
      <c r="H750" s="167"/>
      <c r="I750" s="167"/>
      <c r="J750" s="167"/>
      <c r="K750" s="167"/>
      <c r="L750" s="167"/>
      <c r="M750" s="167"/>
      <c r="N750" s="167"/>
      <c r="O750" s="167"/>
      <c r="P750" s="167"/>
      <c r="Q750" s="167"/>
      <c r="R750" s="167"/>
      <c r="S750" s="167"/>
      <c r="T750" s="167"/>
      <c r="U750" s="167"/>
      <c r="V750" s="167"/>
      <c r="W750" s="167"/>
      <c r="X750" s="167"/>
      <c r="Y750" s="167"/>
      <c r="Z750" s="167"/>
      <c r="AA750" s="167"/>
      <c r="AB750" s="167"/>
      <c r="AC750" s="167"/>
      <c r="AD750" s="167"/>
      <c r="AE750" s="167"/>
      <c r="AF750" s="167"/>
      <c r="AG750" s="167"/>
      <c r="AH750" s="167"/>
      <c r="AI750" s="167"/>
      <c r="AJ750" s="167"/>
      <c r="AK750" s="167"/>
      <c r="AL750" s="167"/>
    </row>
    <row r="751" spans="1:38" ht="15.75" customHeight="1">
      <c r="A751" s="167"/>
      <c r="B751" s="167"/>
      <c r="C751" s="167"/>
      <c r="D751" s="167"/>
      <c r="E751" s="167"/>
      <c r="F751" s="167"/>
      <c r="G751" s="167"/>
      <c r="H751" s="167"/>
      <c r="I751" s="167"/>
      <c r="J751" s="167"/>
      <c r="K751" s="167"/>
      <c r="L751" s="167"/>
      <c r="M751" s="167"/>
      <c r="N751" s="167"/>
      <c r="O751" s="167"/>
      <c r="P751" s="167"/>
      <c r="Q751" s="167"/>
      <c r="R751" s="167"/>
      <c r="S751" s="167"/>
      <c r="T751" s="167"/>
      <c r="U751" s="167"/>
      <c r="V751" s="167"/>
      <c r="W751" s="167"/>
      <c r="X751" s="167"/>
      <c r="Y751" s="167"/>
      <c r="Z751" s="167"/>
      <c r="AA751" s="167"/>
      <c r="AB751" s="167"/>
      <c r="AC751" s="167"/>
      <c r="AD751" s="167"/>
      <c r="AE751" s="167"/>
      <c r="AF751" s="167"/>
      <c r="AG751" s="167"/>
      <c r="AH751" s="167"/>
      <c r="AI751" s="167"/>
      <c r="AJ751" s="167"/>
      <c r="AK751" s="167"/>
      <c r="AL751" s="167"/>
    </row>
    <row r="752" spans="1:38" ht="15.75" customHeight="1">
      <c r="A752" s="167"/>
      <c r="B752" s="167"/>
      <c r="C752" s="167"/>
      <c r="D752" s="167"/>
      <c r="E752" s="167"/>
      <c r="F752" s="167"/>
      <c r="G752" s="167"/>
      <c r="H752" s="167"/>
      <c r="I752" s="167"/>
      <c r="J752" s="167"/>
      <c r="K752" s="167"/>
      <c r="L752" s="167"/>
      <c r="M752" s="167"/>
      <c r="N752" s="167"/>
      <c r="O752" s="167"/>
      <c r="P752" s="167"/>
      <c r="Q752" s="167"/>
      <c r="R752" s="167"/>
      <c r="S752" s="167"/>
      <c r="T752" s="167"/>
      <c r="U752" s="167"/>
      <c r="V752" s="167"/>
      <c r="W752" s="167"/>
      <c r="X752" s="167"/>
      <c r="Y752" s="167"/>
      <c r="Z752" s="167"/>
      <c r="AA752" s="167"/>
      <c r="AB752" s="167"/>
      <c r="AC752" s="167"/>
      <c r="AD752" s="167"/>
      <c r="AE752" s="167"/>
      <c r="AF752" s="167"/>
      <c r="AG752" s="167"/>
      <c r="AH752" s="167"/>
      <c r="AI752" s="167"/>
      <c r="AJ752" s="167"/>
      <c r="AK752" s="167"/>
      <c r="AL752" s="167"/>
    </row>
    <row r="753" spans="1:38" ht="15.75" customHeight="1">
      <c r="A753" s="167"/>
      <c r="B753" s="167"/>
      <c r="C753" s="167"/>
      <c r="D753" s="167"/>
      <c r="E753" s="167"/>
      <c r="F753" s="167"/>
      <c r="G753" s="167"/>
      <c r="H753" s="167"/>
      <c r="I753" s="167"/>
      <c r="J753" s="167"/>
      <c r="K753" s="167"/>
      <c r="L753" s="167"/>
      <c r="M753" s="167"/>
      <c r="N753" s="167"/>
      <c r="O753" s="167"/>
      <c r="P753" s="167"/>
      <c r="Q753" s="167"/>
      <c r="R753" s="167"/>
      <c r="S753" s="167"/>
      <c r="T753" s="167"/>
      <c r="U753" s="167"/>
      <c r="V753" s="167"/>
      <c r="W753" s="167"/>
      <c r="X753" s="167"/>
      <c r="Y753" s="167"/>
      <c r="Z753" s="167"/>
      <c r="AA753" s="167"/>
      <c r="AB753" s="167"/>
      <c r="AC753" s="167"/>
      <c r="AD753" s="167"/>
      <c r="AE753" s="167"/>
      <c r="AF753" s="167"/>
      <c r="AG753" s="167"/>
      <c r="AH753" s="167"/>
      <c r="AI753" s="167"/>
      <c r="AJ753" s="167"/>
      <c r="AK753" s="167"/>
      <c r="AL753" s="167"/>
    </row>
    <row r="754" spans="1:38" ht="15.75" customHeight="1">
      <c r="A754" s="167"/>
      <c r="B754" s="167"/>
      <c r="C754" s="167"/>
      <c r="D754" s="167"/>
      <c r="E754" s="167"/>
      <c r="F754" s="167"/>
      <c r="G754" s="167"/>
      <c r="H754" s="167"/>
      <c r="I754" s="167"/>
      <c r="J754" s="167"/>
      <c r="K754" s="167"/>
      <c r="L754" s="167"/>
      <c r="M754" s="167"/>
      <c r="N754" s="167"/>
      <c r="O754" s="167"/>
      <c r="P754" s="167"/>
      <c r="Q754" s="167"/>
      <c r="R754" s="167"/>
      <c r="S754" s="167"/>
      <c r="T754" s="167"/>
      <c r="U754" s="167"/>
      <c r="V754" s="167"/>
      <c r="W754" s="167"/>
      <c r="X754" s="167"/>
      <c r="Y754" s="167"/>
      <c r="Z754" s="167"/>
      <c r="AA754" s="167"/>
      <c r="AB754" s="167"/>
      <c r="AC754" s="167"/>
      <c r="AD754" s="167"/>
      <c r="AE754" s="167"/>
      <c r="AF754" s="167"/>
      <c r="AG754" s="167"/>
      <c r="AH754" s="167"/>
      <c r="AI754" s="167"/>
      <c r="AJ754" s="167"/>
      <c r="AK754" s="167"/>
      <c r="AL754" s="167"/>
    </row>
    <row r="755" spans="1:38" ht="15.75" customHeight="1">
      <c r="A755" s="167"/>
      <c r="B755" s="167"/>
      <c r="C755" s="167"/>
      <c r="D755" s="167"/>
      <c r="E755" s="167"/>
      <c r="F755" s="167"/>
      <c r="G755" s="167"/>
      <c r="H755" s="167"/>
      <c r="I755" s="167"/>
      <c r="J755" s="167"/>
      <c r="K755" s="167"/>
      <c r="L755" s="167"/>
      <c r="M755" s="167"/>
      <c r="N755" s="167"/>
      <c r="O755" s="167"/>
      <c r="P755" s="167"/>
      <c r="Q755" s="167"/>
      <c r="R755" s="167"/>
      <c r="S755" s="167"/>
      <c r="T755" s="167"/>
      <c r="U755" s="167"/>
      <c r="V755" s="167"/>
      <c r="W755" s="167"/>
      <c r="X755" s="167"/>
      <c r="Y755" s="167"/>
      <c r="Z755" s="167"/>
      <c r="AA755" s="167"/>
      <c r="AB755" s="167"/>
      <c r="AC755" s="167"/>
      <c r="AD755" s="167"/>
      <c r="AE755" s="167"/>
      <c r="AF755" s="167"/>
      <c r="AG755" s="167"/>
      <c r="AH755" s="167"/>
      <c r="AI755" s="167"/>
      <c r="AJ755" s="167"/>
      <c r="AK755" s="167"/>
      <c r="AL755" s="167"/>
    </row>
    <row r="756" spans="1:38" ht="15.75" customHeight="1">
      <c r="A756" s="167"/>
      <c r="B756" s="167"/>
      <c r="C756" s="167"/>
      <c r="D756" s="167"/>
      <c r="E756" s="167"/>
      <c r="F756" s="167"/>
      <c r="G756" s="167"/>
      <c r="H756" s="167"/>
      <c r="I756" s="167"/>
      <c r="J756" s="167"/>
      <c r="K756" s="167"/>
      <c r="L756" s="167"/>
      <c r="M756" s="167"/>
      <c r="N756" s="167"/>
      <c r="O756" s="167"/>
      <c r="P756" s="167"/>
      <c r="Q756" s="167"/>
      <c r="R756" s="167"/>
      <c r="S756" s="167"/>
      <c r="T756" s="167"/>
      <c r="U756" s="167"/>
      <c r="V756" s="167"/>
      <c r="W756" s="167"/>
      <c r="X756" s="167"/>
      <c r="Y756" s="167"/>
      <c r="Z756" s="167"/>
      <c r="AA756" s="167"/>
      <c r="AB756" s="167"/>
      <c r="AC756" s="167"/>
      <c r="AD756" s="167"/>
      <c r="AE756" s="167"/>
      <c r="AF756" s="167"/>
      <c r="AG756" s="167"/>
      <c r="AH756" s="167"/>
      <c r="AI756" s="167"/>
      <c r="AJ756" s="167"/>
      <c r="AK756" s="167"/>
      <c r="AL756" s="167"/>
    </row>
    <row r="757" spans="1:38" ht="15.75" customHeight="1">
      <c r="A757" s="167"/>
      <c r="B757" s="167"/>
      <c r="C757" s="167"/>
      <c r="D757" s="167"/>
      <c r="E757" s="167"/>
      <c r="F757" s="167"/>
      <c r="G757" s="167"/>
      <c r="H757" s="167"/>
      <c r="I757" s="167"/>
      <c r="J757" s="167"/>
      <c r="K757" s="167"/>
      <c r="L757" s="167"/>
      <c r="M757" s="167"/>
      <c r="N757" s="167"/>
      <c r="O757" s="167"/>
      <c r="P757" s="167"/>
      <c r="Q757" s="167"/>
      <c r="R757" s="167"/>
      <c r="S757" s="167"/>
      <c r="T757" s="167"/>
      <c r="U757" s="167"/>
      <c r="V757" s="167"/>
      <c r="W757" s="167"/>
      <c r="X757" s="167"/>
      <c r="Y757" s="167"/>
      <c r="Z757" s="167"/>
      <c r="AA757" s="167"/>
      <c r="AB757" s="167"/>
      <c r="AC757" s="167"/>
      <c r="AD757" s="167"/>
      <c r="AE757" s="167"/>
      <c r="AF757" s="167"/>
      <c r="AG757" s="167"/>
      <c r="AH757" s="167"/>
      <c r="AI757" s="167"/>
      <c r="AJ757" s="167"/>
      <c r="AK757" s="167"/>
      <c r="AL757" s="167"/>
    </row>
    <row r="758" spans="1:38" ht="15.75" customHeight="1">
      <c r="A758" s="167"/>
      <c r="B758" s="167"/>
      <c r="C758" s="167"/>
      <c r="D758" s="167"/>
      <c r="E758" s="167"/>
      <c r="F758" s="167"/>
      <c r="G758" s="167"/>
      <c r="H758" s="167"/>
      <c r="I758" s="167"/>
      <c r="J758" s="167"/>
      <c r="K758" s="167"/>
      <c r="L758" s="167"/>
      <c r="M758" s="167"/>
      <c r="N758" s="167"/>
      <c r="O758" s="167"/>
      <c r="P758" s="167"/>
      <c r="Q758" s="167"/>
      <c r="R758" s="167"/>
      <c r="S758" s="167"/>
      <c r="T758" s="167"/>
      <c r="U758" s="167"/>
      <c r="V758" s="167"/>
      <c r="W758" s="167"/>
      <c r="X758" s="167"/>
      <c r="Y758" s="167"/>
      <c r="Z758" s="167"/>
      <c r="AA758" s="167"/>
      <c r="AB758" s="167"/>
      <c r="AC758" s="167"/>
      <c r="AD758" s="167"/>
      <c r="AE758" s="167"/>
      <c r="AF758" s="167"/>
      <c r="AG758" s="167"/>
      <c r="AH758" s="167"/>
      <c r="AI758" s="167"/>
      <c r="AJ758" s="167"/>
      <c r="AK758" s="167"/>
      <c r="AL758" s="167"/>
    </row>
    <row r="759" spans="1:38" ht="15.75" customHeight="1">
      <c r="A759" s="167"/>
      <c r="B759" s="167"/>
      <c r="C759" s="167"/>
      <c r="D759" s="167"/>
      <c r="E759" s="167"/>
      <c r="F759" s="167"/>
      <c r="G759" s="167"/>
      <c r="H759" s="167"/>
      <c r="I759" s="167"/>
      <c r="J759" s="167"/>
      <c r="K759" s="167"/>
      <c r="L759" s="167"/>
      <c r="M759" s="167"/>
      <c r="N759" s="167"/>
      <c r="O759" s="167"/>
      <c r="P759" s="167"/>
      <c r="Q759" s="167"/>
      <c r="R759" s="167"/>
      <c r="S759" s="167"/>
      <c r="T759" s="167"/>
      <c r="U759" s="167"/>
      <c r="V759" s="167"/>
      <c r="W759" s="167"/>
      <c r="X759" s="167"/>
      <c r="Y759" s="167"/>
      <c r="Z759" s="167"/>
      <c r="AA759" s="167"/>
      <c r="AB759" s="167"/>
      <c r="AC759" s="167"/>
      <c r="AD759" s="167"/>
      <c r="AE759" s="167"/>
      <c r="AF759" s="167"/>
      <c r="AG759" s="167"/>
      <c r="AH759" s="167"/>
      <c r="AI759" s="167"/>
      <c r="AJ759" s="167"/>
      <c r="AK759" s="167"/>
      <c r="AL759" s="167"/>
    </row>
    <row r="760" spans="1:38" ht="15.75" customHeight="1">
      <c r="A760" s="167"/>
      <c r="B760" s="167"/>
      <c r="C760" s="167"/>
      <c r="D760" s="167"/>
      <c r="E760" s="167"/>
      <c r="F760" s="167"/>
      <c r="G760" s="167"/>
      <c r="H760" s="167"/>
      <c r="I760" s="167"/>
      <c r="J760" s="167"/>
      <c r="K760" s="167"/>
      <c r="L760" s="167"/>
      <c r="M760" s="167"/>
      <c r="N760" s="167"/>
      <c r="O760" s="167"/>
      <c r="P760" s="167"/>
      <c r="Q760" s="167"/>
      <c r="R760" s="167"/>
      <c r="S760" s="167"/>
      <c r="T760" s="167"/>
      <c r="U760" s="167"/>
      <c r="V760" s="167"/>
      <c r="W760" s="167"/>
      <c r="X760" s="167"/>
      <c r="Y760" s="167"/>
      <c r="Z760" s="167"/>
      <c r="AA760" s="167"/>
      <c r="AB760" s="167"/>
      <c r="AC760" s="167"/>
      <c r="AD760" s="167"/>
      <c r="AE760" s="167"/>
      <c r="AF760" s="167"/>
      <c r="AG760" s="167"/>
      <c r="AH760" s="167"/>
      <c r="AI760" s="167"/>
      <c r="AJ760" s="167"/>
      <c r="AK760" s="167"/>
      <c r="AL760" s="167"/>
    </row>
    <row r="761" spans="1:38" ht="15.75" customHeight="1">
      <c r="A761" s="167"/>
      <c r="B761" s="167"/>
      <c r="C761" s="167"/>
      <c r="D761" s="167"/>
      <c r="E761" s="167"/>
      <c r="F761" s="167"/>
      <c r="G761" s="167"/>
      <c r="H761" s="167"/>
      <c r="I761" s="167"/>
      <c r="J761" s="167"/>
      <c r="K761" s="167"/>
      <c r="L761" s="167"/>
      <c r="M761" s="167"/>
      <c r="N761" s="167"/>
      <c r="O761" s="167"/>
      <c r="P761" s="167"/>
      <c r="Q761" s="167"/>
      <c r="R761" s="167"/>
      <c r="S761" s="167"/>
      <c r="T761" s="167"/>
      <c r="U761" s="167"/>
      <c r="V761" s="167"/>
      <c r="W761" s="167"/>
      <c r="X761" s="167"/>
      <c r="Y761" s="167"/>
      <c r="Z761" s="167"/>
      <c r="AA761" s="167"/>
      <c r="AB761" s="167"/>
      <c r="AC761" s="167"/>
      <c r="AD761" s="167"/>
      <c r="AE761" s="167"/>
      <c r="AF761" s="167"/>
      <c r="AG761" s="167"/>
      <c r="AH761" s="167"/>
      <c r="AI761" s="167"/>
      <c r="AJ761" s="167"/>
      <c r="AK761" s="167"/>
      <c r="AL761" s="167"/>
    </row>
    <row r="762" spans="1:38" ht="15.75" customHeight="1">
      <c r="A762" s="167"/>
      <c r="B762" s="167"/>
      <c r="C762" s="167"/>
      <c r="D762" s="167"/>
      <c r="E762" s="167"/>
      <c r="F762" s="167"/>
      <c r="G762" s="167"/>
      <c r="H762" s="167"/>
      <c r="I762" s="167"/>
      <c r="J762" s="167"/>
      <c r="K762" s="167"/>
      <c r="L762" s="167"/>
      <c r="M762" s="167"/>
      <c r="N762" s="167"/>
      <c r="O762" s="167"/>
      <c r="P762" s="167"/>
      <c r="Q762" s="167"/>
      <c r="R762" s="167"/>
      <c r="S762" s="167"/>
      <c r="T762" s="167"/>
      <c r="U762" s="167"/>
      <c r="V762" s="167"/>
      <c r="W762" s="167"/>
      <c r="X762" s="167"/>
      <c r="Y762" s="167"/>
      <c r="Z762" s="167"/>
      <c r="AA762" s="167"/>
      <c r="AB762" s="167"/>
      <c r="AC762" s="167"/>
      <c r="AD762" s="167"/>
      <c r="AE762" s="167"/>
      <c r="AF762" s="167"/>
      <c r="AG762" s="167"/>
      <c r="AH762" s="167"/>
      <c r="AI762" s="167"/>
      <c r="AJ762" s="167"/>
      <c r="AK762" s="167"/>
      <c r="AL762" s="167"/>
    </row>
    <row r="763" spans="1:38" ht="15.75" customHeight="1">
      <c r="A763" s="167"/>
      <c r="B763" s="167"/>
      <c r="C763" s="167"/>
      <c r="D763" s="167"/>
      <c r="E763" s="167"/>
      <c r="F763" s="167"/>
      <c r="G763" s="167"/>
      <c r="H763" s="167"/>
      <c r="I763" s="167"/>
      <c r="J763" s="167"/>
      <c r="K763" s="167"/>
      <c r="L763" s="167"/>
      <c r="M763" s="167"/>
      <c r="N763" s="167"/>
      <c r="O763" s="167"/>
      <c r="P763" s="167"/>
      <c r="Q763" s="167"/>
      <c r="R763" s="167"/>
      <c r="S763" s="167"/>
      <c r="T763" s="167"/>
      <c r="U763" s="167"/>
      <c r="V763" s="167"/>
      <c r="W763" s="167"/>
      <c r="X763" s="167"/>
      <c r="Y763" s="167"/>
      <c r="Z763" s="167"/>
      <c r="AA763" s="167"/>
      <c r="AB763" s="167"/>
      <c r="AC763" s="167"/>
      <c r="AD763" s="167"/>
      <c r="AE763" s="167"/>
      <c r="AF763" s="167"/>
      <c r="AG763" s="167"/>
      <c r="AH763" s="167"/>
      <c r="AI763" s="167"/>
      <c r="AJ763" s="167"/>
      <c r="AK763" s="167"/>
      <c r="AL763" s="167"/>
    </row>
    <row r="764" spans="1:38" ht="15.75" customHeight="1">
      <c r="A764" s="167"/>
      <c r="B764" s="167"/>
      <c r="C764" s="167"/>
      <c r="D764" s="167"/>
      <c r="E764" s="167"/>
      <c r="F764" s="167"/>
      <c r="G764" s="167"/>
      <c r="H764" s="167"/>
      <c r="I764" s="167"/>
      <c r="J764" s="167"/>
      <c r="K764" s="167"/>
      <c r="L764" s="167"/>
      <c r="M764" s="167"/>
      <c r="N764" s="167"/>
      <c r="O764" s="167"/>
      <c r="P764" s="167"/>
      <c r="Q764" s="167"/>
      <c r="R764" s="167"/>
      <c r="S764" s="167"/>
      <c r="T764" s="167"/>
      <c r="U764" s="167"/>
      <c r="V764" s="167"/>
      <c r="W764" s="167"/>
      <c r="X764" s="167"/>
      <c r="Y764" s="167"/>
      <c r="Z764" s="167"/>
      <c r="AA764" s="167"/>
      <c r="AB764" s="167"/>
      <c r="AC764" s="167"/>
      <c r="AD764" s="167"/>
      <c r="AE764" s="167"/>
      <c r="AF764" s="167"/>
      <c r="AG764" s="167"/>
      <c r="AH764" s="167"/>
      <c r="AI764" s="167"/>
      <c r="AJ764" s="167"/>
      <c r="AK764" s="167"/>
      <c r="AL764" s="167"/>
    </row>
    <row r="765" spans="1:38" ht="15.75" customHeight="1">
      <c r="A765" s="167"/>
      <c r="B765" s="167"/>
      <c r="C765" s="167"/>
      <c r="D765" s="167"/>
      <c r="E765" s="167"/>
      <c r="F765" s="167"/>
      <c r="G765" s="167"/>
      <c r="H765" s="167"/>
      <c r="I765" s="167"/>
      <c r="J765" s="167"/>
      <c r="K765" s="167"/>
      <c r="L765" s="167"/>
      <c r="M765" s="167"/>
      <c r="N765" s="167"/>
      <c r="O765" s="167"/>
      <c r="P765" s="167"/>
      <c r="Q765" s="167"/>
      <c r="R765" s="167"/>
      <c r="S765" s="167"/>
      <c r="T765" s="167"/>
      <c r="U765" s="167"/>
      <c r="V765" s="167"/>
      <c r="W765" s="167"/>
      <c r="X765" s="167"/>
      <c r="Y765" s="167"/>
      <c r="Z765" s="167"/>
      <c r="AA765" s="167"/>
      <c r="AB765" s="167"/>
      <c r="AC765" s="167"/>
      <c r="AD765" s="167"/>
      <c r="AE765" s="167"/>
      <c r="AF765" s="167"/>
      <c r="AG765" s="167"/>
      <c r="AH765" s="167"/>
      <c r="AI765" s="167"/>
      <c r="AJ765" s="167"/>
      <c r="AK765" s="167"/>
      <c r="AL765" s="167"/>
    </row>
    <row r="766" spans="1:38" ht="15.75" customHeight="1">
      <c r="A766" s="167"/>
      <c r="B766" s="167"/>
      <c r="C766" s="167"/>
      <c r="D766" s="167"/>
      <c r="E766" s="167"/>
      <c r="F766" s="167"/>
      <c r="G766" s="167"/>
      <c r="H766" s="167"/>
      <c r="I766" s="167"/>
      <c r="J766" s="167"/>
      <c r="K766" s="167"/>
      <c r="L766" s="167"/>
      <c r="M766" s="167"/>
      <c r="N766" s="167"/>
      <c r="O766" s="167"/>
      <c r="P766" s="167"/>
      <c r="Q766" s="167"/>
      <c r="R766" s="167"/>
      <c r="S766" s="167"/>
      <c r="T766" s="167"/>
      <c r="U766" s="167"/>
      <c r="V766" s="167"/>
      <c r="W766" s="167"/>
      <c r="X766" s="167"/>
      <c r="Y766" s="167"/>
      <c r="Z766" s="167"/>
      <c r="AA766" s="167"/>
      <c r="AB766" s="167"/>
      <c r="AC766" s="167"/>
      <c r="AD766" s="167"/>
      <c r="AE766" s="167"/>
      <c r="AF766" s="167"/>
      <c r="AG766" s="167"/>
      <c r="AH766" s="167"/>
      <c r="AI766" s="167"/>
      <c r="AJ766" s="167"/>
      <c r="AK766" s="167"/>
      <c r="AL766" s="167"/>
    </row>
    <row r="767" spans="1:38" ht="15.75" customHeight="1">
      <c r="A767" s="167"/>
      <c r="B767" s="167"/>
      <c r="C767" s="167"/>
      <c r="D767" s="167"/>
      <c r="E767" s="167"/>
      <c r="F767" s="167"/>
      <c r="G767" s="167"/>
      <c r="H767" s="167"/>
      <c r="I767" s="167"/>
      <c r="J767" s="167"/>
      <c r="K767" s="167"/>
      <c r="L767" s="167"/>
      <c r="M767" s="167"/>
      <c r="N767" s="167"/>
      <c r="O767" s="167"/>
      <c r="P767" s="167"/>
      <c r="Q767" s="167"/>
      <c r="R767" s="167"/>
      <c r="S767" s="167"/>
      <c r="T767" s="167"/>
      <c r="U767" s="167"/>
      <c r="V767" s="167"/>
      <c r="W767" s="167"/>
      <c r="X767" s="167"/>
      <c r="Y767" s="167"/>
      <c r="Z767" s="167"/>
      <c r="AA767" s="167"/>
      <c r="AB767" s="167"/>
      <c r="AC767" s="167"/>
      <c r="AD767" s="167"/>
      <c r="AE767" s="167"/>
      <c r="AF767" s="167"/>
      <c r="AG767" s="167"/>
      <c r="AH767" s="167"/>
      <c r="AI767" s="167"/>
      <c r="AJ767" s="167"/>
      <c r="AK767" s="167"/>
      <c r="AL767" s="167"/>
    </row>
    <row r="768" spans="1:38" ht="15.75" customHeight="1">
      <c r="A768" s="167"/>
      <c r="B768" s="167"/>
      <c r="C768" s="167"/>
      <c r="D768" s="167"/>
      <c r="E768" s="167"/>
      <c r="F768" s="167"/>
      <c r="G768" s="167"/>
      <c r="H768" s="167"/>
      <c r="I768" s="167"/>
      <c r="J768" s="167"/>
      <c r="K768" s="167"/>
      <c r="L768" s="167"/>
      <c r="M768" s="167"/>
      <c r="N768" s="167"/>
      <c r="O768" s="167"/>
      <c r="P768" s="167"/>
      <c r="Q768" s="167"/>
      <c r="R768" s="167"/>
      <c r="S768" s="167"/>
      <c r="T768" s="167"/>
      <c r="U768" s="167"/>
      <c r="V768" s="167"/>
      <c r="W768" s="167"/>
      <c r="X768" s="167"/>
      <c r="Y768" s="167"/>
      <c r="Z768" s="167"/>
      <c r="AA768" s="167"/>
      <c r="AB768" s="167"/>
      <c r="AC768" s="167"/>
      <c r="AD768" s="167"/>
      <c r="AE768" s="167"/>
      <c r="AF768" s="167"/>
      <c r="AG768" s="167"/>
      <c r="AH768" s="167"/>
      <c r="AI768" s="167"/>
      <c r="AJ768" s="167"/>
      <c r="AK768" s="167"/>
      <c r="AL768" s="167"/>
    </row>
    <row r="769" spans="1:38" ht="15.75" customHeight="1">
      <c r="A769" s="167"/>
      <c r="B769" s="167"/>
      <c r="C769" s="167"/>
      <c r="D769" s="167"/>
      <c r="E769" s="167"/>
      <c r="F769" s="167"/>
      <c r="G769" s="167"/>
      <c r="H769" s="167"/>
      <c r="I769" s="167"/>
      <c r="J769" s="167"/>
      <c r="K769" s="167"/>
      <c r="L769" s="167"/>
      <c r="M769" s="167"/>
      <c r="N769" s="167"/>
      <c r="O769" s="167"/>
      <c r="P769" s="167"/>
      <c r="Q769" s="167"/>
      <c r="R769" s="167"/>
      <c r="S769" s="167"/>
      <c r="T769" s="167"/>
      <c r="U769" s="167"/>
      <c r="V769" s="167"/>
      <c r="W769" s="167"/>
      <c r="X769" s="167"/>
      <c r="Y769" s="167"/>
      <c r="Z769" s="167"/>
      <c r="AA769" s="167"/>
      <c r="AB769" s="167"/>
      <c r="AC769" s="167"/>
      <c r="AD769" s="167"/>
      <c r="AE769" s="167"/>
      <c r="AF769" s="167"/>
      <c r="AG769" s="167"/>
      <c r="AH769" s="167"/>
      <c r="AI769" s="167"/>
      <c r="AJ769" s="167"/>
      <c r="AK769" s="167"/>
      <c r="AL769" s="167"/>
    </row>
    <row r="770" spans="1:38" ht="15.75" customHeight="1">
      <c r="A770" s="167"/>
      <c r="B770" s="167"/>
      <c r="C770" s="167"/>
      <c r="D770" s="167"/>
      <c r="E770" s="167"/>
      <c r="F770" s="167"/>
      <c r="G770" s="167"/>
      <c r="H770" s="167"/>
      <c r="I770" s="167"/>
      <c r="J770" s="167"/>
      <c r="K770" s="167"/>
      <c r="L770" s="167"/>
      <c r="M770" s="167"/>
      <c r="N770" s="167"/>
      <c r="O770" s="167"/>
      <c r="P770" s="167"/>
      <c r="Q770" s="167"/>
      <c r="R770" s="167"/>
      <c r="S770" s="167"/>
      <c r="T770" s="167"/>
      <c r="U770" s="167"/>
      <c r="V770" s="167"/>
      <c r="W770" s="167"/>
      <c r="X770" s="167"/>
      <c r="Y770" s="167"/>
      <c r="Z770" s="167"/>
      <c r="AA770" s="167"/>
      <c r="AB770" s="167"/>
      <c r="AC770" s="167"/>
      <c r="AD770" s="167"/>
      <c r="AE770" s="167"/>
      <c r="AF770" s="167"/>
      <c r="AG770" s="167"/>
      <c r="AH770" s="167"/>
      <c r="AI770" s="167"/>
      <c r="AJ770" s="167"/>
      <c r="AK770" s="167"/>
      <c r="AL770" s="167"/>
    </row>
    <row r="771" spans="1:38" ht="15.75" customHeight="1">
      <c r="A771" s="167"/>
      <c r="B771" s="167"/>
      <c r="C771" s="167"/>
      <c r="D771" s="167"/>
      <c r="E771" s="167"/>
      <c r="F771" s="167"/>
      <c r="G771" s="167"/>
      <c r="H771" s="167"/>
      <c r="I771" s="167"/>
      <c r="J771" s="167"/>
      <c r="K771" s="167"/>
      <c r="L771" s="167"/>
      <c r="M771" s="167"/>
      <c r="N771" s="167"/>
      <c r="O771" s="167"/>
      <c r="P771" s="167"/>
      <c r="Q771" s="167"/>
      <c r="R771" s="167"/>
      <c r="S771" s="167"/>
      <c r="T771" s="167"/>
      <c r="U771" s="167"/>
      <c r="V771" s="167"/>
      <c r="W771" s="167"/>
      <c r="X771" s="167"/>
      <c r="Y771" s="167"/>
      <c r="Z771" s="167"/>
      <c r="AA771" s="167"/>
      <c r="AB771" s="167"/>
      <c r="AC771" s="167"/>
      <c r="AD771" s="167"/>
      <c r="AE771" s="167"/>
      <c r="AF771" s="167"/>
      <c r="AG771" s="167"/>
      <c r="AH771" s="167"/>
      <c r="AI771" s="167"/>
      <c r="AJ771" s="167"/>
      <c r="AK771" s="167"/>
      <c r="AL771" s="167"/>
    </row>
    <row r="772" spans="1:38" ht="15.75" customHeight="1">
      <c r="A772" s="167"/>
      <c r="B772" s="167"/>
      <c r="C772" s="167"/>
      <c r="D772" s="167"/>
      <c r="E772" s="167"/>
      <c r="F772" s="167"/>
      <c r="G772" s="167"/>
      <c r="H772" s="167"/>
      <c r="I772" s="167"/>
      <c r="J772" s="167"/>
      <c r="K772" s="167"/>
      <c r="L772" s="167"/>
      <c r="M772" s="167"/>
      <c r="N772" s="167"/>
      <c r="O772" s="167"/>
      <c r="P772" s="167"/>
      <c r="Q772" s="167"/>
      <c r="R772" s="167"/>
      <c r="S772" s="167"/>
      <c r="T772" s="167"/>
      <c r="U772" s="167"/>
      <c r="V772" s="167"/>
      <c r="W772" s="167"/>
      <c r="X772" s="167"/>
      <c r="Y772" s="167"/>
      <c r="Z772" s="167"/>
      <c r="AA772" s="167"/>
      <c r="AB772" s="167"/>
      <c r="AC772" s="167"/>
      <c r="AD772" s="167"/>
      <c r="AE772" s="167"/>
      <c r="AF772" s="167"/>
      <c r="AG772" s="167"/>
      <c r="AH772" s="167"/>
      <c r="AI772" s="167"/>
      <c r="AJ772" s="167"/>
      <c r="AK772" s="167"/>
      <c r="AL772" s="167"/>
    </row>
    <row r="773" spans="1:38" ht="15.75" customHeight="1">
      <c r="A773" s="167"/>
      <c r="B773" s="167"/>
      <c r="C773" s="167"/>
      <c r="D773" s="167"/>
      <c r="E773" s="167"/>
      <c r="F773" s="167"/>
      <c r="G773" s="167"/>
      <c r="H773" s="167"/>
      <c r="I773" s="167"/>
      <c r="J773" s="167"/>
      <c r="K773" s="167"/>
      <c r="L773" s="167"/>
      <c r="M773" s="167"/>
      <c r="N773" s="167"/>
      <c r="O773" s="167"/>
      <c r="P773" s="167"/>
      <c r="Q773" s="167"/>
      <c r="R773" s="167"/>
      <c r="S773" s="167"/>
      <c r="T773" s="167"/>
      <c r="U773" s="167"/>
      <c r="V773" s="167"/>
      <c r="W773" s="167"/>
      <c r="X773" s="167"/>
      <c r="Y773" s="167"/>
      <c r="Z773" s="167"/>
      <c r="AA773" s="167"/>
      <c r="AB773" s="167"/>
      <c r="AC773" s="167"/>
      <c r="AD773" s="167"/>
      <c r="AE773" s="167"/>
      <c r="AF773" s="167"/>
      <c r="AG773" s="167"/>
      <c r="AH773" s="167"/>
      <c r="AI773" s="167"/>
      <c r="AJ773" s="167"/>
      <c r="AK773" s="167"/>
      <c r="AL773" s="167"/>
    </row>
    <row r="774" spans="1:38" ht="15.75" customHeight="1">
      <c r="A774" s="167"/>
      <c r="B774" s="167"/>
      <c r="C774" s="167"/>
      <c r="D774" s="167"/>
      <c r="E774" s="167"/>
      <c r="F774" s="167"/>
      <c r="G774" s="167"/>
      <c r="H774" s="167"/>
      <c r="I774" s="167"/>
      <c r="J774" s="167"/>
      <c r="K774" s="167"/>
      <c r="L774" s="167"/>
      <c r="M774" s="167"/>
      <c r="N774" s="167"/>
      <c r="O774" s="167"/>
      <c r="P774" s="167"/>
      <c r="Q774" s="167"/>
      <c r="R774" s="167"/>
      <c r="S774" s="167"/>
      <c r="T774" s="167"/>
      <c r="U774" s="167"/>
      <c r="V774" s="167"/>
      <c r="W774" s="167"/>
      <c r="X774" s="167"/>
      <c r="Y774" s="167"/>
      <c r="Z774" s="167"/>
      <c r="AA774" s="167"/>
      <c r="AB774" s="167"/>
      <c r="AC774" s="167"/>
      <c r="AD774" s="167"/>
      <c r="AE774" s="167"/>
      <c r="AF774" s="167"/>
      <c r="AG774" s="167"/>
      <c r="AH774" s="167"/>
      <c r="AI774" s="167"/>
      <c r="AJ774" s="167"/>
      <c r="AK774" s="167"/>
      <c r="AL774" s="167"/>
    </row>
    <row r="775" spans="1:38" ht="15.75" customHeight="1">
      <c r="A775" s="167"/>
      <c r="B775" s="167"/>
      <c r="C775" s="167"/>
      <c r="D775" s="167"/>
      <c r="E775" s="167"/>
      <c r="F775" s="167"/>
      <c r="G775" s="167"/>
      <c r="H775" s="167"/>
      <c r="I775" s="167"/>
      <c r="J775" s="167"/>
      <c r="K775" s="167"/>
      <c r="L775" s="167"/>
      <c r="M775" s="167"/>
      <c r="N775" s="167"/>
      <c r="O775" s="167"/>
      <c r="P775" s="167"/>
      <c r="Q775" s="167"/>
      <c r="R775" s="167"/>
      <c r="S775" s="167"/>
      <c r="T775" s="167"/>
      <c r="U775" s="167"/>
      <c r="V775" s="167"/>
      <c r="W775" s="167"/>
      <c r="X775" s="167"/>
      <c r="Y775" s="167"/>
      <c r="Z775" s="167"/>
      <c r="AA775" s="167"/>
      <c r="AB775" s="167"/>
      <c r="AC775" s="167"/>
      <c r="AD775" s="167"/>
      <c r="AE775" s="167"/>
      <c r="AF775" s="167"/>
      <c r="AG775" s="167"/>
      <c r="AH775" s="167"/>
      <c r="AI775" s="167"/>
      <c r="AJ775" s="167"/>
      <c r="AK775" s="167"/>
      <c r="AL775" s="167"/>
    </row>
    <row r="776" spans="1:38" ht="15.75" customHeight="1">
      <c r="A776" s="167"/>
      <c r="B776" s="167"/>
      <c r="C776" s="167"/>
      <c r="D776" s="167"/>
      <c r="E776" s="167"/>
      <c r="F776" s="167"/>
      <c r="G776" s="167"/>
      <c r="H776" s="167"/>
      <c r="I776" s="167"/>
      <c r="J776" s="167"/>
      <c r="K776" s="167"/>
      <c r="L776" s="167"/>
      <c r="M776" s="167"/>
      <c r="N776" s="167"/>
      <c r="O776" s="167"/>
      <c r="P776" s="167"/>
      <c r="Q776" s="167"/>
      <c r="R776" s="167"/>
      <c r="S776" s="167"/>
      <c r="T776" s="167"/>
      <c r="U776" s="167"/>
      <c r="V776" s="167"/>
      <c r="W776" s="167"/>
      <c r="X776" s="167"/>
      <c r="Y776" s="167"/>
      <c r="Z776" s="167"/>
      <c r="AA776" s="167"/>
      <c r="AB776" s="167"/>
      <c r="AC776" s="167"/>
      <c r="AD776" s="167"/>
      <c r="AE776" s="167"/>
      <c r="AF776" s="167"/>
      <c r="AG776" s="167"/>
      <c r="AH776" s="167"/>
      <c r="AI776" s="167"/>
      <c r="AJ776" s="167"/>
      <c r="AK776" s="167"/>
      <c r="AL776" s="167"/>
    </row>
    <row r="777" spans="1:38" ht="15.75" customHeight="1">
      <c r="A777" s="167"/>
      <c r="B777" s="167"/>
      <c r="C777" s="167"/>
      <c r="D777" s="167"/>
      <c r="E777" s="167"/>
      <c r="F777" s="167"/>
      <c r="G777" s="167"/>
      <c r="H777" s="167"/>
      <c r="I777" s="167"/>
      <c r="J777" s="167"/>
      <c r="K777" s="167"/>
      <c r="L777" s="167"/>
      <c r="M777" s="167"/>
      <c r="N777" s="167"/>
      <c r="O777" s="167"/>
      <c r="P777" s="167"/>
      <c r="Q777" s="167"/>
      <c r="R777" s="167"/>
      <c r="S777" s="167"/>
      <c r="T777" s="167"/>
      <c r="U777" s="167"/>
      <c r="V777" s="167"/>
      <c r="W777" s="167"/>
      <c r="X777" s="167"/>
      <c r="Y777" s="167"/>
      <c r="Z777" s="167"/>
      <c r="AA777" s="167"/>
      <c r="AB777" s="167"/>
      <c r="AC777" s="167"/>
      <c r="AD777" s="167"/>
      <c r="AE777" s="167"/>
      <c r="AF777" s="167"/>
      <c r="AG777" s="167"/>
      <c r="AH777" s="167"/>
      <c r="AI777" s="167"/>
      <c r="AJ777" s="167"/>
      <c r="AK777" s="167"/>
      <c r="AL777" s="167"/>
    </row>
    <row r="778" spans="1:38" ht="15.75" customHeight="1">
      <c r="A778" s="167"/>
      <c r="B778" s="167"/>
      <c r="C778" s="167"/>
      <c r="D778" s="167"/>
      <c r="E778" s="167"/>
      <c r="F778" s="167"/>
      <c r="G778" s="167"/>
      <c r="H778" s="167"/>
      <c r="I778" s="167"/>
      <c r="J778" s="167"/>
      <c r="K778" s="167"/>
      <c r="L778" s="167"/>
      <c r="M778" s="167"/>
      <c r="N778" s="167"/>
      <c r="O778" s="167"/>
      <c r="P778" s="167"/>
      <c r="Q778" s="167"/>
      <c r="R778" s="167"/>
      <c r="S778" s="167"/>
      <c r="T778" s="167"/>
      <c r="U778" s="167"/>
      <c r="V778" s="167"/>
      <c r="W778" s="167"/>
      <c r="X778" s="167"/>
      <c r="Y778" s="167"/>
      <c r="Z778" s="167"/>
      <c r="AA778" s="167"/>
      <c r="AB778" s="167"/>
      <c r="AC778" s="167"/>
      <c r="AD778" s="167"/>
      <c r="AE778" s="167"/>
      <c r="AF778" s="167"/>
      <c r="AG778" s="167"/>
      <c r="AH778" s="167"/>
      <c r="AI778" s="167"/>
      <c r="AJ778" s="167"/>
      <c r="AK778" s="167"/>
      <c r="AL778" s="167"/>
    </row>
    <row r="779" spans="1:38" ht="15.75" customHeight="1">
      <c r="A779" s="167"/>
      <c r="B779" s="167"/>
      <c r="C779" s="167"/>
      <c r="D779" s="167"/>
      <c r="E779" s="167"/>
      <c r="F779" s="167"/>
      <c r="G779" s="167"/>
      <c r="H779" s="167"/>
      <c r="I779" s="167"/>
      <c r="J779" s="167"/>
      <c r="K779" s="167"/>
      <c r="L779" s="167"/>
      <c r="M779" s="167"/>
      <c r="N779" s="167"/>
      <c r="O779" s="167"/>
      <c r="P779" s="167"/>
      <c r="Q779" s="167"/>
      <c r="R779" s="167"/>
      <c r="S779" s="167"/>
      <c r="T779" s="167"/>
      <c r="U779" s="167"/>
      <c r="V779" s="167"/>
      <c r="W779" s="167"/>
      <c r="X779" s="167"/>
      <c r="Y779" s="167"/>
      <c r="Z779" s="167"/>
      <c r="AA779" s="167"/>
      <c r="AB779" s="167"/>
      <c r="AC779" s="167"/>
      <c r="AD779" s="167"/>
      <c r="AE779" s="167"/>
      <c r="AF779" s="167"/>
      <c r="AG779" s="167"/>
      <c r="AH779" s="167"/>
      <c r="AI779" s="167"/>
      <c r="AJ779" s="167"/>
      <c r="AK779" s="167"/>
      <c r="AL779" s="167"/>
    </row>
    <row r="780" spans="1:38" ht="15.75" customHeight="1">
      <c r="A780" s="167"/>
      <c r="B780" s="167"/>
      <c r="C780" s="167"/>
      <c r="D780" s="167"/>
      <c r="E780" s="167"/>
      <c r="F780" s="167"/>
      <c r="G780" s="167"/>
      <c r="H780" s="167"/>
      <c r="I780" s="167"/>
      <c r="J780" s="167"/>
      <c r="K780" s="167"/>
      <c r="L780" s="167"/>
      <c r="M780" s="167"/>
      <c r="N780" s="167"/>
      <c r="O780" s="167"/>
      <c r="P780" s="167"/>
      <c r="Q780" s="167"/>
      <c r="R780" s="167"/>
      <c r="S780" s="167"/>
      <c r="T780" s="167"/>
      <c r="U780" s="167"/>
      <c r="V780" s="167"/>
      <c r="W780" s="167"/>
      <c r="X780" s="167"/>
      <c r="Y780" s="167"/>
      <c r="Z780" s="167"/>
      <c r="AA780" s="167"/>
      <c r="AB780" s="167"/>
      <c r="AC780" s="167"/>
      <c r="AD780" s="167"/>
      <c r="AE780" s="167"/>
      <c r="AF780" s="167"/>
      <c r="AG780" s="167"/>
      <c r="AH780" s="167"/>
      <c r="AI780" s="167"/>
      <c r="AJ780" s="167"/>
      <c r="AK780" s="167"/>
      <c r="AL780" s="167"/>
    </row>
    <row r="781" spans="1:38" ht="15.75" customHeight="1">
      <c r="A781" s="167"/>
      <c r="B781" s="167"/>
      <c r="C781" s="167"/>
      <c r="D781" s="167"/>
      <c r="E781" s="167"/>
      <c r="F781" s="167"/>
      <c r="G781" s="167"/>
      <c r="H781" s="167"/>
      <c r="I781" s="167"/>
      <c r="J781" s="167"/>
      <c r="K781" s="167"/>
      <c r="L781" s="167"/>
      <c r="M781" s="167"/>
      <c r="N781" s="167"/>
      <c r="O781" s="167"/>
      <c r="P781" s="167"/>
      <c r="Q781" s="167"/>
      <c r="R781" s="167"/>
      <c r="S781" s="167"/>
      <c r="T781" s="167"/>
      <c r="U781" s="167"/>
      <c r="V781" s="167"/>
      <c r="W781" s="167"/>
      <c r="X781" s="167"/>
      <c r="Y781" s="167"/>
      <c r="Z781" s="167"/>
      <c r="AA781" s="167"/>
      <c r="AB781" s="167"/>
      <c r="AC781" s="167"/>
      <c r="AD781" s="167"/>
      <c r="AE781" s="167"/>
      <c r="AF781" s="167"/>
      <c r="AG781" s="167"/>
      <c r="AH781" s="167"/>
      <c r="AI781" s="167"/>
      <c r="AJ781" s="167"/>
      <c r="AK781" s="167"/>
      <c r="AL781" s="167"/>
    </row>
    <row r="782" spans="1:38" ht="15.75" customHeight="1">
      <c r="A782" s="167"/>
      <c r="B782" s="167"/>
      <c r="C782" s="167"/>
      <c r="D782" s="167"/>
      <c r="E782" s="167"/>
      <c r="F782" s="167"/>
      <c r="G782" s="167"/>
      <c r="H782" s="167"/>
      <c r="I782" s="167"/>
      <c r="J782" s="167"/>
      <c r="K782" s="167"/>
      <c r="L782" s="167"/>
      <c r="M782" s="167"/>
      <c r="N782" s="167"/>
      <c r="O782" s="167"/>
      <c r="P782" s="167"/>
      <c r="Q782" s="167"/>
      <c r="R782" s="167"/>
      <c r="S782" s="167"/>
      <c r="T782" s="167"/>
      <c r="U782" s="167"/>
      <c r="V782" s="167"/>
      <c r="W782" s="167"/>
      <c r="X782" s="167"/>
      <c r="Y782" s="167"/>
      <c r="Z782" s="167"/>
      <c r="AA782" s="167"/>
      <c r="AB782" s="167"/>
      <c r="AC782" s="167"/>
      <c r="AD782" s="167"/>
      <c r="AE782" s="167"/>
      <c r="AF782" s="167"/>
      <c r="AG782" s="167"/>
      <c r="AH782" s="167"/>
      <c r="AI782" s="167"/>
      <c r="AJ782" s="167"/>
      <c r="AK782" s="167"/>
      <c r="AL782" s="167"/>
    </row>
    <row r="783" spans="1:38" ht="15.75" customHeight="1">
      <c r="A783" s="167"/>
      <c r="B783" s="167"/>
      <c r="C783" s="167"/>
      <c r="D783" s="167"/>
      <c r="E783" s="167"/>
      <c r="F783" s="167"/>
      <c r="G783" s="167"/>
      <c r="H783" s="167"/>
      <c r="I783" s="167"/>
      <c r="J783" s="167"/>
      <c r="K783" s="167"/>
      <c r="L783" s="167"/>
      <c r="M783" s="167"/>
      <c r="N783" s="167"/>
      <c r="O783" s="167"/>
      <c r="P783" s="167"/>
      <c r="Q783" s="167"/>
      <c r="R783" s="167"/>
      <c r="S783" s="167"/>
      <c r="T783" s="167"/>
      <c r="U783" s="167"/>
      <c r="V783" s="167"/>
      <c r="W783" s="167"/>
      <c r="X783" s="167"/>
      <c r="Y783" s="167"/>
      <c r="Z783" s="167"/>
      <c r="AA783" s="167"/>
      <c r="AB783" s="167"/>
      <c r="AC783" s="167"/>
      <c r="AD783" s="167"/>
      <c r="AE783" s="167"/>
      <c r="AF783" s="167"/>
      <c r="AG783" s="167"/>
      <c r="AH783" s="167"/>
      <c r="AI783" s="167"/>
      <c r="AJ783" s="167"/>
      <c r="AK783" s="167"/>
      <c r="AL783" s="167"/>
    </row>
    <row r="784" spans="1:38" ht="15.75" customHeight="1">
      <c r="A784" s="167"/>
      <c r="B784" s="167"/>
      <c r="C784" s="167"/>
      <c r="D784" s="167"/>
      <c r="E784" s="167"/>
      <c r="F784" s="167"/>
      <c r="G784" s="167"/>
      <c r="H784" s="167"/>
      <c r="I784" s="167"/>
      <c r="J784" s="167"/>
      <c r="K784" s="167"/>
      <c r="L784" s="167"/>
      <c r="M784" s="167"/>
      <c r="N784" s="167"/>
      <c r="O784" s="167"/>
      <c r="P784" s="167"/>
      <c r="Q784" s="167"/>
      <c r="R784" s="167"/>
      <c r="S784" s="167"/>
      <c r="T784" s="167"/>
      <c r="U784" s="167"/>
      <c r="V784" s="167"/>
      <c r="W784" s="167"/>
      <c r="X784" s="167"/>
      <c r="Y784" s="167"/>
      <c r="Z784" s="167"/>
      <c r="AA784" s="167"/>
      <c r="AB784" s="167"/>
      <c r="AC784" s="167"/>
      <c r="AD784" s="167"/>
      <c r="AE784" s="167"/>
      <c r="AF784" s="167"/>
      <c r="AG784" s="167"/>
      <c r="AH784" s="167"/>
      <c r="AI784" s="167"/>
      <c r="AJ784" s="167"/>
      <c r="AK784" s="167"/>
      <c r="AL784" s="167"/>
    </row>
    <row r="785" spans="1:38" ht="15.75" customHeight="1">
      <c r="A785" s="167"/>
      <c r="B785" s="167"/>
      <c r="C785" s="167"/>
      <c r="D785" s="167"/>
      <c r="E785" s="167"/>
      <c r="F785" s="167"/>
      <c r="G785" s="167"/>
      <c r="H785" s="167"/>
      <c r="I785" s="167"/>
      <c r="J785" s="167"/>
      <c r="K785" s="167"/>
      <c r="L785" s="167"/>
      <c r="M785" s="167"/>
      <c r="N785" s="167"/>
      <c r="O785" s="167"/>
      <c r="P785" s="167"/>
      <c r="Q785" s="167"/>
      <c r="R785" s="167"/>
      <c r="S785" s="167"/>
      <c r="T785" s="167"/>
      <c r="U785" s="167"/>
      <c r="V785" s="167"/>
      <c r="W785" s="167"/>
      <c r="X785" s="167"/>
      <c r="Y785" s="167"/>
      <c r="Z785" s="167"/>
      <c r="AA785" s="167"/>
      <c r="AB785" s="167"/>
      <c r="AC785" s="167"/>
      <c r="AD785" s="167"/>
      <c r="AE785" s="167"/>
      <c r="AF785" s="167"/>
      <c r="AG785" s="167"/>
      <c r="AH785" s="167"/>
      <c r="AI785" s="167"/>
      <c r="AJ785" s="167"/>
      <c r="AK785" s="167"/>
      <c r="AL785" s="167"/>
    </row>
    <row r="786" spans="1:38" ht="15.75" customHeight="1">
      <c r="A786" s="167"/>
      <c r="B786" s="167"/>
      <c r="C786" s="167"/>
      <c r="D786" s="167"/>
      <c r="E786" s="167"/>
      <c r="F786" s="167"/>
      <c r="G786" s="167"/>
      <c r="H786" s="167"/>
      <c r="I786" s="167"/>
      <c r="J786" s="167"/>
      <c r="K786" s="167"/>
      <c r="L786" s="167"/>
      <c r="M786" s="167"/>
      <c r="N786" s="167"/>
      <c r="O786" s="167"/>
      <c r="P786" s="167"/>
      <c r="Q786" s="167"/>
      <c r="R786" s="167"/>
      <c r="S786" s="167"/>
      <c r="T786" s="167"/>
      <c r="U786" s="167"/>
      <c r="V786" s="167"/>
      <c r="W786" s="167"/>
      <c r="X786" s="167"/>
      <c r="Y786" s="167"/>
      <c r="Z786" s="167"/>
      <c r="AA786" s="167"/>
      <c r="AB786" s="167"/>
      <c r="AC786" s="167"/>
      <c r="AD786" s="167"/>
      <c r="AE786" s="167"/>
      <c r="AF786" s="167"/>
      <c r="AG786" s="167"/>
      <c r="AH786" s="167"/>
      <c r="AI786" s="167"/>
      <c r="AJ786" s="167"/>
      <c r="AK786" s="167"/>
      <c r="AL786" s="167"/>
    </row>
    <row r="787" spans="1:38" ht="15.75" customHeight="1">
      <c r="A787" s="167"/>
      <c r="B787" s="167"/>
      <c r="C787" s="167"/>
      <c r="D787" s="167"/>
      <c r="E787" s="167"/>
      <c r="F787" s="167"/>
      <c r="G787" s="167"/>
      <c r="H787" s="167"/>
      <c r="I787" s="167"/>
      <c r="J787" s="167"/>
      <c r="K787" s="167"/>
      <c r="L787" s="167"/>
      <c r="M787" s="167"/>
      <c r="N787" s="167"/>
      <c r="O787" s="167"/>
      <c r="P787" s="167"/>
      <c r="Q787" s="167"/>
      <c r="R787" s="167"/>
      <c r="S787" s="167"/>
      <c r="T787" s="167"/>
      <c r="U787" s="167"/>
      <c r="V787" s="167"/>
      <c r="W787" s="167"/>
      <c r="X787" s="167"/>
      <c r="Y787" s="167"/>
      <c r="Z787" s="167"/>
      <c r="AA787" s="167"/>
      <c r="AB787" s="167"/>
      <c r="AC787" s="167"/>
      <c r="AD787" s="167"/>
      <c r="AE787" s="167"/>
      <c r="AF787" s="167"/>
      <c r="AG787" s="167"/>
      <c r="AH787" s="167"/>
      <c r="AI787" s="167"/>
      <c r="AJ787" s="167"/>
      <c r="AK787" s="167"/>
      <c r="AL787" s="167"/>
    </row>
    <row r="788" spans="1:38" ht="15.75" customHeight="1">
      <c r="A788" s="167"/>
      <c r="B788" s="167"/>
      <c r="C788" s="167"/>
      <c r="D788" s="167"/>
      <c r="E788" s="167"/>
      <c r="F788" s="167"/>
      <c r="G788" s="167"/>
      <c r="H788" s="167"/>
      <c r="I788" s="167"/>
      <c r="J788" s="167"/>
      <c r="K788" s="167"/>
      <c r="L788" s="167"/>
      <c r="M788" s="167"/>
      <c r="N788" s="167"/>
      <c r="O788" s="167"/>
      <c r="P788" s="167"/>
      <c r="Q788" s="167"/>
      <c r="R788" s="167"/>
      <c r="S788" s="167"/>
      <c r="T788" s="167"/>
      <c r="U788" s="167"/>
      <c r="V788" s="167"/>
      <c r="W788" s="167"/>
      <c r="X788" s="167"/>
      <c r="Y788" s="167"/>
      <c r="Z788" s="167"/>
      <c r="AA788" s="167"/>
      <c r="AB788" s="167"/>
      <c r="AC788" s="167"/>
      <c r="AD788" s="167"/>
      <c r="AE788" s="167"/>
      <c r="AF788" s="167"/>
      <c r="AG788" s="167"/>
      <c r="AH788" s="167"/>
      <c r="AI788" s="167"/>
      <c r="AJ788" s="167"/>
      <c r="AK788" s="167"/>
      <c r="AL788" s="167"/>
    </row>
    <row r="789" spans="1:38" ht="15.75" customHeight="1">
      <c r="A789" s="167"/>
      <c r="B789" s="167"/>
      <c r="C789" s="167"/>
      <c r="D789" s="167"/>
      <c r="E789" s="167"/>
      <c r="F789" s="167"/>
      <c r="G789" s="167"/>
      <c r="H789" s="167"/>
      <c r="I789" s="167"/>
      <c r="J789" s="167"/>
      <c r="K789" s="167"/>
      <c r="L789" s="167"/>
      <c r="M789" s="167"/>
      <c r="N789" s="167"/>
      <c r="O789" s="167"/>
      <c r="P789" s="167"/>
      <c r="Q789" s="167"/>
      <c r="R789" s="167"/>
      <c r="S789" s="167"/>
      <c r="T789" s="167"/>
      <c r="U789" s="167"/>
      <c r="V789" s="167"/>
      <c r="W789" s="167"/>
      <c r="X789" s="167"/>
      <c r="Y789" s="167"/>
      <c r="Z789" s="167"/>
      <c r="AA789" s="167"/>
      <c r="AB789" s="167"/>
      <c r="AC789" s="167"/>
      <c r="AD789" s="167"/>
      <c r="AE789" s="167"/>
      <c r="AF789" s="167"/>
      <c r="AG789" s="167"/>
      <c r="AH789" s="167"/>
      <c r="AI789" s="167"/>
      <c r="AJ789" s="167"/>
      <c r="AK789" s="167"/>
      <c r="AL789" s="167"/>
    </row>
    <row r="790" spans="1:38" ht="15.75" customHeight="1">
      <c r="A790" s="167"/>
      <c r="B790" s="167"/>
      <c r="C790" s="167"/>
      <c r="D790" s="167"/>
      <c r="E790" s="167"/>
      <c r="F790" s="167"/>
      <c r="G790" s="167"/>
      <c r="H790" s="167"/>
      <c r="I790" s="167"/>
      <c r="J790" s="167"/>
      <c r="K790" s="167"/>
      <c r="L790" s="167"/>
      <c r="M790" s="167"/>
      <c r="N790" s="167"/>
      <c r="O790" s="167"/>
      <c r="P790" s="167"/>
      <c r="Q790" s="167"/>
      <c r="R790" s="167"/>
      <c r="S790" s="167"/>
      <c r="T790" s="167"/>
      <c r="U790" s="167"/>
      <c r="V790" s="167"/>
      <c r="W790" s="167"/>
      <c r="X790" s="167"/>
      <c r="Y790" s="167"/>
      <c r="Z790" s="167"/>
      <c r="AA790" s="167"/>
      <c r="AB790" s="167"/>
      <c r="AC790" s="167"/>
      <c r="AD790" s="167"/>
      <c r="AE790" s="167"/>
      <c r="AF790" s="167"/>
      <c r="AG790" s="167"/>
      <c r="AH790" s="167"/>
      <c r="AI790" s="167"/>
      <c r="AJ790" s="167"/>
      <c r="AK790" s="167"/>
      <c r="AL790" s="167"/>
    </row>
    <row r="791" spans="1:38" ht="15.75" customHeight="1">
      <c r="A791" s="167"/>
      <c r="B791" s="167"/>
      <c r="C791" s="167"/>
      <c r="D791" s="167"/>
      <c r="E791" s="167"/>
      <c r="F791" s="167"/>
      <c r="G791" s="167"/>
      <c r="H791" s="167"/>
      <c r="I791" s="167"/>
      <c r="J791" s="167"/>
      <c r="K791" s="167"/>
      <c r="L791" s="167"/>
      <c r="M791" s="167"/>
      <c r="N791" s="167"/>
      <c r="O791" s="167"/>
      <c r="P791" s="167"/>
      <c r="Q791" s="167"/>
      <c r="R791" s="167"/>
      <c r="S791" s="167"/>
      <c r="T791" s="167"/>
      <c r="U791" s="167"/>
      <c r="V791" s="167"/>
      <c r="W791" s="167"/>
      <c r="X791" s="167"/>
      <c r="Y791" s="167"/>
      <c r="Z791" s="167"/>
      <c r="AA791" s="167"/>
      <c r="AB791" s="167"/>
      <c r="AC791" s="167"/>
      <c r="AD791" s="167"/>
      <c r="AE791" s="167"/>
      <c r="AF791" s="167"/>
      <c r="AG791" s="167"/>
      <c r="AH791" s="167"/>
      <c r="AI791" s="167"/>
      <c r="AJ791" s="167"/>
      <c r="AK791" s="167"/>
      <c r="AL791" s="167"/>
    </row>
    <row r="792" spans="1:38" ht="15.75" customHeight="1">
      <c r="A792" s="167"/>
      <c r="B792" s="167"/>
      <c r="C792" s="167"/>
      <c r="D792" s="167"/>
      <c r="E792" s="167"/>
      <c r="F792" s="167"/>
      <c r="G792" s="167"/>
      <c r="H792" s="167"/>
      <c r="I792" s="167"/>
      <c r="J792" s="167"/>
      <c r="K792" s="167"/>
      <c r="L792" s="167"/>
      <c r="M792" s="167"/>
      <c r="N792" s="167"/>
      <c r="O792" s="167"/>
      <c r="P792" s="167"/>
      <c r="Q792" s="167"/>
      <c r="R792" s="167"/>
      <c r="S792" s="167"/>
      <c r="T792" s="167"/>
      <c r="U792" s="167"/>
      <c r="V792" s="167"/>
      <c r="W792" s="167"/>
      <c r="X792" s="167"/>
      <c r="Y792" s="167"/>
      <c r="Z792" s="167"/>
      <c r="AA792" s="167"/>
      <c r="AB792" s="167"/>
      <c r="AC792" s="167"/>
      <c r="AD792" s="167"/>
      <c r="AE792" s="167"/>
      <c r="AF792" s="167"/>
      <c r="AG792" s="167"/>
      <c r="AH792" s="167"/>
      <c r="AI792" s="167"/>
      <c r="AJ792" s="167"/>
      <c r="AK792" s="167"/>
      <c r="AL792" s="167"/>
    </row>
    <row r="793" spans="1:38" ht="15.75" customHeight="1">
      <c r="A793" s="167"/>
      <c r="B793" s="167"/>
      <c r="C793" s="167"/>
      <c r="D793" s="167"/>
      <c r="E793" s="167"/>
      <c r="F793" s="167"/>
      <c r="G793" s="167"/>
      <c r="H793" s="167"/>
      <c r="I793" s="167"/>
      <c r="J793" s="167"/>
      <c r="K793" s="167"/>
      <c r="L793" s="167"/>
      <c r="M793" s="167"/>
      <c r="N793" s="167"/>
      <c r="O793" s="167"/>
      <c r="P793" s="167"/>
      <c r="Q793" s="167"/>
      <c r="R793" s="167"/>
      <c r="S793" s="167"/>
      <c r="T793" s="167"/>
      <c r="U793" s="167"/>
      <c r="V793" s="167"/>
      <c r="W793" s="167"/>
      <c r="X793" s="167"/>
      <c r="Y793" s="167"/>
      <c r="Z793" s="167"/>
      <c r="AA793" s="167"/>
      <c r="AB793" s="167"/>
      <c r="AC793" s="167"/>
      <c r="AD793" s="167"/>
      <c r="AE793" s="167"/>
      <c r="AF793" s="167"/>
      <c r="AG793" s="167"/>
      <c r="AH793" s="167"/>
      <c r="AI793" s="167"/>
      <c r="AJ793" s="167"/>
      <c r="AK793" s="167"/>
      <c r="AL793" s="167"/>
    </row>
    <row r="794" spans="1:38" ht="15.75" customHeight="1">
      <c r="A794" s="167"/>
      <c r="B794" s="167"/>
      <c r="C794" s="167"/>
      <c r="D794" s="167"/>
      <c r="E794" s="167"/>
      <c r="F794" s="167"/>
      <c r="G794" s="167"/>
      <c r="H794" s="167"/>
      <c r="I794" s="167"/>
      <c r="J794" s="167"/>
      <c r="K794" s="167"/>
      <c r="L794" s="167"/>
      <c r="M794" s="167"/>
      <c r="N794" s="167"/>
      <c r="O794" s="167"/>
      <c r="P794" s="167"/>
      <c r="Q794" s="167"/>
      <c r="R794" s="167"/>
      <c r="S794" s="167"/>
      <c r="T794" s="167"/>
      <c r="U794" s="167"/>
      <c r="V794" s="167"/>
      <c r="W794" s="167"/>
      <c r="X794" s="167"/>
      <c r="Y794" s="167"/>
      <c r="Z794" s="167"/>
      <c r="AA794" s="167"/>
      <c r="AB794" s="167"/>
      <c r="AC794" s="167"/>
      <c r="AD794" s="167"/>
      <c r="AE794" s="167"/>
      <c r="AF794" s="167"/>
      <c r="AG794" s="167"/>
      <c r="AH794" s="167"/>
      <c r="AI794" s="167"/>
      <c r="AJ794" s="167"/>
      <c r="AK794" s="167"/>
      <c r="AL794" s="167"/>
    </row>
    <row r="795" spans="1:38" ht="15.75" customHeight="1">
      <c r="A795" s="167"/>
      <c r="B795" s="167"/>
      <c r="C795" s="167"/>
      <c r="D795" s="167"/>
      <c r="E795" s="167"/>
      <c r="F795" s="167"/>
      <c r="G795" s="167"/>
      <c r="H795" s="167"/>
      <c r="I795" s="167"/>
      <c r="J795" s="167"/>
      <c r="K795" s="167"/>
      <c r="L795" s="167"/>
      <c r="M795" s="167"/>
      <c r="N795" s="167"/>
      <c r="O795" s="167"/>
      <c r="P795" s="167"/>
      <c r="Q795" s="167"/>
      <c r="R795" s="167"/>
      <c r="S795" s="167"/>
      <c r="T795" s="167"/>
      <c r="U795" s="167"/>
      <c r="V795" s="167"/>
      <c r="W795" s="167"/>
      <c r="X795" s="167"/>
      <c r="Y795" s="167"/>
      <c r="Z795" s="167"/>
      <c r="AA795" s="167"/>
      <c r="AB795" s="167"/>
      <c r="AC795" s="167"/>
      <c r="AD795" s="167"/>
      <c r="AE795" s="167"/>
      <c r="AF795" s="167"/>
      <c r="AG795" s="167"/>
      <c r="AH795" s="167"/>
      <c r="AI795" s="167"/>
      <c r="AJ795" s="167"/>
      <c r="AK795" s="167"/>
      <c r="AL795" s="167"/>
    </row>
    <row r="796" spans="1:38" ht="15.75" customHeight="1">
      <c r="A796" s="167"/>
      <c r="B796" s="167"/>
      <c r="C796" s="167"/>
      <c r="D796" s="167"/>
      <c r="E796" s="167"/>
      <c r="F796" s="167"/>
      <c r="G796" s="167"/>
      <c r="H796" s="167"/>
      <c r="I796" s="167"/>
      <c r="J796" s="167"/>
      <c r="K796" s="167"/>
      <c r="L796" s="167"/>
      <c r="M796" s="167"/>
      <c r="N796" s="167"/>
      <c r="O796" s="167"/>
      <c r="P796" s="167"/>
      <c r="Q796" s="167"/>
      <c r="R796" s="167"/>
      <c r="S796" s="167"/>
      <c r="T796" s="167"/>
      <c r="U796" s="167"/>
      <c r="V796" s="167"/>
      <c r="W796" s="167"/>
      <c r="X796" s="167"/>
      <c r="Y796" s="167"/>
      <c r="Z796" s="167"/>
      <c r="AA796" s="167"/>
      <c r="AB796" s="167"/>
      <c r="AC796" s="167"/>
      <c r="AD796" s="167"/>
      <c r="AE796" s="167"/>
      <c r="AF796" s="167"/>
      <c r="AG796" s="167"/>
      <c r="AH796" s="167"/>
      <c r="AI796" s="167"/>
      <c r="AJ796" s="167"/>
      <c r="AK796" s="167"/>
      <c r="AL796" s="167"/>
    </row>
    <row r="797" spans="1:38" ht="15.75" customHeight="1">
      <c r="A797" s="167"/>
      <c r="B797" s="167"/>
      <c r="C797" s="167"/>
      <c r="D797" s="167"/>
      <c r="E797" s="167"/>
      <c r="F797" s="167"/>
      <c r="G797" s="167"/>
      <c r="H797" s="167"/>
      <c r="I797" s="167"/>
      <c r="J797" s="167"/>
      <c r="K797" s="167"/>
      <c r="L797" s="167"/>
      <c r="M797" s="167"/>
      <c r="N797" s="167"/>
      <c r="O797" s="167"/>
      <c r="P797" s="167"/>
      <c r="Q797" s="167"/>
      <c r="R797" s="167"/>
      <c r="S797" s="167"/>
      <c r="T797" s="167"/>
      <c r="U797" s="167"/>
      <c r="V797" s="167"/>
      <c r="W797" s="167"/>
      <c r="X797" s="167"/>
      <c r="Y797" s="167"/>
      <c r="Z797" s="167"/>
      <c r="AA797" s="167"/>
      <c r="AB797" s="167"/>
      <c r="AC797" s="167"/>
      <c r="AD797" s="167"/>
      <c r="AE797" s="167"/>
      <c r="AF797" s="167"/>
      <c r="AG797" s="167"/>
      <c r="AH797" s="167"/>
      <c r="AI797" s="167"/>
      <c r="AJ797" s="167"/>
      <c r="AK797" s="167"/>
      <c r="AL797" s="167"/>
    </row>
    <row r="798" spans="1:38" ht="15.75" customHeight="1">
      <c r="A798" s="167"/>
      <c r="B798" s="167"/>
      <c r="C798" s="167"/>
      <c r="D798" s="167"/>
      <c r="E798" s="167"/>
      <c r="F798" s="167"/>
      <c r="G798" s="167"/>
      <c r="H798" s="167"/>
      <c r="I798" s="167"/>
      <c r="J798" s="167"/>
      <c r="K798" s="167"/>
      <c r="L798" s="167"/>
      <c r="M798" s="167"/>
      <c r="N798" s="167"/>
      <c r="O798" s="167"/>
      <c r="P798" s="167"/>
      <c r="Q798" s="167"/>
      <c r="R798" s="167"/>
      <c r="S798" s="167"/>
      <c r="T798" s="167"/>
      <c r="U798" s="167"/>
      <c r="V798" s="167"/>
      <c r="W798" s="167"/>
      <c r="X798" s="167"/>
      <c r="Y798" s="167"/>
      <c r="Z798" s="167"/>
      <c r="AA798" s="167"/>
      <c r="AB798" s="167"/>
      <c r="AC798" s="167"/>
      <c r="AD798" s="167"/>
      <c r="AE798" s="167"/>
      <c r="AF798" s="167"/>
      <c r="AG798" s="167"/>
      <c r="AH798" s="167"/>
      <c r="AI798" s="167"/>
      <c r="AJ798" s="167"/>
      <c r="AK798" s="167"/>
      <c r="AL798" s="167"/>
    </row>
    <row r="799" spans="1:38" ht="15.75" customHeight="1">
      <c r="A799" s="167"/>
      <c r="B799" s="167"/>
      <c r="C799" s="167"/>
      <c r="D799" s="167"/>
      <c r="E799" s="167"/>
      <c r="F799" s="167"/>
      <c r="G799" s="167"/>
      <c r="H799" s="167"/>
      <c r="I799" s="167"/>
      <c r="J799" s="167"/>
      <c r="K799" s="167"/>
      <c r="L799" s="167"/>
      <c r="M799" s="167"/>
      <c r="N799" s="167"/>
      <c r="O799" s="167"/>
      <c r="P799" s="167"/>
      <c r="Q799" s="167"/>
      <c r="R799" s="167"/>
      <c r="S799" s="167"/>
      <c r="T799" s="167"/>
      <c r="U799" s="167"/>
      <c r="V799" s="167"/>
      <c r="W799" s="167"/>
      <c r="X799" s="167"/>
      <c r="Y799" s="167"/>
      <c r="Z799" s="167"/>
      <c r="AA799" s="167"/>
      <c r="AB799" s="167"/>
      <c r="AC799" s="167"/>
      <c r="AD799" s="167"/>
      <c r="AE799" s="167"/>
      <c r="AF799" s="167"/>
      <c r="AG799" s="167"/>
      <c r="AH799" s="167"/>
      <c r="AI799" s="167"/>
      <c r="AJ799" s="167"/>
      <c r="AK799" s="167"/>
      <c r="AL799" s="167"/>
    </row>
    <row r="800" spans="1:38" ht="15.75" customHeight="1">
      <c r="A800" s="167"/>
      <c r="B800" s="167"/>
      <c r="C800" s="167"/>
      <c r="D800" s="167"/>
      <c r="E800" s="167"/>
      <c r="F800" s="167"/>
      <c r="G800" s="167"/>
      <c r="H800" s="167"/>
      <c r="I800" s="167"/>
      <c r="J800" s="167"/>
      <c r="K800" s="167"/>
      <c r="L800" s="167"/>
      <c r="M800" s="167"/>
      <c r="N800" s="167"/>
      <c r="O800" s="167"/>
      <c r="P800" s="167"/>
      <c r="Q800" s="167"/>
      <c r="R800" s="167"/>
      <c r="S800" s="167"/>
      <c r="T800" s="167"/>
      <c r="U800" s="167"/>
      <c r="V800" s="167"/>
      <c r="W800" s="167"/>
      <c r="X800" s="167"/>
      <c r="Y800" s="167"/>
      <c r="Z800" s="167"/>
      <c r="AA800" s="167"/>
      <c r="AB800" s="167"/>
      <c r="AC800" s="167"/>
      <c r="AD800" s="167"/>
      <c r="AE800" s="167"/>
      <c r="AF800" s="167"/>
      <c r="AG800" s="167"/>
      <c r="AH800" s="167"/>
      <c r="AI800" s="167"/>
      <c r="AJ800" s="167"/>
      <c r="AK800" s="167"/>
      <c r="AL800" s="167"/>
    </row>
    <row r="801" spans="1:38" ht="15.75" customHeight="1">
      <c r="A801" s="167"/>
      <c r="B801" s="167"/>
      <c r="C801" s="167"/>
      <c r="D801" s="167"/>
      <c r="E801" s="167"/>
      <c r="F801" s="167"/>
      <c r="G801" s="167"/>
      <c r="H801" s="167"/>
      <c r="I801" s="167"/>
      <c r="J801" s="167"/>
      <c r="K801" s="167"/>
      <c r="L801" s="167"/>
      <c r="M801" s="167"/>
      <c r="N801" s="167"/>
      <c r="O801" s="167"/>
      <c r="P801" s="167"/>
      <c r="Q801" s="167"/>
      <c r="R801" s="167"/>
      <c r="S801" s="167"/>
      <c r="T801" s="167"/>
      <c r="U801" s="167"/>
      <c r="V801" s="167"/>
      <c r="W801" s="167"/>
      <c r="X801" s="167"/>
      <c r="Y801" s="167"/>
      <c r="Z801" s="167"/>
      <c r="AA801" s="167"/>
      <c r="AB801" s="167"/>
      <c r="AC801" s="167"/>
      <c r="AD801" s="167"/>
      <c r="AE801" s="167"/>
      <c r="AF801" s="167"/>
      <c r="AG801" s="167"/>
      <c r="AH801" s="167"/>
      <c r="AI801" s="167"/>
      <c r="AJ801" s="167"/>
      <c r="AK801" s="167"/>
      <c r="AL801" s="167"/>
    </row>
    <row r="802" spans="1:38" ht="15.75" customHeight="1">
      <c r="A802" s="167"/>
      <c r="B802" s="167"/>
      <c r="C802" s="167"/>
      <c r="D802" s="167"/>
      <c r="E802" s="167"/>
      <c r="F802" s="167"/>
      <c r="G802" s="167"/>
      <c r="H802" s="167"/>
      <c r="I802" s="167"/>
      <c r="J802" s="167"/>
      <c r="K802" s="167"/>
      <c r="L802" s="167"/>
      <c r="M802" s="167"/>
      <c r="N802" s="167"/>
      <c r="O802" s="167"/>
      <c r="P802" s="167"/>
      <c r="Q802" s="167"/>
      <c r="R802" s="167"/>
      <c r="S802" s="167"/>
      <c r="T802" s="167"/>
      <c r="U802" s="167"/>
      <c r="V802" s="167"/>
      <c r="W802" s="167"/>
      <c r="X802" s="167"/>
      <c r="Y802" s="167"/>
      <c r="Z802" s="167"/>
      <c r="AA802" s="167"/>
      <c r="AB802" s="167"/>
      <c r="AC802" s="167"/>
      <c r="AD802" s="167"/>
      <c r="AE802" s="167"/>
      <c r="AF802" s="167"/>
      <c r="AG802" s="167"/>
      <c r="AH802" s="167"/>
      <c r="AI802" s="167"/>
      <c r="AJ802" s="167"/>
      <c r="AK802" s="167"/>
      <c r="AL802" s="167"/>
    </row>
    <row r="803" spans="1:38" ht="15.75" customHeight="1">
      <c r="A803" s="167"/>
      <c r="B803" s="167"/>
      <c r="C803" s="167"/>
      <c r="D803" s="167"/>
      <c r="E803" s="167"/>
      <c r="F803" s="167"/>
      <c r="G803" s="167"/>
      <c r="H803" s="167"/>
      <c r="I803" s="167"/>
      <c r="J803" s="167"/>
      <c r="K803" s="167"/>
      <c r="L803" s="167"/>
      <c r="M803" s="167"/>
      <c r="N803" s="167"/>
      <c r="O803" s="167"/>
      <c r="P803" s="167"/>
      <c r="Q803" s="167"/>
      <c r="R803" s="167"/>
      <c r="S803" s="167"/>
      <c r="T803" s="167"/>
      <c r="U803" s="167"/>
      <c r="V803" s="167"/>
      <c r="W803" s="167"/>
      <c r="X803" s="167"/>
      <c r="Y803" s="167"/>
      <c r="Z803" s="167"/>
      <c r="AA803" s="167"/>
      <c r="AB803" s="167"/>
      <c r="AC803" s="167"/>
      <c r="AD803" s="167"/>
      <c r="AE803" s="167"/>
      <c r="AF803" s="167"/>
      <c r="AG803" s="167"/>
      <c r="AH803" s="167"/>
      <c r="AI803" s="167"/>
      <c r="AJ803" s="167"/>
      <c r="AK803" s="167"/>
      <c r="AL803" s="167"/>
    </row>
    <row r="804" spans="1:38" ht="15.75" customHeight="1">
      <c r="A804" s="167"/>
      <c r="B804" s="167"/>
      <c r="C804" s="167"/>
      <c r="D804" s="167"/>
      <c r="E804" s="167"/>
      <c r="F804" s="167"/>
      <c r="G804" s="167"/>
      <c r="H804" s="167"/>
      <c r="I804" s="167"/>
      <c r="J804" s="167"/>
      <c r="K804" s="167"/>
      <c r="L804" s="167"/>
      <c r="M804" s="167"/>
      <c r="N804" s="167"/>
      <c r="O804" s="167"/>
      <c r="P804" s="167"/>
      <c r="Q804" s="167"/>
      <c r="R804" s="167"/>
      <c r="S804" s="167"/>
      <c r="T804" s="167"/>
      <c r="U804" s="167"/>
      <c r="V804" s="167"/>
      <c r="W804" s="167"/>
      <c r="X804" s="167"/>
      <c r="Y804" s="167"/>
      <c r="Z804" s="167"/>
      <c r="AA804" s="167"/>
      <c r="AB804" s="167"/>
      <c r="AC804" s="167"/>
      <c r="AD804" s="167"/>
      <c r="AE804" s="167"/>
      <c r="AF804" s="167"/>
      <c r="AG804" s="167"/>
      <c r="AH804" s="167"/>
      <c r="AI804" s="167"/>
      <c r="AJ804" s="167"/>
      <c r="AK804" s="167"/>
      <c r="AL804" s="167"/>
    </row>
    <row r="805" spans="1:38" ht="15.75" customHeight="1">
      <c r="A805" s="167"/>
      <c r="B805" s="167"/>
      <c r="C805" s="167"/>
      <c r="D805" s="167"/>
      <c r="E805" s="167"/>
      <c r="F805" s="167"/>
      <c r="G805" s="167"/>
      <c r="H805" s="167"/>
      <c r="I805" s="167"/>
      <c r="J805" s="167"/>
      <c r="K805" s="167"/>
      <c r="L805" s="167"/>
      <c r="M805" s="167"/>
      <c r="N805" s="167"/>
      <c r="O805" s="167"/>
      <c r="P805" s="167"/>
      <c r="Q805" s="167"/>
      <c r="R805" s="167"/>
      <c r="S805" s="167"/>
      <c r="T805" s="167"/>
      <c r="U805" s="167"/>
      <c r="V805" s="167"/>
      <c r="W805" s="167"/>
      <c r="X805" s="167"/>
      <c r="Y805" s="167"/>
      <c r="Z805" s="167"/>
      <c r="AA805" s="167"/>
      <c r="AB805" s="167"/>
      <c r="AC805" s="167"/>
      <c r="AD805" s="167"/>
      <c r="AE805" s="167"/>
      <c r="AF805" s="167"/>
      <c r="AG805" s="167"/>
      <c r="AH805" s="167"/>
      <c r="AI805" s="167"/>
      <c r="AJ805" s="167"/>
      <c r="AK805" s="167"/>
      <c r="AL805" s="167"/>
    </row>
    <row r="806" spans="1:38" ht="15.75" customHeight="1">
      <c r="A806" s="167"/>
      <c r="B806" s="167"/>
      <c r="C806" s="167"/>
      <c r="D806" s="167"/>
      <c r="E806" s="167"/>
      <c r="F806" s="167"/>
      <c r="G806" s="167"/>
      <c r="H806" s="167"/>
      <c r="I806" s="167"/>
      <c r="J806" s="167"/>
      <c r="K806" s="167"/>
      <c r="L806" s="167"/>
      <c r="M806" s="167"/>
      <c r="N806" s="167"/>
      <c r="O806" s="167"/>
      <c r="P806" s="167"/>
      <c r="Q806" s="167"/>
      <c r="R806" s="167"/>
      <c r="S806" s="167"/>
      <c r="T806" s="167"/>
      <c r="U806" s="167"/>
      <c r="V806" s="167"/>
      <c r="W806" s="167"/>
      <c r="X806" s="167"/>
      <c r="Y806" s="167"/>
      <c r="Z806" s="167"/>
      <c r="AA806" s="167"/>
      <c r="AB806" s="167"/>
      <c r="AC806" s="167"/>
      <c r="AD806" s="167"/>
      <c r="AE806" s="167"/>
      <c r="AF806" s="167"/>
      <c r="AG806" s="167"/>
      <c r="AH806" s="167"/>
      <c r="AI806" s="167"/>
      <c r="AJ806" s="167"/>
      <c r="AK806" s="167"/>
      <c r="AL806" s="167"/>
    </row>
    <row r="807" spans="1:38" ht="15.75" customHeight="1">
      <c r="A807" s="167"/>
      <c r="B807" s="167"/>
      <c r="C807" s="167"/>
      <c r="D807" s="167"/>
      <c r="E807" s="167"/>
      <c r="F807" s="167"/>
      <c r="G807" s="167"/>
      <c r="H807" s="167"/>
      <c r="I807" s="167"/>
      <c r="J807" s="167"/>
      <c r="K807" s="167"/>
      <c r="L807" s="167"/>
      <c r="M807" s="167"/>
      <c r="N807" s="167"/>
      <c r="O807" s="167"/>
      <c r="P807" s="167"/>
      <c r="Q807" s="167"/>
      <c r="R807" s="167"/>
      <c r="S807" s="167"/>
      <c r="T807" s="167"/>
      <c r="U807" s="167"/>
      <c r="V807" s="167"/>
      <c r="W807" s="167"/>
      <c r="X807" s="167"/>
      <c r="Y807" s="167"/>
      <c r="Z807" s="167"/>
      <c r="AA807" s="167"/>
      <c r="AB807" s="167"/>
      <c r="AC807" s="167"/>
      <c r="AD807" s="167"/>
      <c r="AE807" s="167"/>
      <c r="AF807" s="167"/>
      <c r="AG807" s="167"/>
      <c r="AH807" s="167"/>
      <c r="AI807" s="167"/>
      <c r="AJ807" s="167"/>
      <c r="AK807" s="167"/>
      <c r="AL807" s="167"/>
    </row>
    <row r="808" spans="1:38" ht="15.75" customHeight="1">
      <c r="A808" s="167"/>
      <c r="B808" s="167"/>
      <c r="C808" s="167"/>
      <c r="D808" s="167"/>
      <c r="E808" s="167"/>
      <c r="F808" s="167"/>
      <c r="G808" s="167"/>
      <c r="H808" s="167"/>
      <c r="I808" s="167"/>
      <c r="J808" s="167"/>
      <c r="K808" s="167"/>
      <c r="L808" s="167"/>
      <c r="M808" s="167"/>
      <c r="N808" s="167"/>
      <c r="O808" s="167"/>
      <c r="P808" s="167"/>
      <c r="Q808" s="167"/>
      <c r="R808" s="167"/>
      <c r="S808" s="167"/>
      <c r="T808" s="167"/>
      <c r="U808" s="167"/>
      <c r="V808" s="167"/>
      <c r="W808" s="167"/>
      <c r="X808" s="167"/>
      <c r="Y808" s="167"/>
      <c r="Z808" s="167"/>
      <c r="AA808" s="167"/>
      <c r="AB808" s="167"/>
      <c r="AC808" s="167"/>
      <c r="AD808" s="167"/>
      <c r="AE808" s="167"/>
      <c r="AF808" s="167"/>
      <c r="AG808" s="167"/>
      <c r="AH808" s="167"/>
      <c r="AI808" s="167"/>
      <c r="AJ808" s="167"/>
      <c r="AK808" s="167"/>
      <c r="AL808" s="167"/>
    </row>
    <row r="809" spans="1:38" ht="15.75" customHeight="1">
      <c r="A809" s="167"/>
      <c r="B809" s="167"/>
      <c r="C809" s="167"/>
      <c r="D809" s="167"/>
      <c r="E809" s="167"/>
      <c r="F809" s="167"/>
      <c r="G809" s="167"/>
      <c r="H809" s="167"/>
      <c r="I809" s="167"/>
      <c r="J809" s="167"/>
      <c r="K809" s="167"/>
      <c r="L809" s="167"/>
      <c r="M809" s="167"/>
      <c r="N809" s="167"/>
      <c r="O809" s="167"/>
      <c r="P809" s="167"/>
      <c r="Q809" s="167"/>
      <c r="R809" s="167"/>
      <c r="S809" s="167"/>
      <c r="T809" s="167"/>
      <c r="U809" s="167"/>
      <c r="V809" s="167"/>
      <c r="W809" s="167"/>
      <c r="X809" s="167"/>
      <c r="Y809" s="167"/>
      <c r="Z809" s="167"/>
      <c r="AA809" s="167"/>
      <c r="AB809" s="167"/>
      <c r="AC809" s="167"/>
      <c r="AD809" s="167"/>
      <c r="AE809" s="167"/>
      <c r="AF809" s="167"/>
      <c r="AG809" s="167"/>
      <c r="AH809" s="167"/>
      <c r="AI809" s="167"/>
      <c r="AJ809" s="167"/>
      <c r="AK809" s="167"/>
      <c r="AL809" s="167"/>
    </row>
    <row r="810" spans="1:38" ht="15.75" customHeight="1">
      <c r="A810" s="167"/>
      <c r="B810" s="167"/>
      <c r="C810" s="167"/>
      <c r="D810" s="167"/>
      <c r="E810" s="167"/>
      <c r="F810" s="167"/>
      <c r="G810" s="167"/>
      <c r="H810" s="167"/>
      <c r="I810" s="167"/>
      <c r="J810" s="167"/>
      <c r="K810" s="167"/>
      <c r="L810" s="167"/>
      <c r="M810" s="167"/>
      <c r="N810" s="167"/>
      <c r="O810" s="167"/>
      <c r="P810" s="167"/>
      <c r="Q810" s="167"/>
      <c r="R810" s="167"/>
      <c r="S810" s="167"/>
      <c r="T810" s="167"/>
      <c r="U810" s="167"/>
      <c r="V810" s="167"/>
      <c r="W810" s="167"/>
      <c r="X810" s="167"/>
      <c r="Y810" s="167"/>
      <c r="Z810" s="167"/>
      <c r="AA810" s="167"/>
      <c r="AB810" s="167"/>
      <c r="AC810" s="167"/>
      <c r="AD810" s="167"/>
      <c r="AE810" s="167"/>
      <c r="AF810" s="167"/>
      <c r="AG810" s="167"/>
      <c r="AH810" s="167"/>
      <c r="AI810" s="167"/>
      <c r="AJ810" s="167"/>
      <c r="AK810" s="167"/>
      <c r="AL810" s="167"/>
    </row>
    <row r="811" spans="1:38" ht="15.75" customHeight="1">
      <c r="A811" s="167"/>
      <c r="B811" s="167"/>
      <c r="C811" s="167"/>
      <c r="D811" s="167"/>
      <c r="E811" s="167"/>
      <c r="F811" s="167"/>
      <c r="G811" s="167"/>
      <c r="H811" s="167"/>
      <c r="I811" s="167"/>
      <c r="J811" s="167"/>
      <c r="K811" s="167"/>
      <c r="L811" s="167"/>
      <c r="M811" s="167"/>
      <c r="N811" s="167"/>
      <c r="O811" s="167"/>
      <c r="P811" s="167"/>
      <c r="Q811" s="167"/>
      <c r="R811" s="167"/>
      <c r="S811" s="167"/>
      <c r="T811" s="167"/>
      <c r="U811" s="167"/>
      <c r="V811" s="167"/>
      <c r="W811" s="167"/>
      <c r="X811" s="167"/>
      <c r="Y811" s="167"/>
      <c r="Z811" s="167"/>
      <c r="AA811" s="167"/>
      <c r="AB811" s="167"/>
      <c r="AC811" s="167"/>
      <c r="AD811" s="167"/>
      <c r="AE811" s="167"/>
      <c r="AF811" s="167"/>
      <c r="AG811" s="167"/>
      <c r="AH811" s="167"/>
      <c r="AI811" s="167"/>
      <c r="AJ811" s="167"/>
      <c r="AK811" s="167"/>
      <c r="AL811" s="167"/>
    </row>
    <row r="812" spans="1:38" ht="15.75" customHeight="1">
      <c r="A812" s="167"/>
      <c r="B812" s="167"/>
      <c r="C812" s="167"/>
      <c r="D812" s="167"/>
      <c r="E812" s="167"/>
      <c r="F812" s="167"/>
      <c r="G812" s="167"/>
      <c r="H812" s="167"/>
      <c r="I812" s="167"/>
      <c r="J812" s="167"/>
      <c r="K812" s="167"/>
      <c r="L812" s="167"/>
      <c r="M812" s="167"/>
      <c r="N812" s="167"/>
      <c r="O812" s="167"/>
      <c r="P812" s="167"/>
      <c r="Q812" s="167"/>
      <c r="R812" s="167"/>
      <c r="S812" s="167"/>
      <c r="T812" s="167"/>
      <c r="U812" s="167"/>
      <c r="V812" s="167"/>
      <c r="W812" s="167"/>
      <c r="X812" s="167"/>
      <c r="Y812" s="167"/>
      <c r="Z812" s="167"/>
      <c r="AA812" s="167"/>
      <c r="AB812" s="167"/>
      <c r="AC812" s="167"/>
      <c r="AD812" s="167"/>
      <c r="AE812" s="167"/>
      <c r="AF812" s="167"/>
      <c r="AG812" s="167"/>
      <c r="AH812" s="167"/>
      <c r="AI812" s="167"/>
      <c r="AJ812" s="167"/>
      <c r="AK812" s="167"/>
      <c r="AL812" s="167"/>
    </row>
    <row r="813" spans="1:38" ht="15.75" customHeight="1">
      <c r="A813" s="167"/>
      <c r="B813" s="167"/>
      <c r="C813" s="167"/>
      <c r="D813" s="167"/>
      <c r="E813" s="167"/>
      <c r="F813" s="167"/>
      <c r="G813" s="167"/>
      <c r="H813" s="167"/>
      <c r="I813" s="167"/>
      <c r="J813" s="167"/>
      <c r="K813" s="167"/>
      <c r="L813" s="167"/>
      <c r="M813" s="167"/>
      <c r="N813" s="167"/>
      <c r="O813" s="167"/>
      <c r="P813" s="167"/>
      <c r="Q813" s="167"/>
      <c r="R813" s="167"/>
      <c r="S813" s="167"/>
      <c r="T813" s="167"/>
      <c r="U813" s="167"/>
      <c r="V813" s="167"/>
      <c r="W813" s="167"/>
      <c r="X813" s="167"/>
      <c r="Y813" s="167"/>
      <c r="Z813" s="167"/>
      <c r="AA813" s="167"/>
      <c r="AB813" s="167"/>
      <c r="AC813" s="167"/>
      <c r="AD813" s="167"/>
      <c r="AE813" s="167"/>
      <c r="AF813" s="167"/>
      <c r="AG813" s="167"/>
      <c r="AH813" s="167"/>
      <c r="AI813" s="167"/>
      <c r="AJ813" s="167"/>
      <c r="AK813" s="167"/>
      <c r="AL813" s="167"/>
    </row>
    <row r="814" spans="1:38" ht="15.75" customHeight="1">
      <c r="A814" s="167"/>
      <c r="B814" s="167"/>
      <c r="C814" s="167"/>
      <c r="D814" s="167"/>
      <c r="E814" s="167"/>
      <c r="F814" s="167"/>
      <c r="G814" s="167"/>
      <c r="H814" s="167"/>
      <c r="I814" s="167"/>
      <c r="J814" s="167"/>
      <c r="K814" s="167"/>
      <c r="L814" s="167"/>
      <c r="M814" s="167"/>
      <c r="N814" s="167"/>
      <c r="O814" s="167"/>
      <c r="P814" s="167"/>
      <c r="Q814" s="167"/>
      <c r="R814" s="167"/>
      <c r="S814" s="167"/>
      <c r="T814" s="167"/>
      <c r="U814" s="167"/>
      <c r="V814" s="167"/>
      <c r="W814" s="167"/>
      <c r="X814" s="167"/>
      <c r="Y814" s="167"/>
      <c r="Z814" s="167"/>
      <c r="AA814" s="167"/>
      <c r="AB814" s="167"/>
      <c r="AC814" s="167"/>
      <c r="AD814" s="167"/>
      <c r="AE814" s="167"/>
      <c r="AF814" s="167"/>
      <c r="AG814" s="167"/>
      <c r="AH814" s="167"/>
      <c r="AI814" s="167"/>
      <c r="AJ814" s="167"/>
      <c r="AK814" s="167"/>
      <c r="AL814" s="167"/>
    </row>
    <row r="815" spans="1:38" ht="15.75" customHeight="1">
      <c r="A815" s="167"/>
      <c r="B815" s="167"/>
      <c r="C815" s="167"/>
      <c r="D815" s="167"/>
      <c r="E815" s="167"/>
      <c r="F815" s="167"/>
      <c r="G815" s="167"/>
      <c r="H815" s="167"/>
      <c r="I815" s="167"/>
      <c r="J815" s="167"/>
      <c r="K815" s="167"/>
      <c r="L815" s="167"/>
      <c r="M815" s="167"/>
      <c r="N815" s="167"/>
      <c r="O815" s="167"/>
      <c r="P815" s="167"/>
      <c r="Q815" s="167"/>
      <c r="R815" s="167"/>
      <c r="S815" s="167"/>
      <c r="T815" s="167"/>
      <c r="U815" s="167"/>
      <c r="V815" s="167"/>
      <c r="W815" s="167"/>
      <c r="X815" s="167"/>
      <c r="Y815" s="167"/>
      <c r="Z815" s="167"/>
      <c r="AA815" s="167"/>
      <c r="AB815" s="167"/>
      <c r="AC815" s="167"/>
      <c r="AD815" s="167"/>
      <c r="AE815" s="167"/>
      <c r="AF815" s="167"/>
      <c r="AG815" s="167"/>
      <c r="AH815" s="167"/>
      <c r="AI815" s="167"/>
      <c r="AJ815" s="167"/>
      <c r="AK815" s="167"/>
      <c r="AL815" s="167"/>
    </row>
    <row r="816" spans="1:38" ht="15.75" customHeight="1">
      <c r="A816" s="167"/>
      <c r="B816" s="167"/>
      <c r="C816" s="167"/>
      <c r="D816" s="167"/>
      <c r="E816" s="167"/>
      <c r="F816" s="167"/>
      <c r="G816" s="167"/>
      <c r="H816" s="167"/>
      <c r="I816" s="167"/>
      <c r="J816" s="167"/>
      <c r="K816" s="167"/>
      <c r="L816" s="167"/>
      <c r="M816" s="167"/>
      <c r="N816" s="167"/>
      <c r="O816" s="167"/>
      <c r="P816" s="167"/>
      <c r="Q816" s="167"/>
      <c r="R816" s="167"/>
      <c r="S816" s="167"/>
      <c r="T816" s="167"/>
      <c r="U816" s="167"/>
      <c r="V816" s="167"/>
      <c r="W816" s="167"/>
      <c r="X816" s="167"/>
      <c r="Y816" s="167"/>
      <c r="Z816" s="167"/>
      <c r="AA816" s="167"/>
      <c r="AB816" s="167"/>
      <c r="AC816" s="167"/>
      <c r="AD816" s="167"/>
      <c r="AE816" s="167"/>
      <c r="AF816" s="167"/>
      <c r="AG816" s="167"/>
      <c r="AH816" s="167"/>
      <c r="AI816" s="167"/>
      <c r="AJ816" s="167"/>
      <c r="AK816" s="167"/>
      <c r="AL816" s="167"/>
    </row>
    <row r="817" spans="1:38" ht="15.75" customHeight="1">
      <c r="A817" s="167"/>
      <c r="B817" s="167"/>
      <c r="C817" s="167"/>
      <c r="D817" s="167"/>
      <c r="E817" s="167"/>
      <c r="F817" s="167"/>
      <c r="G817" s="167"/>
      <c r="H817" s="167"/>
      <c r="I817" s="167"/>
      <c r="J817" s="167"/>
      <c r="K817" s="167"/>
      <c r="L817" s="167"/>
      <c r="M817" s="167"/>
      <c r="N817" s="167"/>
      <c r="O817" s="167"/>
      <c r="P817" s="167"/>
      <c r="Q817" s="167"/>
      <c r="R817" s="167"/>
      <c r="S817" s="167"/>
      <c r="T817" s="167"/>
      <c r="U817" s="167"/>
      <c r="V817" s="167"/>
      <c r="W817" s="167"/>
      <c r="X817" s="167"/>
      <c r="Y817" s="167"/>
      <c r="Z817" s="167"/>
      <c r="AA817" s="167"/>
      <c r="AB817" s="167"/>
      <c r="AC817" s="167"/>
      <c r="AD817" s="167"/>
      <c r="AE817" s="167"/>
      <c r="AF817" s="167"/>
      <c r="AG817" s="167"/>
      <c r="AH817" s="167"/>
      <c r="AI817" s="167"/>
      <c r="AJ817" s="167"/>
      <c r="AK817" s="167"/>
      <c r="AL817" s="167"/>
    </row>
    <row r="818" spans="1:38" ht="15.75" customHeight="1">
      <c r="A818" s="167"/>
      <c r="B818" s="167"/>
      <c r="C818" s="167"/>
      <c r="D818" s="167"/>
      <c r="E818" s="167"/>
      <c r="F818" s="167"/>
      <c r="G818" s="167"/>
      <c r="H818" s="167"/>
      <c r="I818" s="167"/>
      <c r="J818" s="167"/>
      <c r="K818" s="167"/>
      <c r="L818" s="167"/>
      <c r="M818" s="167"/>
      <c r="N818" s="167"/>
      <c r="O818" s="167"/>
      <c r="P818" s="167"/>
      <c r="Q818" s="167"/>
      <c r="R818" s="167"/>
      <c r="S818" s="167"/>
      <c r="T818" s="167"/>
      <c r="U818" s="167"/>
      <c r="V818" s="167"/>
      <c r="W818" s="167"/>
      <c r="X818" s="167"/>
      <c r="Y818" s="167"/>
      <c r="Z818" s="167"/>
      <c r="AA818" s="167"/>
      <c r="AB818" s="167"/>
      <c r="AC818" s="167"/>
      <c r="AD818" s="167"/>
      <c r="AE818" s="167"/>
      <c r="AF818" s="167"/>
      <c r="AG818" s="167"/>
      <c r="AH818" s="167"/>
      <c r="AI818" s="167"/>
      <c r="AJ818" s="167"/>
      <c r="AK818" s="167"/>
      <c r="AL818" s="167"/>
    </row>
    <row r="819" spans="1:38" ht="15.75" customHeight="1">
      <c r="A819" s="167"/>
      <c r="B819" s="167"/>
      <c r="C819" s="167"/>
      <c r="D819" s="167"/>
      <c r="E819" s="167"/>
      <c r="F819" s="167"/>
      <c r="G819" s="167"/>
      <c r="H819" s="167"/>
      <c r="I819" s="167"/>
      <c r="J819" s="167"/>
      <c r="K819" s="167"/>
      <c r="L819" s="167"/>
      <c r="M819" s="167"/>
      <c r="N819" s="167"/>
      <c r="O819" s="167"/>
      <c r="P819" s="167"/>
      <c r="Q819" s="167"/>
      <c r="R819" s="167"/>
      <c r="S819" s="167"/>
      <c r="T819" s="167"/>
      <c r="U819" s="167"/>
      <c r="V819" s="167"/>
      <c r="W819" s="167"/>
      <c r="X819" s="167"/>
      <c r="Y819" s="167"/>
      <c r="Z819" s="167"/>
      <c r="AA819" s="167"/>
      <c r="AB819" s="167"/>
      <c r="AC819" s="167"/>
      <c r="AD819" s="167"/>
      <c r="AE819" s="167"/>
      <c r="AF819" s="167"/>
      <c r="AG819" s="167"/>
      <c r="AH819" s="167"/>
      <c r="AI819" s="167"/>
      <c r="AJ819" s="167"/>
      <c r="AK819" s="167"/>
      <c r="AL819" s="167"/>
    </row>
    <row r="820" spans="1:38" ht="15.75" customHeight="1">
      <c r="A820" s="167"/>
      <c r="B820" s="167"/>
      <c r="C820" s="167"/>
      <c r="D820" s="167"/>
      <c r="E820" s="167"/>
      <c r="F820" s="167"/>
      <c r="G820" s="167"/>
      <c r="H820" s="167"/>
      <c r="I820" s="167"/>
      <c r="J820" s="167"/>
      <c r="K820" s="167"/>
      <c r="L820" s="167"/>
      <c r="M820" s="167"/>
      <c r="N820" s="167"/>
      <c r="O820" s="167"/>
      <c r="P820" s="167"/>
      <c r="Q820" s="167"/>
      <c r="R820" s="167"/>
      <c r="S820" s="167"/>
      <c r="T820" s="167"/>
      <c r="U820" s="167"/>
      <c r="V820" s="167"/>
      <c r="W820" s="167"/>
      <c r="X820" s="167"/>
      <c r="Y820" s="167"/>
      <c r="Z820" s="167"/>
      <c r="AA820" s="167"/>
      <c r="AB820" s="167"/>
      <c r="AC820" s="167"/>
      <c r="AD820" s="167"/>
      <c r="AE820" s="167"/>
      <c r="AF820" s="167"/>
      <c r="AG820" s="167"/>
      <c r="AH820" s="167"/>
      <c r="AI820" s="167"/>
      <c r="AJ820" s="167"/>
      <c r="AK820" s="167"/>
      <c r="AL820" s="167"/>
    </row>
    <row r="821" spans="1:38" ht="15.75" customHeight="1">
      <c r="A821" s="167"/>
      <c r="B821" s="167"/>
      <c r="C821" s="167"/>
      <c r="D821" s="167"/>
      <c r="E821" s="167"/>
      <c r="F821" s="167"/>
      <c r="G821" s="167"/>
      <c r="H821" s="167"/>
      <c r="I821" s="167"/>
      <c r="J821" s="167"/>
      <c r="K821" s="167"/>
      <c r="L821" s="167"/>
      <c r="M821" s="167"/>
      <c r="N821" s="167"/>
      <c r="O821" s="167"/>
      <c r="P821" s="167"/>
      <c r="Q821" s="167"/>
      <c r="R821" s="167"/>
      <c r="S821" s="167"/>
      <c r="T821" s="167"/>
      <c r="U821" s="167"/>
      <c r="V821" s="167"/>
      <c r="W821" s="167"/>
      <c r="X821" s="167"/>
      <c r="Y821" s="167"/>
      <c r="Z821" s="167"/>
      <c r="AA821" s="167"/>
      <c r="AB821" s="167"/>
      <c r="AC821" s="167"/>
      <c r="AD821" s="167"/>
      <c r="AE821" s="167"/>
      <c r="AF821" s="167"/>
      <c r="AG821" s="167"/>
      <c r="AH821" s="167"/>
      <c r="AI821" s="167"/>
      <c r="AJ821" s="167"/>
      <c r="AK821" s="167"/>
      <c r="AL821" s="167"/>
    </row>
    <row r="822" spans="1:38" ht="15.75" customHeight="1">
      <c r="A822" s="167"/>
      <c r="B822" s="167"/>
      <c r="C822" s="167"/>
      <c r="D822" s="167"/>
      <c r="E822" s="167"/>
      <c r="F822" s="167"/>
      <c r="G822" s="167"/>
      <c r="H822" s="167"/>
      <c r="I822" s="167"/>
      <c r="J822" s="167"/>
      <c r="K822" s="167"/>
      <c r="L822" s="167"/>
      <c r="M822" s="167"/>
      <c r="N822" s="167"/>
      <c r="O822" s="167"/>
      <c r="P822" s="167"/>
      <c r="Q822" s="167"/>
      <c r="R822" s="167"/>
      <c r="S822" s="167"/>
      <c r="T822" s="167"/>
      <c r="U822" s="167"/>
      <c r="V822" s="167"/>
      <c r="W822" s="167"/>
      <c r="X822" s="167"/>
      <c r="Y822" s="167"/>
      <c r="Z822" s="167"/>
      <c r="AA822" s="167"/>
      <c r="AB822" s="167"/>
      <c r="AC822" s="167"/>
      <c r="AD822" s="167"/>
      <c r="AE822" s="167"/>
      <c r="AF822" s="167"/>
      <c r="AG822" s="167"/>
      <c r="AH822" s="167"/>
      <c r="AI822" s="167"/>
      <c r="AJ822" s="167"/>
      <c r="AK822" s="167"/>
      <c r="AL822" s="167"/>
    </row>
    <row r="823" spans="1:38" ht="15.75" customHeight="1">
      <c r="A823" s="167"/>
      <c r="B823" s="167"/>
      <c r="C823" s="167"/>
      <c r="D823" s="167"/>
      <c r="E823" s="167"/>
      <c r="F823" s="167"/>
      <c r="G823" s="167"/>
      <c r="H823" s="167"/>
      <c r="I823" s="167"/>
      <c r="J823" s="167"/>
      <c r="K823" s="167"/>
      <c r="L823" s="167"/>
      <c r="M823" s="167"/>
      <c r="N823" s="167"/>
      <c r="O823" s="167"/>
      <c r="P823" s="167"/>
      <c r="Q823" s="167"/>
      <c r="R823" s="167"/>
      <c r="S823" s="167"/>
      <c r="T823" s="167"/>
      <c r="U823" s="167"/>
      <c r="V823" s="167"/>
      <c r="W823" s="167"/>
      <c r="X823" s="167"/>
      <c r="Y823" s="167"/>
      <c r="Z823" s="167"/>
      <c r="AA823" s="167"/>
      <c r="AB823" s="167"/>
      <c r="AC823" s="167"/>
      <c r="AD823" s="167"/>
      <c r="AE823" s="167"/>
      <c r="AF823" s="167"/>
      <c r="AG823" s="167"/>
      <c r="AH823" s="167"/>
      <c r="AI823" s="167"/>
      <c r="AJ823" s="167"/>
      <c r="AK823" s="167"/>
      <c r="AL823" s="167"/>
    </row>
    <row r="824" spans="1:38" ht="15.75" customHeight="1">
      <c r="A824" s="167"/>
      <c r="B824" s="167"/>
      <c r="C824" s="167"/>
      <c r="D824" s="167"/>
      <c r="E824" s="167"/>
      <c r="F824" s="167"/>
      <c r="G824" s="167"/>
      <c r="H824" s="167"/>
      <c r="I824" s="167"/>
      <c r="J824" s="167"/>
      <c r="K824" s="167"/>
      <c r="L824" s="167"/>
      <c r="M824" s="167"/>
      <c r="N824" s="167"/>
      <c r="O824" s="167"/>
      <c r="P824" s="167"/>
      <c r="Q824" s="167"/>
      <c r="R824" s="167"/>
      <c r="S824" s="167"/>
      <c r="T824" s="167"/>
      <c r="U824" s="167"/>
      <c r="V824" s="167"/>
      <c r="W824" s="167"/>
      <c r="X824" s="167"/>
      <c r="Y824" s="167"/>
      <c r="Z824" s="167"/>
      <c r="AA824" s="167"/>
      <c r="AB824" s="167"/>
      <c r="AC824" s="167"/>
      <c r="AD824" s="167"/>
      <c r="AE824" s="167"/>
      <c r="AF824" s="167"/>
      <c r="AG824" s="167"/>
      <c r="AH824" s="167"/>
      <c r="AI824" s="167"/>
      <c r="AJ824" s="167"/>
      <c r="AK824" s="167"/>
      <c r="AL824" s="167"/>
    </row>
    <row r="825" spans="1:38" ht="15.75" customHeight="1">
      <c r="A825" s="167"/>
      <c r="B825" s="167"/>
      <c r="C825" s="167"/>
      <c r="D825" s="167"/>
      <c r="E825" s="167"/>
      <c r="F825" s="167"/>
      <c r="G825" s="167"/>
      <c r="H825" s="167"/>
      <c r="I825" s="167"/>
      <c r="J825" s="167"/>
      <c r="K825" s="167"/>
      <c r="L825" s="167"/>
      <c r="M825" s="167"/>
      <c r="N825" s="167"/>
      <c r="O825" s="167"/>
      <c r="P825" s="167"/>
      <c r="Q825" s="167"/>
      <c r="R825" s="167"/>
      <c r="S825" s="167"/>
      <c r="T825" s="167"/>
      <c r="U825" s="167"/>
      <c r="V825" s="167"/>
      <c r="W825" s="167"/>
      <c r="X825" s="167"/>
      <c r="Y825" s="167"/>
      <c r="Z825" s="167"/>
      <c r="AA825" s="167"/>
      <c r="AB825" s="167"/>
      <c r="AC825" s="167"/>
      <c r="AD825" s="167"/>
      <c r="AE825" s="167"/>
      <c r="AF825" s="167"/>
      <c r="AG825" s="167"/>
      <c r="AH825" s="167"/>
      <c r="AI825" s="167"/>
      <c r="AJ825" s="167"/>
      <c r="AK825" s="167"/>
      <c r="AL825" s="167"/>
    </row>
    <row r="826" spans="1:38" ht="15.75" customHeight="1">
      <c r="A826" s="167"/>
      <c r="B826" s="167"/>
      <c r="C826" s="167"/>
      <c r="D826" s="167"/>
      <c r="E826" s="167"/>
      <c r="F826" s="167"/>
      <c r="G826" s="167"/>
      <c r="H826" s="167"/>
      <c r="I826" s="167"/>
      <c r="J826" s="167"/>
      <c r="K826" s="167"/>
      <c r="L826" s="167"/>
      <c r="M826" s="167"/>
      <c r="N826" s="167"/>
      <c r="O826" s="167"/>
      <c r="P826" s="167"/>
      <c r="Q826" s="167"/>
      <c r="R826" s="167"/>
      <c r="S826" s="167"/>
      <c r="T826" s="167"/>
      <c r="U826" s="167"/>
      <c r="V826" s="167"/>
      <c r="W826" s="167"/>
      <c r="X826" s="167"/>
      <c r="Y826" s="167"/>
      <c r="Z826" s="167"/>
      <c r="AA826" s="167"/>
      <c r="AB826" s="167"/>
      <c r="AC826" s="167"/>
      <c r="AD826" s="167"/>
      <c r="AE826" s="167"/>
      <c r="AF826" s="167"/>
      <c r="AG826" s="167"/>
      <c r="AH826" s="167"/>
      <c r="AI826" s="167"/>
      <c r="AJ826" s="167"/>
      <c r="AK826" s="167"/>
      <c r="AL826" s="167"/>
    </row>
    <row r="827" spans="1:38" ht="15.75" customHeight="1">
      <c r="A827" s="167"/>
      <c r="B827" s="167"/>
      <c r="C827" s="167"/>
      <c r="D827" s="167"/>
      <c r="E827" s="167"/>
      <c r="F827" s="167"/>
      <c r="G827" s="167"/>
      <c r="H827" s="167"/>
      <c r="I827" s="167"/>
      <c r="J827" s="167"/>
      <c r="K827" s="167"/>
      <c r="L827" s="167"/>
      <c r="M827" s="167"/>
      <c r="N827" s="167"/>
      <c r="O827" s="167"/>
      <c r="P827" s="167"/>
      <c r="Q827" s="167"/>
      <c r="R827" s="167"/>
      <c r="S827" s="167"/>
      <c r="T827" s="167"/>
      <c r="U827" s="167"/>
      <c r="V827" s="167"/>
      <c r="W827" s="167"/>
      <c r="X827" s="167"/>
      <c r="Y827" s="167"/>
      <c r="Z827" s="167"/>
      <c r="AA827" s="167"/>
      <c r="AB827" s="167"/>
      <c r="AC827" s="167"/>
      <c r="AD827" s="167"/>
      <c r="AE827" s="167"/>
      <c r="AF827" s="167"/>
      <c r="AG827" s="167"/>
      <c r="AH827" s="167"/>
      <c r="AI827" s="167"/>
      <c r="AJ827" s="167"/>
      <c r="AK827" s="167"/>
      <c r="AL827" s="167"/>
    </row>
    <row r="828" spans="1:38" ht="15.75" customHeight="1">
      <c r="A828" s="167"/>
      <c r="B828" s="167"/>
      <c r="C828" s="167"/>
      <c r="D828" s="167"/>
      <c r="E828" s="167"/>
      <c r="F828" s="167"/>
      <c r="G828" s="167"/>
      <c r="H828" s="167"/>
      <c r="I828" s="167"/>
      <c r="J828" s="167"/>
      <c r="K828" s="167"/>
      <c r="L828" s="167"/>
      <c r="M828" s="167"/>
      <c r="N828" s="167"/>
      <c r="O828" s="167"/>
      <c r="P828" s="167"/>
      <c r="Q828" s="167"/>
      <c r="R828" s="167"/>
      <c r="S828" s="167"/>
      <c r="T828" s="167"/>
      <c r="U828" s="167"/>
      <c r="V828" s="167"/>
      <c r="W828" s="167"/>
      <c r="X828" s="167"/>
      <c r="Y828" s="167"/>
      <c r="Z828" s="167"/>
      <c r="AA828" s="167"/>
      <c r="AB828" s="167"/>
      <c r="AC828" s="167"/>
      <c r="AD828" s="167"/>
      <c r="AE828" s="167"/>
      <c r="AF828" s="167"/>
      <c r="AG828" s="167"/>
      <c r="AH828" s="167"/>
      <c r="AI828" s="167"/>
      <c r="AJ828" s="167"/>
      <c r="AK828" s="167"/>
      <c r="AL828" s="167"/>
    </row>
    <row r="829" spans="1:38" ht="15.75" customHeight="1">
      <c r="A829" s="167"/>
      <c r="B829" s="167"/>
      <c r="C829" s="167"/>
      <c r="D829" s="167"/>
      <c r="E829" s="167"/>
      <c r="F829" s="167"/>
      <c r="G829" s="167"/>
      <c r="H829" s="167"/>
      <c r="I829" s="167"/>
      <c r="J829" s="167"/>
      <c r="K829" s="167"/>
      <c r="L829" s="167"/>
      <c r="M829" s="167"/>
      <c r="N829" s="167"/>
      <c r="O829" s="167"/>
      <c r="P829" s="167"/>
      <c r="Q829" s="167"/>
      <c r="R829" s="167"/>
      <c r="S829" s="167"/>
      <c r="T829" s="167"/>
      <c r="U829" s="167"/>
      <c r="V829" s="167"/>
      <c r="W829" s="167"/>
      <c r="X829" s="167"/>
      <c r="Y829" s="167"/>
      <c r="Z829" s="167"/>
      <c r="AA829" s="167"/>
      <c r="AB829" s="167"/>
      <c r="AC829" s="167"/>
      <c r="AD829" s="167"/>
      <c r="AE829" s="167"/>
      <c r="AF829" s="167"/>
      <c r="AG829" s="167"/>
      <c r="AH829" s="167"/>
      <c r="AI829" s="167"/>
      <c r="AJ829" s="167"/>
      <c r="AK829" s="167"/>
      <c r="AL829" s="167"/>
    </row>
    <row r="830" spans="1:38" ht="15.75" customHeight="1">
      <c r="A830" s="167"/>
      <c r="B830" s="167"/>
      <c r="C830" s="167"/>
      <c r="D830" s="167"/>
      <c r="E830" s="167"/>
      <c r="F830" s="167"/>
      <c r="G830" s="167"/>
      <c r="H830" s="167"/>
      <c r="I830" s="167"/>
      <c r="J830" s="167"/>
      <c r="K830" s="167"/>
      <c r="L830" s="167"/>
      <c r="M830" s="167"/>
      <c r="N830" s="167"/>
      <c r="O830" s="167"/>
      <c r="P830" s="167"/>
      <c r="Q830" s="167"/>
      <c r="R830" s="167"/>
      <c r="S830" s="167"/>
      <c r="T830" s="167"/>
      <c r="U830" s="167"/>
      <c r="V830" s="167"/>
      <c r="W830" s="167"/>
      <c r="X830" s="167"/>
      <c r="Y830" s="167"/>
      <c r="Z830" s="167"/>
      <c r="AA830" s="167"/>
      <c r="AB830" s="167"/>
      <c r="AC830" s="167"/>
      <c r="AD830" s="167"/>
      <c r="AE830" s="167"/>
      <c r="AF830" s="167"/>
      <c r="AG830" s="167"/>
      <c r="AH830" s="167"/>
      <c r="AI830" s="167"/>
      <c r="AJ830" s="167"/>
      <c r="AK830" s="167"/>
      <c r="AL830" s="167"/>
    </row>
    <row r="831" spans="1:38" ht="15.75" customHeight="1">
      <c r="A831" s="167"/>
      <c r="B831" s="167"/>
      <c r="C831" s="167"/>
      <c r="D831" s="167"/>
      <c r="E831" s="167"/>
      <c r="F831" s="167"/>
      <c r="G831" s="167"/>
      <c r="H831" s="167"/>
      <c r="I831" s="167"/>
      <c r="J831" s="167"/>
      <c r="K831" s="167"/>
      <c r="L831" s="167"/>
      <c r="M831" s="167"/>
      <c r="N831" s="167"/>
      <c r="O831" s="167"/>
      <c r="P831" s="167"/>
      <c r="Q831" s="167"/>
      <c r="R831" s="167"/>
      <c r="S831" s="167"/>
      <c r="T831" s="167"/>
      <c r="U831" s="167"/>
      <c r="V831" s="167"/>
      <c r="W831" s="167"/>
      <c r="X831" s="167"/>
      <c r="Y831" s="167"/>
      <c r="Z831" s="167"/>
      <c r="AA831" s="167"/>
      <c r="AB831" s="167"/>
      <c r="AC831" s="167"/>
      <c r="AD831" s="167"/>
      <c r="AE831" s="167"/>
      <c r="AF831" s="167"/>
      <c r="AG831" s="167"/>
      <c r="AH831" s="167"/>
      <c r="AI831" s="167"/>
      <c r="AJ831" s="167"/>
      <c r="AK831" s="167"/>
      <c r="AL831" s="167"/>
    </row>
    <row r="832" spans="1:38" ht="15.75" customHeight="1">
      <c r="A832" s="167"/>
      <c r="B832" s="167"/>
      <c r="C832" s="167"/>
      <c r="D832" s="167"/>
      <c r="E832" s="167"/>
      <c r="F832" s="167"/>
      <c r="G832" s="167"/>
      <c r="H832" s="167"/>
      <c r="I832" s="167"/>
      <c r="J832" s="167"/>
      <c r="K832" s="167"/>
      <c r="L832" s="167"/>
      <c r="M832" s="167"/>
      <c r="N832" s="167"/>
      <c r="O832" s="167"/>
      <c r="P832" s="167"/>
      <c r="Q832" s="167"/>
      <c r="R832" s="167"/>
      <c r="S832" s="167"/>
      <c r="T832" s="167"/>
      <c r="U832" s="167"/>
      <c r="V832" s="167"/>
      <c r="W832" s="167"/>
      <c r="X832" s="167"/>
      <c r="Y832" s="167"/>
      <c r="Z832" s="167"/>
      <c r="AA832" s="167"/>
      <c r="AB832" s="167"/>
      <c r="AC832" s="167"/>
      <c r="AD832" s="167"/>
      <c r="AE832" s="167"/>
      <c r="AF832" s="167"/>
      <c r="AG832" s="167"/>
      <c r="AH832" s="167"/>
      <c r="AI832" s="167"/>
      <c r="AJ832" s="167"/>
      <c r="AK832" s="167"/>
      <c r="AL832" s="167"/>
    </row>
    <row r="833" spans="1:38" ht="15.75" customHeight="1">
      <c r="A833" s="167"/>
      <c r="B833" s="167"/>
      <c r="C833" s="167"/>
      <c r="D833" s="167"/>
      <c r="E833" s="167"/>
      <c r="F833" s="167"/>
      <c r="G833" s="167"/>
      <c r="H833" s="167"/>
      <c r="I833" s="167"/>
      <c r="J833" s="167"/>
      <c r="K833" s="167"/>
      <c r="L833" s="167"/>
      <c r="M833" s="167"/>
      <c r="N833" s="167"/>
      <c r="O833" s="167"/>
      <c r="P833" s="167"/>
      <c r="Q833" s="167"/>
      <c r="R833" s="167"/>
      <c r="S833" s="167"/>
      <c r="T833" s="167"/>
      <c r="U833" s="167"/>
      <c r="V833" s="167"/>
      <c r="W833" s="167"/>
      <c r="X833" s="167"/>
      <c r="Y833" s="167"/>
      <c r="Z833" s="167"/>
      <c r="AA833" s="167"/>
      <c r="AB833" s="167"/>
      <c r="AC833" s="167"/>
      <c r="AD833" s="167"/>
      <c r="AE833" s="167"/>
      <c r="AF833" s="167"/>
      <c r="AG833" s="167"/>
      <c r="AH833" s="167"/>
      <c r="AI833" s="167"/>
      <c r="AJ833" s="167"/>
      <c r="AK833" s="167"/>
      <c r="AL833" s="167"/>
    </row>
    <row r="834" spans="1:38" ht="15.75" customHeight="1">
      <c r="A834" s="167"/>
      <c r="B834" s="167"/>
      <c r="C834" s="167"/>
      <c r="D834" s="167"/>
      <c r="E834" s="167"/>
      <c r="F834" s="167"/>
      <c r="G834" s="167"/>
      <c r="H834" s="167"/>
      <c r="I834" s="167"/>
      <c r="J834" s="167"/>
      <c r="K834" s="167"/>
      <c r="L834" s="167"/>
      <c r="M834" s="167"/>
      <c r="N834" s="167"/>
      <c r="O834" s="167"/>
      <c r="P834" s="167"/>
      <c r="Q834" s="167"/>
      <c r="R834" s="167"/>
      <c r="S834" s="167"/>
      <c r="T834" s="167"/>
      <c r="U834" s="167"/>
      <c r="V834" s="167"/>
      <c r="W834" s="167"/>
      <c r="X834" s="167"/>
      <c r="Y834" s="167"/>
      <c r="Z834" s="167"/>
      <c r="AA834" s="167"/>
      <c r="AB834" s="167"/>
      <c r="AC834" s="167"/>
      <c r="AD834" s="167"/>
      <c r="AE834" s="167"/>
      <c r="AF834" s="167"/>
      <c r="AG834" s="167"/>
      <c r="AH834" s="167"/>
      <c r="AI834" s="167"/>
      <c r="AJ834" s="167"/>
      <c r="AK834" s="167"/>
      <c r="AL834" s="167"/>
    </row>
    <row r="835" spans="1:38" ht="15.75" customHeight="1">
      <c r="A835" s="167"/>
      <c r="B835" s="167"/>
      <c r="C835" s="167"/>
      <c r="D835" s="167"/>
      <c r="E835" s="167"/>
      <c r="F835" s="167"/>
      <c r="G835" s="167"/>
      <c r="H835" s="167"/>
      <c r="I835" s="167"/>
      <c r="J835" s="167"/>
      <c r="K835" s="167"/>
      <c r="L835" s="167"/>
      <c r="M835" s="167"/>
      <c r="N835" s="167"/>
      <c r="O835" s="167"/>
      <c r="P835" s="167"/>
      <c r="Q835" s="167"/>
      <c r="R835" s="167"/>
      <c r="S835" s="167"/>
      <c r="T835" s="167"/>
      <c r="U835" s="167"/>
      <c r="V835" s="167"/>
      <c r="W835" s="167"/>
      <c r="X835" s="167"/>
      <c r="Y835" s="167"/>
      <c r="Z835" s="167"/>
      <c r="AA835" s="167"/>
      <c r="AB835" s="167"/>
      <c r="AC835" s="167"/>
      <c r="AD835" s="167"/>
      <c r="AE835" s="167"/>
      <c r="AF835" s="167"/>
      <c r="AG835" s="167"/>
      <c r="AH835" s="167"/>
      <c r="AI835" s="167"/>
      <c r="AJ835" s="167"/>
      <c r="AK835" s="167"/>
      <c r="AL835" s="167"/>
    </row>
    <row r="836" spans="1:38" ht="15.75" customHeight="1">
      <c r="A836" s="167"/>
      <c r="B836" s="167"/>
      <c r="C836" s="167"/>
      <c r="D836" s="167"/>
      <c r="E836" s="167"/>
      <c r="F836" s="167"/>
      <c r="G836" s="167"/>
      <c r="H836" s="167"/>
      <c r="I836" s="167"/>
      <c r="J836" s="167"/>
      <c r="K836" s="167"/>
      <c r="L836" s="167"/>
      <c r="M836" s="167"/>
      <c r="N836" s="167"/>
      <c r="O836" s="167"/>
      <c r="P836" s="167"/>
      <c r="Q836" s="167"/>
      <c r="R836" s="167"/>
      <c r="S836" s="167"/>
      <c r="T836" s="167"/>
      <c r="U836" s="167"/>
      <c r="V836" s="167"/>
      <c r="W836" s="167"/>
      <c r="X836" s="167"/>
      <c r="Y836" s="167"/>
      <c r="Z836" s="167"/>
      <c r="AA836" s="167"/>
      <c r="AB836" s="167"/>
      <c r="AC836" s="167"/>
      <c r="AD836" s="167"/>
      <c r="AE836" s="167"/>
      <c r="AF836" s="167"/>
      <c r="AG836" s="167"/>
      <c r="AH836" s="167"/>
      <c r="AI836" s="167"/>
      <c r="AJ836" s="167"/>
      <c r="AK836" s="167"/>
      <c r="AL836" s="167"/>
    </row>
    <row r="837" spans="1:38" ht="15.75" customHeight="1">
      <c r="A837" s="167"/>
      <c r="B837" s="167"/>
      <c r="C837" s="167"/>
      <c r="D837" s="167"/>
      <c r="E837" s="167"/>
      <c r="F837" s="167"/>
      <c r="G837" s="167"/>
      <c r="H837" s="167"/>
      <c r="I837" s="167"/>
      <c r="J837" s="167"/>
      <c r="K837" s="167"/>
      <c r="L837" s="167"/>
      <c r="M837" s="167"/>
      <c r="N837" s="167"/>
      <c r="O837" s="167"/>
      <c r="P837" s="167"/>
      <c r="Q837" s="167"/>
      <c r="R837" s="167"/>
      <c r="S837" s="167"/>
      <c r="T837" s="167"/>
      <c r="U837" s="167"/>
      <c r="V837" s="167"/>
      <c r="W837" s="167"/>
      <c r="X837" s="167"/>
      <c r="Y837" s="167"/>
      <c r="Z837" s="167"/>
      <c r="AA837" s="167"/>
      <c r="AB837" s="167"/>
      <c r="AC837" s="167"/>
      <c r="AD837" s="167"/>
      <c r="AE837" s="167"/>
      <c r="AF837" s="167"/>
      <c r="AG837" s="167"/>
      <c r="AH837" s="167"/>
      <c r="AI837" s="167"/>
      <c r="AJ837" s="167"/>
      <c r="AK837" s="167"/>
      <c r="AL837" s="167"/>
    </row>
    <row r="838" spans="1:38" ht="15.75" customHeight="1">
      <c r="A838" s="167"/>
      <c r="B838" s="167"/>
      <c r="C838" s="167"/>
      <c r="D838" s="167"/>
      <c r="E838" s="167"/>
      <c r="F838" s="167"/>
      <c r="G838" s="167"/>
      <c r="H838" s="167"/>
      <c r="I838" s="167"/>
      <c r="J838" s="167"/>
      <c r="K838" s="167"/>
      <c r="L838" s="167"/>
      <c r="M838" s="167"/>
      <c r="N838" s="167"/>
      <c r="O838" s="167"/>
      <c r="P838" s="167"/>
      <c r="Q838" s="167"/>
      <c r="R838" s="167"/>
      <c r="S838" s="167"/>
      <c r="T838" s="167"/>
      <c r="U838" s="167"/>
      <c r="V838" s="167"/>
      <c r="W838" s="167"/>
      <c r="X838" s="167"/>
      <c r="Y838" s="167"/>
      <c r="Z838" s="167"/>
      <c r="AA838" s="167"/>
      <c r="AB838" s="167"/>
      <c r="AC838" s="167"/>
      <c r="AD838" s="167"/>
      <c r="AE838" s="167"/>
      <c r="AF838" s="167"/>
      <c r="AG838" s="167"/>
      <c r="AH838" s="167"/>
      <c r="AI838" s="167"/>
      <c r="AJ838" s="167"/>
      <c r="AK838" s="167"/>
      <c r="AL838" s="167"/>
    </row>
    <row r="839" spans="1:38" ht="15.75" customHeight="1">
      <c r="A839" s="167"/>
      <c r="B839" s="167"/>
      <c r="C839" s="167"/>
      <c r="D839" s="167"/>
      <c r="E839" s="167"/>
      <c r="F839" s="167"/>
      <c r="G839" s="167"/>
      <c r="H839" s="167"/>
      <c r="I839" s="167"/>
      <c r="J839" s="167"/>
      <c r="K839" s="167"/>
      <c r="L839" s="167"/>
      <c r="M839" s="167"/>
      <c r="N839" s="167"/>
      <c r="O839" s="167"/>
      <c r="P839" s="167"/>
      <c r="Q839" s="167"/>
      <c r="R839" s="167"/>
      <c r="S839" s="167"/>
      <c r="T839" s="167"/>
      <c r="U839" s="167"/>
      <c r="V839" s="167"/>
      <c r="W839" s="167"/>
      <c r="X839" s="167"/>
      <c r="Y839" s="167"/>
      <c r="Z839" s="167"/>
      <c r="AA839" s="167"/>
      <c r="AB839" s="167"/>
      <c r="AC839" s="167"/>
      <c r="AD839" s="167"/>
      <c r="AE839" s="167"/>
      <c r="AF839" s="167"/>
      <c r="AG839" s="167"/>
      <c r="AH839" s="167"/>
      <c r="AI839" s="167"/>
      <c r="AJ839" s="167"/>
      <c r="AK839" s="167"/>
      <c r="AL839" s="167"/>
    </row>
    <row r="840" spans="1:38" ht="15.75" customHeight="1">
      <c r="A840" s="167"/>
      <c r="B840" s="167"/>
      <c r="C840" s="167"/>
      <c r="D840" s="167"/>
      <c r="E840" s="167"/>
      <c r="F840" s="167"/>
      <c r="G840" s="167"/>
      <c r="H840" s="167"/>
      <c r="I840" s="167"/>
      <c r="J840" s="167"/>
      <c r="K840" s="167"/>
      <c r="L840" s="167"/>
      <c r="M840" s="167"/>
      <c r="N840" s="167"/>
      <c r="O840" s="167"/>
      <c r="P840" s="167"/>
      <c r="Q840" s="167"/>
      <c r="R840" s="167"/>
      <c r="S840" s="167"/>
      <c r="T840" s="167"/>
      <c r="U840" s="167"/>
      <c r="V840" s="167"/>
      <c r="W840" s="167"/>
      <c r="X840" s="167"/>
      <c r="Y840" s="167"/>
      <c r="Z840" s="167"/>
      <c r="AA840" s="167"/>
      <c r="AB840" s="167"/>
      <c r="AC840" s="167"/>
      <c r="AD840" s="167"/>
      <c r="AE840" s="167"/>
      <c r="AF840" s="167"/>
      <c r="AG840" s="167"/>
      <c r="AH840" s="167"/>
      <c r="AI840" s="167"/>
      <c r="AJ840" s="167"/>
      <c r="AK840" s="167"/>
      <c r="AL840" s="167"/>
    </row>
    <row r="841" spans="1:38" ht="15.75" customHeight="1">
      <c r="A841" s="167"/>
      <c r="B841" s="167"/>
      <c r="C841" s="167"/>
      <c r="D841" s="167"/>
      <c r="E841" s="167"/>
      <c r="F841" s="167"/>
      <c r="G841" s="167"/>
      <c r="H841" s="167"/>
      <c r="I841" s="167"/>
      <c r="J841" s="167"/>
      <c r="K841" s="167"/>
      <c r="L841" s="167"/>
      <c r="M841" s="167"/>
      <c r="N841" s="167"/>
      <c r="O841" s="167"/>
      <c r="P841" s="167"/>
      <c r="Q841" s="167"/>
      <c r="R841" s="167"/>
      <c r="S841" s="167"/>
      <c r="T841" s="167"/>
      <c r="U841" s="167"/>
      <c r="V841" s="167"/>
      <c r="W841" s="167"/>
      <c r="X841" s="167"/>
      <c r="Y841" s="167"/>
      <c r="Z841" s="167"/>
      <c r="AA841" s="167"/>
      <c r="AB841" s="167"/>
      <c r="AC841" s="167"/>
      <c r="AD841" s="167"/>
      <c r="AE841" s="167"/>
      <c r="AF841" s="167"/>
      <c r="AG841" s="167"/>
      <c r="AH841" s="167"/>
      <c r="AI841" s="167"/>
      <c r="AJ841" s="167"/>
      <c r="AK841" s="167"/>
      <c r="AL841" s="167"/>
    </row>
    <row r="842" spans="1:38" ht="15.75" customHeight="1">
      <c r="A842" s="167"/>
      <c r="B842" s="167"/>
      <c r="C842" s="167"/>
      <c r="D842" s="167"/>
      <c r="E842" s="167"/>
      <c r="F842" s="167"/>
      <c r="G842" s="167"/>
      <c r="H842" s="167"/>
      <c r="I842" s="167"/>
      <c r="J842" s="167"/>
      <c r="K842" s="167"/>
      <c r="L842" s="167"/>
      <c r="M842" s="167"/>
      <c r="N842" s="167"/>
      <c r="O842" s="167"/>
      <c r="P842" s="167"/>
      <c r="Q842" s="167"/>
      <c r="R842" s="167"/>
      <c r="S842" s="167"/>
      <c r="T842" s="167"/>
      <c r="U842" s="167"/>
      <c r="V842" s="167"/>
      <c r="W842" s="167"/>
      <c r="X842" s="167"/>
      <c r="Y842" s="167"/>
      <c r="Z842" s="167"/>
      <c r="AA842" s="167"/>
      <c r="AB842" s="167"/>
      <c r="AC842" s="167"/>
      <c r="AD842" s="167"/>
      <c r="AE842" s="167"/>
      <c r="AF842" s="167"/>
      <c r="AG842" s="167"/>
      <c r="AH842" s="167"/>
      <c r="AI842" s="167"/>
      <c r="AJ842" s="167"/>
      <c r="AK842" s="167"/>
      <c r="AL842" s="167"/>
    </row>
    <row r="843" spans="1:38" ht="15.75" customHeight="1">
      <c r="A843" s="167"/>
      <c r="B843" s="167"/>
      <c r="C843" s="167"/>
      <c r="D843" s="167"/>
      <c r="E843" s="167"/>
      <c r="F843" s="167"/>
      <c r="G843" s="167"/>
      <c r="H843" s="167"/>
      <c r="I843" s="167"/>
      <c r="J843" s="167"/>
      <c r="K843" s="167"/>
      <c r="L843" s="167"/>
      <c r="M843" s="167"/>
      <c r="N843" s="167"/>
      <c r="O843" s="167"/>
      <c r="P843" s="167"/>
      <c r="Q843" s="167"/>
      <c r="R843" s="167"/>
      <c r="S843" s="167"/>
      <c r="T843" s="167"/>
      <c r="U843" s="167"/>
      <c r="V843" s="167"/>
      <c r="W843" s="167"/>
      <c r="X843" s="167"/>
      <c r="Y843" s="167"/>
      <c r="Z843" s="167"/>
      <c r="AA843" s="167"/>
      <c r="AB843" s="167"/>
      <c r="AC843" s="167"/>
      <c r="AD843" s="167"/>
      <c r="AE843" s="167"/>
      <c r="AF843" s="167"/>
      <c r="AG843" s="167"/>
      <c r="AH843" s="167"/>
      <c r="AI843" s="167"/>
      <c r="AJ843" s="167"/>
      <c r="AK843" s="167"/>
      <c r="AL843" s="167"/>
    </row>
    <row r="844" spans="1:38" ht="15.75" customHeight="1">
      <c r="A844" s="167"/>
      <c r="B844" s="167"/>
      <c r="C844" s="167"/>
      <c r="D844" s="167"/>
      <c r="E844" s="167"/>
      <c r="F844" s="167"/>
      <c r="G844" s="167"/>
      <c r="H844" s="167"/>
      <c r="I844" s="167"/>
      <c r="J844" s="167"/>
      <c r="K844" s="167"/>
      <c r="L844" s="167"/>
      <c r="M844" s="167"/>
      <c r="N844" s="167"/>
      <c r="O844" s="167"/>
      <c r="P844" s="167"/>
      <c r="Q844" s="167"/>
      <c r="R844" s="167"/>
      <c r="S844" s="167"/>
      <c r="T844" s="167"/>
      <c r="U844" s="167"/>
      <c r="V844" s="167"/>
      <c r="W844" s="167"/>
      <c r="X844" s="167"/>
      <c r="Y844" s="167"/>
      <c r="Z844" s="167"/>
      <c r="AA844" s="167"/>
      <c r="AB844" s="167"/>
      <c r="AC844" s="167"/>
      <c r="AD844" s="167"/>
      <c r="AE844" s="167"/>
      <c r="AF844" s="167"/>
      <c r="AG844" s="167"/>
      <c r="AH844" s="167"/>
      <c r="AI844" s="167"/>
      <c r="AJ844" s="167"/>
      <c r="AK844" s="167"/>
      <c r="AL844" s="167"/>
    </row>
    <row r="845" spans="1:38" ht="15.75" customHeight="1">
      <c r="A845" s="167"/>
      <c r="B845" s="167"/>
      <c r="C845" s="167"/>
      <c r="D845" s="167"/>
      <c r="E845" s="167"/>
      <c r="F845" s="167"/>
      <c r="G845" s="167"/>
      <c r="H845" s="167"/>
      <c r="I845" s="167"/>
      <c r="J845" s="167"/>
      <c r="K845" s="167"/>
      <c r="L845" s="167"/>
      <c r="M845" s="167"/>
      <c r="N845" s="167"/>
      <c r="O845" s="167"/>
      <c r="P845" s="167"/>
      <c r="Q845" s="167"/>
      <c r="R845" s="167"/>
      <c r="S845" s="167"/>
      <c r="T845" s="167"/>
      <c r="U845" s="167"/>
      <c r="V845" s="167"/>
      <c r="W845" s="167"/>
      <c r="X845" s="167"/>
      <c r="Y845" s="167"/>
      <c r="Z845" s="167"/>
      <c r="AA845" s="167"/>
      <c r="AB845" s="167"/>
      <c r="AC845" s="167"/>
      <c r="AD845" s="167"/>
      <c r="AE845" s="167"/>
      <c r="AF845" s="167"/>
      <c r="AG845" s="167"/>
      <c r="AH845" s="167"/>
      <c r="AI845" s="167"/>
      <c r="AJ845" s="167"/>
      <c r="AK845" s="167"/>
      <c r="AL845" s="167"/>
    </row>
    <row r="846" spans="1:38" ht="15.75" customHeight="1">
      <c r="A846" s="167"/>
      <c r="B846" s="167"/>
      <c r="C846" s="167"/>
      <c r="D846" s="167"/>
      <c r="E846" s="167"/>
      <c r="F846" s="167"/>
      <c r="G846" s="167"/>
      <c r="H846" s="167"/>
      <c r="I846" s="167"/>
      <c r="J846" s="167"/>
      <c r="K846" s="167"/>
      <c r="L846" s="167"/>
      <c r="M846" s="167"/>
      <c r="N846" s="167"/>
      <c r="O846" s="167"/>
      <c r="P846" s="167"/>
      <c r="Q846" s="167"/>
      <c r="R846" s="167"/>
      <c r="S846" s="167"/>
      <c r="T846" s="167"/>
      <c r="U846" s="167"/>
      <c r="V846" s="167"/>
      <c r="W846" s="167"/>
      <c r="X846" s="167"/>
      <c r="Y846" s="167"/>
      <c r="Z846" s="167"/>
      <c r="AA846" s="167"/>
      <c r="AB846" s="167"/>
      <c r="AC846" s="167"/>
      <c r="AD846" s="167"/>
      <c r="AE846" s="167"/>
      <c r="AF846" s="167"/>
      <c r="AG846" s="167"/>
      <c r="AH846" s="167"/>
      <c r="AI846" s="167"/>
      <c r="AJ846" s="167"/>
      <c r="AK846" s="167"/>
      <c r="AL846" s="167"/>
    </row>
    <row r="847" spans="1:38" ht="15.75" customHeight="1">
      <c r="A847" s="167"/>
      <c r="B847" s="167"/>
      <c r="C847" s="167"/>
      <c r="D847" s="167"/>
      <c r="E847" s="167"/>
      <c r="F847" s="167"/>
      <c r="G847" s="167"/>
      <c r="H847" s="167"/>
      <c r="I847" s="167"/>
      <c r="J847" s="167"/>
      <c r="K847" s="167"/>
      <c r="L847" s="167"/>
      <c r="M847" s="167"/>
      <c r="N847" s="167"/>
      <c r="O847" s="167"/>
      <c r="P847" s="167"/>
      <c r="Q847" s="167"/>
      <c r="R847" s="167"/>
      <c r="S847" s="167"/>
      <c r="T847" s="167"/>
      <c r="U847" s="167"/>
      <c r="V847" s="167"/>
      <c r="W847" s="167"/>
      <c r="X847" s="167"/>
      <c r="Y847" s="167"/>
      <c r="Z847" s="167"/>
      <c r="AA847" s="167"/>
      <c r="AB847" s="167"/>
      <c r="AC847" s="167"/>
      <c r="AD847" s="167"/>
      <c r="AE847" s="167"/>
      <c r="AF847" s="167"/>
      <c r="AG847" s="167"/>
      <c r="AH847" s="167"/>
      <c r="AI847" s="167"/>
      <c r="AJ847" s="167"/>
      <c r="AK847" s="167"/>
      <c r="AL847" s="167"/>
    </row>
    <row r="848" spans="1:38" ht="15.75" customHeight="1">
      <c r="A848" s="167"/>
      <c r="B848" s="167"/>
      <c r="C848" s="167"/>
      <c r="D848" s="167"/>
      <c r="E848" s="167"/>
      <c r="F848" s="167"/>
      <c r="G848" s="167"/>
      <c r="H848" s="167"/>
      <c r="I848" s="167"/>
      <c r="J848" s="167"/>
      <c r="K848" s="167"/>
      <c r="L848" s="167"/>
      <c r="M848" s="167"/>
      <c r="N848" s="167"/>
      <c r="O848" s="167"/>
      <c r="P848" s="167"/>
      <c r="Q848" s="167"/>
      <c r="R848" s="167"/>
      <c r="S848" s="167"/>
      <c r="T848" s="167"/>
      <c r="U848" s="167"/>
      <c r="V848" s="167"/>
      <c r="W848" s="167"/>
      <c r="X848" s="167"/>
      <c r="Y848" s="167"/>
      <c r="Z848" s="167"/>
      <c r="AA848" s="167"/>
      <c r="AB848" s="167"/>
      <c r="AC848" s="167"/>
      <c r="AD848" s="167"/>
      <c r="AE848" s="167"/>
      <c r="AF848" s="167"/>
      <c r="AG848" s="167"/>
      <c r="AH848" s="167"/>
      <c r="AI848" s="167"/>
      <c r="AJ848" s="167"/>
      <c r="AK848" s="167"/>
      <c r="AL848" s="167"/>
    </row>
    <row r="849" spans="1:38" ht="15.75" customHeight="1">
      <c r="A849" s="167"/>
      <c r="B849" s="167"/>
      <c r="C849" s="167"/>
      <c r="D849" s="167"/>
      <c r="E849" s="167"/>
      <c r="F849" s="167"/>
      <c r="G849" s="167"/>
      <c r="H849" s="167"/>
      <c r="I849" s="167"/>
      <c r="J849" s="167"/>
      <c r="K849" s="167"/>
      <c r="L849" s="167"/>
      <c r="M849" s="167"/>
      <c r="N849" s="167"/>
      <c r="O849" s="167"/>
      <c r="P849" s="167"/>
      <c r="Q849" s="167"/>
      <c r="R849" s="167"/>
      <c r="S849" s="167"/>
      <c r="T849" s="167"/>
      <c r="U849" s="167"/>
      <c r="V849" s="167"/>
      <c r="W849" s="167"/>
      <c r="X849" s="167"/>
      <c r="Y849" s="167"/>
      <c r="Z849" s="167"/>
      <c r="AA849" s="167"/>
      <c r="AB849" s="167"/>
      <c r="AC849" s="167"/>
      <c r="AD849" s="167"/>
      <c r="AE849" s="167"/>
      <c r="AF849" s="167"/>
      <c r="AG849" s="167"/>
      <c r="AH849" s="167"/>
      <c r="AI849" s="167"/>
      <c r="AJ849" s="167"/>
      <c r="AK849" s="167"/>
      <c r="AL849" s="167"/>
    </row>
    <row r="850" spans="1:38" ht="15.75" customHeight="1">
      <c r="A850" s="167"/>
      <c r="B850" s="167"/>
      <c r="C850" s="167"/>
      <c r="D850" s="167"/>
      <c r="E850" s="167"/>
      <c r="F850" s="167"/>
      <c r="G850" s="167"/>
      <c r="H850" s="167"/>
      <c r="I850" s="167"/>
      <c r="J850" s="167"/>
      <c r="K850" s="167"/>
      <c r="L850" s="167"/>
      <c r="M850" s="167"/>
      <c r="N850" s="167"/>
      <c r="O850" s="167"/>
      <c r="P850" s="167"/>
      <c r="Q850" s="167"/>
      <c r="R850" s="167"/>
      <c r="S850" s="167"/>
      <c r="T850" s="167"/>
      <c r="U850" s="167"/>
      <c r="V850" s="167"/>
      <c r="W850" s="167"/>
      <c r="X850" s="167"/>
      <c r="Y850" s="167"/>
      <c r="Z850" s="167"/>
      <c r="AA850" s="167"/>
      <c r="AB850" s="167"/>
      <c r="AC850" s="167"/>
      <c r="AD850" s="167"/>
      <c r="AE850" s="167"/>
      <c r="AF850" s="167"/>
      <c r="AG850" s="167"/>
      <c r="AH850" s="167"/>
      <c r="AI850" s="167"/>
      <c r="AJ850" s="167"/>
      <c r="AK850" s="167"/>
      <c r="AL850" s="167"/>
    </row>
    <row r="851" spans="1:38" ht="15.75" customHeight="1">
      <c r="A851" s="167"/>
      <c r="B851" s="167"/>
      <c r="C851" s="167"/>
      <c r="D851" s="167"/>
      <c r="E851" s="167"/>
      <c r="F851" s="167"/>
      <c r="G851" s="167"/>
      <c r="H851" s="167"/>
      <c r="I851" s="167"/>
      <c r="J851" s="167"/>
      <c r="K851" s="167"/>
      <c r="L851" s="167"/>
      <c r="M851" s="167"/>
      <c r="N851" s="167"/>
      <c r="O851" s="167"/>
      <c r="P851" s="167"/>
      <c r="Q851" s="167"/>
      <c r="R851" s="167"/>
      <c r="S851" s="167"/>
      <c r="T851" s="167"/>
      <c r="U851" s="167"/>
      <c r="V851" s="167"/>
      <c r="W851" s="167"/>
      <c r="X851" s="167"/>
      <c r="Y851" s="167"/>
      <c r="Z851" s="167"/>
      <c r="AA851" s="167"/>
      <c r="AB851" s="167"/>
      <c r="AC851" s="167"/>
      <c r="AD851" s="167"/>
      <c r="AE851" s="167"/>
      <c r="AF851" s="167"/>
      <c r="AG851" s="167"/>
      <c r="AH851" s="167"/>
      <c r="AI851" s="167"/>
      <c r="AJ851" s="167"/>
      <c r="AK851" s="167"/>
      <c r="AL851" s="167"/>
    </row>
    <row r="852" spans="1:38" ht="15.75" customHeight="1">
      <c r="A852" s="167"/>
      <c r="B852" s="167"/>
      <c r="C852" s="167"/>
      <c r="D852" s="167"/>
      <c r="E852" s="167"/>
      <c r="F852" s="167"/>
      <c r="G852" s="167"/>
      <c r="H852" s="167"/>
      <c r="I852" s="167"/>
      <c r="J852" s="167"/>
      <c r="K852" s="167"/>
      <c r="L852" s="167"/>
      <c r="M852" s="167"/>
      <c r="N852" s="167"/>
      <c r="O852" s="167"/>
      <c r="P852" s="167"/>
      <c r="Q852" s="167"/>
      <c r="R852" s="167"/>
      <c r="S852" s="167"/>
      <c r="T852" s="167"/>
      <c r="U852" s="167"/>
      <c r="V852" s="167"/>
      <c r="W852" s="167"/>
      <c r="X852" s="167"/>
      <c r="Y852" s="167"/>
      <c r="Z852" s="167"/>
      <c r="AA852" s="167"/>
      <c r="AB852" s="167"/>
      <c r="AC852" s="167"/>
      <c r="AD852" s="167"/>
      <c r="AE852" s="167"/>
      <c r="AF852" s="167"/>
      <c r="AG852" s="167"/>
      <c r="AH852" s="167"/>
      <c r="AI852" s="167"/>
      <c r="AJ852" s="167"/>
      <c r="AK852" s="167"/>
      <c r="AL852" s="167"/>
    </row>
    <row r="853" spans="1:38" ht="15.75" customHeight="1">
      <c r="A853" s="167"/>
      <c r="B853" s="167"/>
      <c r="C853" s="167"/>
      <c r="D853" s="167"/>
      <c r="E853" s="167"/>
      <c r="F853" s="167"/>
      <c r="G853" s="167"/>
      <c r="H853" s="167"/>
      <c r="I853" s="167"/>
      <c r="J853" s="167"/>
      <c r="K853" s="167"/>
      <c r="L853" s="167"/>
      <c r="M853" s="167"/>
      <c r="N853" s="167"/>
      <c r="O853" s="167"/>
      <c r="P853" s="167"/>
      <c r="Q853" s="167"/>
      <c r="R853" s="167"/>
      <c r="S853" s="167"/>
      <c r="T853" s="167"/>
      <c r="U853" s="167"/>
      <c r="V853" s="167"/>
      <c r="W853" s="167"/>
      <c r="X853" s="167"/>
      <c r="Y853" s="167"/>
      <c r="Z853" s="167"/>
      <c r="AA853" s="167"/>
      <c r="AB853" s="167"/>
      <c r="AC853" s="167"/>
      <c r="AD853" s="167"/>
      <c r="AE853" s="167"/>
      <c r="AF853" s="167"/>
      <c r="AG853" s="167"/>
      <c r="AH853" s="167"/>
      <c r="AI853" s="167"/>
      <c r="AJ853" s="167"/>
      <c r="AK853" s="167"/>
      <c r="AL853" s="167"/>
    </row>
    <row r="854" spans="1:38" ht="15.75" customHeight="1">
      <c r="A854" s="167"/>
      <c r="B854" s="167"/>
      <c r="C854" s="167"/>
      <c r="D854" s="167"/>
      <c r="E854" s="167"/>
      <c r="F854" s="167"/>
      <c r="G854" s="167"/>
      <c r="H854" s="167"/>
      <c r="I854" s="167"/>
      <c r="J854" s="167"/>
      <c r="K854" s="167"/>
      <c r="L854" s="167"/>
      <c r="M854" s="167"/>
      <c r="N854" s="167"/>
      <c r="O854" s="167"/>
      <c r="P854" s="167"/>
      <c r="Q854" s="167"/>
      <c r="R854" s="167"/>
      <c r="S854" s="167"/>
      <c r="T854" s="167"/>
      <c r="U854" s="167"/>
      <c r="V854" s="167"/>
      <c r="W854" s="167"/>
      <c r="X854" s="167"/>
      <c r="Y854" s="167"/>
      <c r="Z854" s="167"/>
      <c r="AA854" s="167"/>
      <c r="AB854" s="167"/>
      <c r="AC854" s="167"/>
      <c r="AD854" s="167"/>
      <c r="AE854" s="167"/>
      <c r="AF854" s="167"/>
      <c r="AG854" s="167"/>
      <c r="AH854" s="167"/>
      <c r="AI854" s="167"/>
      <c r="AJ854" s="167"/>
      <c r="AK854" s="167"/>
      <c r="AL854" s="167"/>
    </row>
    <row r="855" spans="1:38" ht="15.75" customHeight="1">
      <c r="A855" s="167"/>
      <c r="B855" s="167"/>
      <c r="C855" s="167"/>
      <c r="D855" s="167"/>
      <c r="E855" s="167"/>
      <c r="F855" s="167"/>
      <c r="G855" s="167"/>
      <c r="H855" s="167"/>
      <c r="I855" s="167"/>
      <c r="J855" s="167"/>
      <c r="K855" s="167"/>
      <c r="L855" s="167"/>
      <c r="M855" s="167"/>
      <c r="N855" s="167"/>
      <c r="O855" s="167"/>
      <c r="P855" s="167"/>
      <c r="Q855" s="167"/>
      <c r="R855" s="167"/>
      <c r="S855" s="167"/>
      <c r="T855" s="167"/>
      <c r="U855" s="167"/>
      <c r="V855" s="167"/>
      <c r="W855" s="167"/>
      <c r="X855" s="167"/>
      <c r="Y855" s="167"/>
      <c r="Z855" s="167"/>
      <c r="AA855" s="167"/>
      <c r="AB855" s="167"/>
      <c r="AC855" s="167"/>
      <c r="AD855" s="167"/>
      <c r="AE855" s="167"/>
      <c r="AF855" s="167"/>
      <c r="AG855" s="167"/>
      <c r="AH855" s="167"/>
      <c r="AI855" s="167"/>
      <c r="AJ855" s="167"/>
      <c r="AK855" s="167"/>
      <c r="AL855" s="167"/>
    </row>
    <row r="856" spans="1:38" ht="15.75" customHeight="1">
      <c r="A856" s="167"/>
      <c r="B856" s="167"/>
      <c r="C856" s="167"/>
      <c r="D856" s="167"/>
      <c r="E856" s="167"/>
      <c r="F856" s="167"/>
      <c r="G856" s="167"/>
      <c r="H856" s="167"/>
      <c r="I856" s="167"/>
      <c r="J856" s="167"/>
      <c r="K856" s="167"/>
      <c r="L856" s="167"/>
      <c r="M856" s="167"/>
      <c r="N856" s="167"/>
      <c r="O856" s="167"/>
      <c r="P856" s="167"/>
      <c r="Q856" s="167"/>
      <c r="R856" s="167"/>
      <c r="S856" s="167"/>
      <c r="T856" s="167"/>
      <c r="U856" s="167"/>
      <c r="V856" s="167"/>
      <c r="W856" s="167"/>
      <c r="X856" s="167"/>
      <c r="Y856" s="167"/>
      <c r="Z856" s="167"/>
      <c r="AA856" s="167"/>
      <c r="AB856" s="167"/>
      <c r="AC856" s="167"/>
      <c r="AD856" s="167"/>
      <c r="AE856" s="167"/>
      <c r="AF856" s="167"/>
      <c r="AG856" s="167"/>
      <c r="AH856" s="167"/>
      <c r="AI856" s="167"/>
      <c r="AJ856" s="167"/>
      <c r="AK856" s="167"/>
      <c r="AL856" s="167"/>
    </row>
    <row r="857" spans="1:38" ht="15.75" customHeight="1">
      <c r="A857" s="167"/>
      <c r="B857" s="167"/>
      <c r="C857" s="167"/>
      <c r="D857" s="167"/>
      <c r="E857" s="167"/>
      <c r="F857" s="167"/>
      <c r="G857" s="167"/>
      <c r="H857" s="167"/>
      <c r="I857" s="167"/>
      <c r="J857" s="167"/>
      <c r="K857" s="167"/>
      <c r="L857" s="167"/>
      <c r="M857" s="167"/>
      <c r="N857" s="167"/>
      <c r="O857" s="167"/>
      <c r="P857" s="167"/>
      <c r="Q857" s="167"/>
      <c r="R857" s="167"/>
      <c r="S857" s="167"/>
      <c r="T857" s="167"/>
      <c r="U857" s="167"/>
      <c r="V857" s="167"/>
      <c r="W857" s="167"/>
      <c r="X857" s="167"/>
      <c r="Y857" s="167"/>
      <c r="Z857" s="167"/>
      <c r="AA857" s="167"/>
      <c r="AB857" s="167"/>
      <c r="AC857" s="167"/>
      <c r="AD857" s="167"/>
      <c r="AE857" s="167"/>
      <c r="AF857" s="167"/>
      <c r="AG857" s="167"/>
      <c r="AH857" s="167"/>
      <c r="AI857" s="167"/>
      <c r="AJ857" s="167"/>
      <c r="AK857" s="167"/>
      <c r="AL857" s="167"/>
    </row>
    <row r="858" spans="1:38" ht="15.75" customHeight="1">
      <c r="A858" s="167"/>
      <c r="B858" s="167"/>
      <c r="C858" s="167"/>
      <c r="D858" s="167"/>
      <c r="E858" s="167"/>
      <c r="F858" s="167"/>
      <c r="G858" s="167"/>
      <c r="H858" s="167"/>
      <c r="I858" s="167"/>
      <c r="J858" s="167"/>
      <c r="K858" s="167"/>
      <c r="L858" s="167"/>
      <c r="M858" s="167"/>
      <c r="N858" s="167"/>
      <c r="O858" s="167"/>
      <c r="P858" s="167"/>
      <c r="Q858" s="167"/>
      <c r="R858" s="167"/>
      <c r="S858" s="167"/>
      <c r="T858" s="167"/>
      <c r="U858" s="167"/>
      <c r="V858" s="167"/>
      <c r="W858" s="167"/>
      <c r="X858" s="167"/>
      <c r="Y858" s="167"/>
      <c r="Z858" s="167"/>
      <c r="AA858" s="167"/>
      <c r="AB858" s="167"/>
      <c r="AC858" s="167"/>
      <c r="AD858" s="167"/>
      <c r="AE858" s="167"/>
      <c r="AF858" s="167"/>
      <c r="AG858" s="167"/>
      <c r="AH858" s="167"/>
      <c r="AI858" s="167"/>
      <c r="AJ858" s="167"/>
      <c r="AK858" s="167"/>
      <c r="AL858" s="167"/>
    </row>
    <row r="859" spans="1:38" ht="15.75" customHeight="1">
      <c r="A859" s="167"/>
      <c r="B859" s="167"/>
      <c r="C859" s="167"/>
      <c r="D859" s="167"/>
      <c r="E859" s="167"/>
      <c r="F859" s="167"/>
      <c r="G859" s="167"/>
      <c r="H859" s="167"/>
      <c r="I859" s="167"/>
      <c r="J859" s="167"/>
      <c r="K859" s="167"/>
      <c r="L859" s="167"/>
      <c r="M859" s="167"/>
      <c r="N859" s="167"/>
      <c r="O859" s="167"/>
      <c r="P859" s="167"/>
      <c r="Q859" s="167"/>
      <c r="R859" s="167"/>
      <c r="S859" s="167"/>
      <c r="T859" s="167"/>
      <c r="U859" s="167"/>
      <c r="V859" s="167"/>
      <c r="W859" s="167"/>
      <c r="X859" s="167"/>
      <c r="Y859" s="167"/>
      <c r="Z859" s="167"/>
      <c r="AA859" s="167"/>
      <c r="AB859" s="167"/>
      <c r="AC859" s="167"/>
      <c r="AD859" s="167"/>
      <c r="AE859" s="167"/>
      <c r="AF859" s="167"/>
      <c r="AG859" s="167"/>
      <c r="AH859" s="167"/>
      <c r="AI859" s="167"/>
      <c r="AJ859" s="167"/>
      <c r="AK859" s="167"/>
      <c r="AL859" s="167"/>
    </row>
    <row r="860" spans="1:38" ht="15.75" customHeight="1">
      <c r="A860" s="167"/>
      <c r="B860" s="167"/>
      <c r="C860" s="167"/>
      <c r="D860" s="167"/>
      <c r="E860" s="167"/>
      <c r="F860" s="167"/>
      <c r="G860" s="167"/>
      <c r="H860" s="167"/>
      <c r="I860" s="167"/>
      <c r="J860" s="167"/>
      <c r="K860" s="167"/>
      <c r="L860" s="167"/>
      <c r="M860" s="167"/>
      <c r="N860" s="167"/>
      <c r="O860" s="167"/>
      <c r="P860" s="167"/>
      <c r="Q860" s="167"/>
      <c r="R860" s="167"/>
      <c r="S860" s="167"/>
      <c r="T860" s="167"/>
      <c r="U860" s="167"/>
      <c r="V860" s="167"/>
      <c r="W860" s="167"/>
      <c r="X860" s="167"/>
      <c r="Y860" s="167"/>
      <c r="Z860" s="167"/>
      <c r="AA860" s="167"/>
      <c r="AB860" s="167"/>
      <c r="AC860" s="167"/>
      <c r="AD860" s="167"/>
      <c r="AE860" s="167"/>
      <c r="AF860" s="167"/>
      <c r="AG860" s="167"/>
      <c r="AH860" s="167"/>
      <c r="AI860" s="167"/>
      <c r="AJ860" s="167"/>
      <c r="AK860" s="167"/>
      <c r="AL860" s="167"/>
    </row>
    <row r="861" spans="1:38" ht="15.75" customHeight="1">
      <c r="A861" s="167"/>
      <c r="B861" s="167"/>
      <c r="C861" s="167"/>
      <c r="D861" s="167"/>
      <c r="E861" s="167"/>
      <c r="F861" s="167"/>
      <c r="G861" s="167"/>
      <c r="H861" s="167"/>
      <c r="I861" s="167"/>
      <c r="J861" s="167"/>
      <c r="K861" s="167"/>
      <c r="L861" s="167"/>
      <c r="M861" s="167"/>
      <c r="N861" s="167"/>
      <c r="O861" s="167"/>
      <c r="P861" s="167"/>
      <c r="Q861" s="167"/>
      <c r="R861" s="167"/>
      <c r="S861" s="167"/>
      <c r="T861" s="167"/>
      <c r="U861" s="167"/>
      <c r="V861" s="167"/>
      <c r="W861" s="167"/>
      <c r="X861" s="167"/>
      <c r="Y861" s="167"/>
      <c r="Z861" s="167"/>
      <c r="AA861" s="167"/>
      <c r="AB861" s="167"/>
      <c r="AC861" s="167"/>
      <c r="AD861" s="167"/>
      <c r="AE861" s="167"/>
      <c r="AF861" s="167"/>
      <c r="AG861" s="167"/>
      <c r="AH861" s="167"/>
      <c r="AI861" s="167"/>
      <c r="AJ861" s="167"/>
      <c r="AK861" s="167"/>
      <c r="AL861" s="167"/>
    </row>
    <row r="862" spans="1:38" ht="15.75" customHeight="1">
      <c r="A862" s="167"/>
      <c r="B862" s="167"/>
      <c r="C862" s="167"/>
      <c r="D862" s="167"/>
      <c r="E862" s="167"/>
      <c r="F862" s="167"/>
      <c r="G862" s="167"/>
      <c r="H862" s="167"/>
      <c r="I862" s="167"/>
      <c r="J862" s="167"/>
      <c r="K862" s="167"/>
      <c r="L862" s="167"/>
      <c r="M862" s="167"/>
      <c r="N862" s="167"/>
      <c r="O862" s="167"/>
      <c r="P862" s="167"/>
      <c r="Q862" s="167"/>
      <c r="R862" s="167"/>
      <c r="S862" s="167"/>
      <c r="T862" s="167"/>
      <c r="U862" s="167"/>
      <c r="V862" s="167"/>
      <c r="W862" s="167"/>
      <c r="X862" s="167"/>
      <c r="Y862" s="167"/>
      <c r="Z862" s="167"/>
      <c r="AA862" s="167"/>
      <c r="AB862" s="167"/>
      <c r="AC862" s="167"/>
      <c r="AD862" s="167"/>
      <c r="AE862" s="167"/>
      <c r="AF862" s="167"/>
      <c r="AG862" s="167"/>
      <c r="AH862" s="167"/>
      <c r="AI862" s="167"/>
      <c r="AJ862" s="167"/>
      <c r="AK862" s="167"/>
      <c r="AL862" s="167"/>
    </row>
    <row r="863" spans="1:38" ht="15.75" customHeight="1">
      <c r="A863" s="167"/>
      <c r="B863" s="167"/>
      <c r="C863" s="167"/>
      <c r="D863" s="167"/>
      <c r="E863" s="167"/>
      <c r="F863" s="167"/>
      <c r="G863" s="167"/>
      <c r="H863" s="167"/>
      <c r="I863" s="167"/>
      <c r="J863" s="167"/>
      <c r="K863" s="167"/>
      <c r="L863" s="167"/>
      <c r="M863" s="167"/>
      <c r="N863" s="167"/>
      <c r="O863" s="167"/>
      <c r="P863" s="167"/>
      <c r="Q863" s="167"/>
      <c r="R863" s="167"/>
      <c r="S863" s="167"/>
      <c r="T863" s="167"/>
      <c r="U863" s="167"/>
      <c r="V863" s="167"/>
      <c r="W863" s="167"/>
      <c r="X863" s="167"/>
      <c r="Y863" s="167"/>
      <c r="Z863" s="167"/>
      <c r="AA863" s="167"/>
      <c r="AB863" s="167"/>
      <c r="AC863" s="167"/>
      <c r="AD863" s="167"/>
      <c r="AE863" s="167"/>
      <c r="AF863" s="167"/>
      <c r="AG863" s="167"/>
      <c r="AH863" s="167"/>
      <c r="AI863" s="167"/>
      <c r="AJ863" s="167"/>
      <c r="AK863" s="167"/>
      <c r="AL863" s="167"/>
    </row>
    <row r="864" spans="1:38" ht="15.75" customHeight="1">
      <c r="A864" s="167"/>
      <c r="B864" s="167"/>
      <c r="C864" s="167"/>
      <c r="D864" s="167"/>
      <c r="E864" s="167"/>
      <c r="F864" s="167"/>
      <c r="G864" s="167"/>
      <c r="H864" s="167"/>
      <c r="I864" s="167"/>
      <c r="J864" s="167"/>
      <c r="K864" s="167"/>
      <c r="L864" s="167"/>
      <c r="M864" s="167"/>
      <c r="N864" s="167"/>
      <c r="O864" s="167"/>
      <c r="P864" s="167"/>
      <c r="Q864" s="167"/>
      <c r="R864" s="167"/>
      <c r="S864" s="167"/>
      <c r="T864" s="167"/>
      <c r="U864" s="167"/>
      <c r="V864" s="167"/>
      <c r="W864" s="167"/>
      <c r="X864" s="167"/>
      <c r="Y864" s="167"/>
      <c r="Z864" s="167"/>
      <c r="AA864" s="167"/>
      <c r="AB864" s="167"/>
      <c r="AC864" s="167"/>
      <c r="AD864" s="167"/>
      <c r="AE864" s="167"/>
      <c r="AF864" s="167"/>
      <c r="AG864" s="167"/>
      <c r="AH864" s="167"/>
      <c r="AI864" s="167"/>
      <c r="AJ864" s="167"/>
      <c r="AK864" s="167"/>
      <c r="AL864" s="167"/>
    </row>
    <row r="865" spans="1:38" ht="15.75" customHeight="1">
      <c r="A865" s="167"/>
      <c r="B865" s="167"/>
      <c r="C865" s="167"/>
      <c r="D865" s="167"/>
      <c r="E865" s="167"/>
      <c r="F865" s="167"/>
      <c r="G865" s="167"/>
      <c r="H865" s="167"/>
      <c r="I865" s="167"/>
      <c r="J865" s="167"/>
      <c r="K865" s="167"/>
      <c r="L865" s="167"/>
      <c r="M865" s="167"/>
      <c r="N865" s="167"/>
      <c r="O865" s="167"/>
      <c r="P865" s="167"/>
      <c r="Q865" s="167"/>
      <c r="R865" s="167"/>
      <c r="S865" s="167"/>
      <c r="T865" s="167"/>
      <c r="U865" s="167"/>
      <c r="V865" s="167"/>
      <c r="W865" s="167"/>
      <c r="X865" s="167"/>
      <c r="Y865" s="167"/>
      <c r="Z865" s="167"/>
      <c r="AA865" s="167"/>
      <c r="AB865" s="167"/>
      <c r="AC865" s="167"/>
      <c r="AD865" s="167"/>
      <c r="AE865" s="167"/>
      <c r="AF865" s="167"/>
      <c r="AG865" s="167"/>
      <c r="AH865" s="167"/>
      <c r="AI865" s="167"/>
      <c r="AJ865" s="167"/>
      <c r="AK865" s="167"/>
      <c r="AL865" s="167"/>
    </row>
    <row r="866" spans="1:38" ht="15.75" customHeight="1">
      <c r="A866" s="167"/>
      <c r="B866" s="167"/>
      <c r="C866" s="167"/>
      <c r="D866" s="167"/>
      <c r="E866" s="167"/>
      <c r="F866" s="167"/>
      <c r="G866" s="167"/>
      <c r="H866" s="167"/>
      <c r="I866" s="167"/>
      <c r="J866" s="167"/>
      <c r="K866" s="167"/>
      <c r="L866" s="167"/>
      <c r="M866" s="167"/>
      <c r="N866" s="167"/>
      <c r="O866" s="167"/>
      <c r="P866" s="167"/>
      <c r="Q866" s="167"/>
      <c r="R866" s="167"/>
      <c r="S866" s="167"/>
      <c r="T866" s="167"/>
      <c r="U866" s="167"/>
      <c r="V866" s="167"/>
      <c r="W866" s="167"/>
      <c r="X866" s="167"/>
      <c r="Y866" s="167"/>
      <c r="Z866" s="167"/>
      <c r="AA866" s="167"/>
      <c r="AB866" s="167"/>
      <c r="AC866" s="167"/>
      <c r="AD866" s="167"/>
      <c r="AE866" s="167"/>
      <c r="AF866" s="167"/>
      <c r="AG866" s="167"/>
      <c r="AH866" s="167"/>
      <c r="AI866" s="167"/>
      <c r="AJ866" s="167"/>
      <c r="AK866" s="167"/>
      <c r="AL866" s="167"/>
    </row>
    <row r="867" spans="1:38" ht="15.75" customHeight="1">
      <c r="A867" s="167"/>
      <c r="B867" s="167"/>
      <c r="C867" s="167"/>
      <c r="D867" s="167"/>
      <c r="E867" s="167"/>
      <c r="F867" s="167"/>
      <c r="G867" s="167"/>
      <c r="H867" s="167"/>
      <c r="I867" s="167"/>
      <c r="J867" s="167"/>
      <c r="K867" s="167"/>
      <c r="L867" s="167"/>
      <c r="M867" s="167"/>
      <c r="N867" s="167"/>
      <c r="O867" s="167"/>
      <c r="P867" s="167"/>
      <c r="Q867" s="167"/>
      <c r="R867" s="167"/>
      <c r="S867" s="167"/>
      <c r="T867" s="167"/>
      <c r="U867" s="167"/>
      <c r="V867" s="167"/>
      <c r="W867" s="167"/>
      <c r="X867" s="167"/>
      <c r="Y867" s="167"/>
      <c r="Z867" s="167"/>
      <c r="AA867" s="167"/>
      <c r="AB867" s="167"/>
      <c r="AC867" s="167"/>
      <c r="AD867" s="167"/>
      <c r="AE867" s="167"/>
      <c r="AF867" s="167"/>
      <c r="AG867" s="167"/>
      <c r="AH867" s="167"/>
      <c r="AI867" s="167"/>
      <c r="AJ867" s="167"/>
      <c r="AK867" s="167"/>
      <c r="AL867" s="167"/>
    </row>
    <row r="868" spans="1:38" ht="15.75" customHeight="1">
      <c r="A868" s="167"/>
      <c r="B868" s="167"/>
      <c r="C868" s="167"/>
      <c r="D868" s="167"/>
      <c r="E868" s="167"/>
      <c r="F868" s="167"/>
      <c r="G868" s="167"/>
      <c r="H868" s="167"/>
      <c r="I868" s="167"/>
      <c r="J868" s="167"/>
      <c r="K868" s="167"/>
      <c r="L868" s="167"/>
      <c r="M868" s="167"/>
      <c r="N868" s="167"/>
      <c r="O868" s="167"/>
      <c r="P868" s="167"/>
      <c r="Q868" s="167"/>
      <c r="R868" s="167"/>
      <c r="S868" s="167"/>
      <c r="T868" s="167"/>
      <c r="U868" s="167"/>
      <c r="V868" s="167"/>
      <c r="W868" s="167"/>
      <c r="X868" s="167"/>
      <c r="Y868" s="167"/>
      <c r="Z868" s="167"/>
      <c r="AA868" s="167"/>
      <c r="AB868" s="167"/>
      <c r="AC868" s="167"/>
      <c r="AD868" s="167"/>
      <c r="AE868" s="167"/>
      <c r="AF868" s="167"/>
      <c r="AG868" s="167"/>
      <c r="AH868" s="167"/>
      <c r="AI868" s="167"/>
      <c r="AJ868" s="167"/>
      <c r="AK868" s="167"/>
      <c r="AL868" s="167"/>
    </row>
    <row r="869" spans="1:38" ht="15.75" customHeight="1">
      <c r="A869" s="167"/>
      <c r="B869" s="167"/>
      <c r="C869" s="167"/>
      <c r="D869" s="167"/>
      <c r="E869" s="167"/>
      <c r="F869" s="167"/>
      <c r="G869" s="167"/>
      <c r="H869" s="167"/>
      <c r="I869" s="167"/>
      <c r="J869" s="167"/>
      <c r="K869" s="167"/>
      <c r="L869" s="167"/>
      <c r="M869" s="167"/>
      <c r="N869" s="167"/>
      <c r="O869" s="167"/>
      <c r="P869" s="167"/>
      <c r="Q869" s="167"/>
      <c r="R869" s="167"/>
      <c r="S869" s="167"/>
      <c r="T869" s="167"/>
      <c r="U869" s="167"/>
      <c r="V869" s="167"/>
      <c r="W869" s="167"/>
      <c r="X869" s="167"/>
      <c r="Y869" s="167"/>
      <c r="Z869" s="167"/>
      <c r="AA869" s="167"/>
      <c r="AB869" s="167"/>
      <c r="AC869" s="167"/>
      <c r="AD869" s="167"/>
      <c r="AE869" s="167"/>
      <c r="AF869" s="167"/>
      <c r="AG869" s="167"/>
      <c r="AH869" s="167"/>
      <c r="AI869" s="167"/>
      <c r="AJ869" s="167"/>
      <c r="AK869" s="167"/>
      <c r="AL869" s="167"/>
    </row>
    <row r="870" spans="1:38" ht="15.75" customHeight="1">
      <c r="A870" s="167"/>
      <c r="B870" s="167"/>
      <c r="C870" s="167"/>
      <c r="D870" s="167"/>
      <c r="E870" s="167"/>
      <c r="F870" s="167"/>
      <c r="G870" s="167"/>
      <c r="H870" s="167"/>
      <c r="I870" s="167"/>
      <c r="J870" s="167"/>
      <c r="K870" s="167"/>
      <c r="L870" s="167"/>
      <c r="M870" s="167"/>
      <c r="N870" s="167"/>
      <c r="O870" s="167"/>
      <c r="P870" s="167"/>
      <c r="Q870" s="167"/>
      <c r="R870" s="167"/>
      <c r="S870" s="167"/>
      <c r="T870" s="167"/>
      <c r="U870" s="167"/>
      <c r="V870" s="167"/>
      <c r="W870" s="167"/>
      <c r="X870" s="167"/>
      <c r="Y870" s="167"/>
      <c r="Z870" s="167"/>
      <c r="AA870" s="167"/>
      <c r="AB870" s="167"/>
      <c r="AC870" s="167"/>
      <c r="AD870" s="167"/>
      <c r="AE870" s="167"/>
      <c r="AF870" s="167"/>
      <c r="AG870" s="167"/>
      <c r="AH870" s="167"/>
      <c r="AI870" s="167"/>
      <c r="AJ870" s="167"/>
      <c r="AK870" s="167"/>
      <c r="AL870" s="167"/>
    </row>
    <row r="871" spans="1:38" ht="15.75" customHeight="1">
      <c r="A871" s="167"/>
      <c r="B871" s="167"/>
      <c r="C871" s="167"/>
      <c r="D871" s="167"/>
      <c r="E871" s="167"/>
      <c r="F871" s="167"/>
      <c r="G871" s="167"/>
      <c r="H871" s="167"/>
      <c r="I871" s="167"/>
      <c r="J871" s="167"/>
      <c r="K871" s="167"/>
      <c r="L871" s="167"/>
      <c r="M871" s="167"/>
      <c r="N871" s="167"/>
      <c r="O871" s="167"/>
      <c r="P871" s="167"/>
      <c r="Q871" s="167"/>
      <c r="R871" s="167"/>
      <c r="S871" s="167"/>
      <c r="T871" s="167"/>
      <c r="U871" s="167"/>
      <c r="V871" s="167"/>
      <c r="W871" s="167"/>
      <c r="X871" s="167"/>
      <c r="Y871" s="167"/>
      <c r="Z871" s="167"/>
      <c r="AA871" s="167"/>
      <c r="AB871" s="167"/>
      <c r="AC871" s="167"/>
      <c r="AD871" s="167"/>
      <c r="AE871" s="167"/>
      <c r="AF871" s="167"/>
      <c r="AG871" s="167"/>
      <c r="AH871" s="167"/>
      <c r="AI871" s="167"/>
      <c r="AJ871" s="167"/>
      <c r="AK871" s="167"/>
      <c r="AL871" s="167"/>
    </row>
    <row r="872" spans="1:38" ht="15.75" customHeight="1">
      <c r="A872" s="167"/>
      <c r="B872" s="167"/>
      <c r="C872" s="167"/>
      <c r="D872" s="167"/>
      <c r="E872" s="167"/>
      <c r="F872" s="167"/>
      <c r="G872" s="167"/>
      <c r="H872" s="167"/>
      <c r="I872" s="167"/>
      <c r="J872" s="167"/>
      <c r="K872" s="167"/>
      <c r="L872" s="167"/>
      <c r="M872" s="167"/>
      <c r="N872" s="167"/>
      <c r="O872" s="167"/>
      <c r="P872" s="167"/>
      <c r="Q872" s="167"/>
      <c r="R872" s="167"/>
      <c r="S872" s="167"/>
      <c r="T872" s="167"/>
      <c r="U872" s="167"/>
      <c r="V872" s="167"/>
      <c r="W872" s="167"/>
      <c r="X872" s="167"/>
      <c r="Y872" s="167"/>
      <c r="Z872" s="167"/>
      <c r="AA872" s="167"/>
      <c r="AB872" s="167"/>
      <c r="AC872" s="167"/>
      <c r="AD872" s="167"/>
      <c r="AE872" s="167"/>
      <c r="AF872" s="167"/>
      <c r="AG872" s="167"/>
      <c r="AH872" s="167"/>
      <c r="AI872" s="167"/>
      <c r="AJ872" s="167"/>
      <c r="AK872" s="167"/>
      <c r="AL872" s="167"/>
    </row>
    <row r="873" spans="1:38" ht="15.75" customHeight="1">
      <c r="A873" s="167"/>
      <c r="B873" s="167"/>
      <c r="C873" s="167"/>
      <c r="D873" s="167"/>
      <c r="E873" s="167"/>
      <c r="F873" s="167"/>
      <c r="G873" s="167"/>
      <c r="H873" s="167"/>
      <c r="I873" s="167"/>
      <c r="J873" s="167"/>
      <c r="K873" s="167"/>
      <c r="L873" s="167"/>
      <c r="M873" s="167"/>
      <c r="N873" s="167"/>
      <c r="O873" s="167"/>
      <c r="P873" s="167"/>
      <c r="Q873" s="167"/>
      <c r="R873" s="167"/>
      <c r="S873" s="167"/>
      <c r="T873" s="167"/>
      <c r="U873" s="167"/>
      <c r="V873" s="167"/>
      <c r="W873" s="167"/>
      <c r="X873" s="167"/>
      <c r="Y873" s="167"/>
      <c r="Z873" s="167"/>
      <c r="AA873" s="167"/>
      <c r="AB873" s="167"/>
      <c r="AC873" s="167"/>
      <c r="AD873" s="167"/>
      <c r="AE873" s="167"/>
      <c r="AF873" s="167"/>
      <c r="AG873" s="167"/>
      <c r="AH873" s="167"/>
      <c r="AI873" s="167"/>
      <c r="AJ873" s="167"/>
      <c r="AK873" s="167"/>
      <c r="AL873" s="167"/>
    </row>
    <row r="874" spans="1:38" ht="15.75" customHeight="1">
      <c r="A874" s="167"/>
      <c r="B874" s="167"/>
      <c r="C874" s="167"/>
      <c r="D874" s="167"/>
      <c r="E874" s="167"/>
      <c r="F874" s="167"/>
      <c r="G874" s="167"/>
      <c r="H874" s="167"/>
      <c r="I874" s="167"/>
      <c r="J874" s="167"/>
      <c r="K874" s="167"/>
      <c r="L874" s="167"/>
      <c r="M874" s="167"/>
      <c r="N874" s="167"/>
      <c r="O874" s="167"/>
      <c r="P874" s="167"/>
      <c r="Q874" s="167"/>
      <c r="R874" s="167"/>
      <c r="S874" s="167"/>
      <c r="T874" s="167"/>
      <c r="U874" s="167"/>
      <c r="V874" s="167"/>
      <c r="W874" s="167"/>
      <c r="X874" s="167"/>
      <c r="Y874" s="167"/>
      <c r="Z874" s="167"/>
      <c r="AA874" s="167"/>
      <c r="AB874" s="167"/>
      <c r="AC874" s="167"/>
      <c r="AD874" s="167"/>
      <c r="AE874" s="167"/>
      <c r="AF874" s="167"/>
      <c r="AG874" s="167"/>
      <c r="AH874" s="167"/>
      <c r="AI874" s="167"/>
      <c r="AJ874" s="167"/>
      <c r="AK874" s="167"/>
      <c r="AL874" s="167"/>
    </row>
    <row r="875" spans="1:38" ht="15.75" customHeight="1">
      <c r="A875" s="167"/>
      <c r="B875" s="167"/>
      <c r="C875" s="167"/>
      <c r="D875" s="167"/>
      <c r="E875" s="167"/>
      <c r="F875" s="167"/>
      <c r="G875" s="167"/>
      <c r="H875" s="167"/>
      <c r="I875" s="167"/>
      <c r="J875" s="167"/>
      <c r="K875" s="167"/>
      <c r="L875" s="167"/>
      <c r="M875" s="167"/>
      <c r="N875" s="167"/>
      <c r="O875" s="167"/>
      <c r="P875" s="167"/>
      <c r="Q875" s="167"/>
      <c r="R875" s="167"/>
      <c r="S875" s="167"/>
      <c r="T875" s="167"/>
      <c r="U875" s="167"/>
      <c r="V875" s="167"/>
      <c r="W875" s="167"/>
      <c r="X875" s="167"/>
      <c r="Y875" s="167"/>
      <c r="Z875" s="167"/>
      <c r="AA875" s="167"/>
      <c r="AB875" s="167"/>
      <c r="AC875" s="167"/>
      <c r="AD875" s="167"/>
      <c r="AE875" s="167"/>
      <c r="AF875" s="167"/>
      <c r="AG875" s="167"/>
      <c r="AH875" s="167"/>
      <c r="AI875" s="167"/>
      <c r="AJ875" s="167"/>
      <c r="AK875" s="167"/>
      <c r="AL875" s="167"/>
    </row>
    <row r="876" spans="1:38" ht="15.75" customHeight="1">
      <c r="A876" s="167"/>
      <c r="B876" s="167"/>
      <c r="C876" s="167"/>
      <c r="D876" s="167"/>
      <c r="E876" s="167"/>
      <c r="F876" s="167"/>
      <c r="G876" s="167"/>
      <c r="H876" s="167"/>
      <c r="I876" s="167"/>
      <c r="J876" s="167"/>
      <c r="K876" s="167"/>
      <c r="L876" s="167"/>
      <c r="M876" s="167"/>
      <c r="N876" s="167"/>
      <c r="O876" s="167"/>
      <c r="P876" s="167"/>
      <c r="Q876" s="167"/>
      <c r="R876" s="167"/>
      <c r="S876" s="167"/>
      <c r="T876" s="167"/>
      <c r="U876" s="167"/>
      <c r="V876" s="167"/>
      <c r="W876" s="167"/>
      <c r="X876" s="167"/>
      <c r="Y876" s="167"/>
      <c r="Z876" s="167"/>
      <c r="AA876" s="167"/>
      <c r="AB876" s="167"/>
      <c r="AC876" s="167"/>
      <c r="AD876" s="167"/>
      <c r="AE876" s="167"/>
      <c r="AF876" s="167"/>
      <c r="AG876" s="167"/>
      <c r="AH876" s="167"/>
      <c r="AI876" s="167"/>
      <c r="AJ876" s="167"/>
      <c r="AK876" s="167"/>
      <c r="AL876" s="167"/>
    </row>
    <row r="877" spans="1:38" ht="15.75" customHeight="1">
      <c r="A877" s="167"/>
      <c r="B877" s="167"/>
      <c r="C877" s="167"/>
      <c r="D877" s="167"/>
      <c r="E877" s="167"/>
      <c r="F877" s="167"/>
      <c r="G877" s="167"/>
      <c r="H877" s="167"/>
      <c r="I877" s="167"/>
      <c r="J877" s="167"/>
      <c r="K877" s="167"/>
      <c r="L877" s="167"/>
      <c r="M877" s="167"/>
      <c r="N877" s="167"/>
      <c r="O877" s="167"/>
      <c r="P877" s="167"/>
      <c r="Q877" s="167"/>
      <c r="R877" s="167"/>
      <c r="S877" s="167"/>
      <c r="T877" s="167"/>
      <c r="U877" s="167"/>
      <c r="V877" s="167"/>
      <c r="W877" s="167"/>
      <c r="X877" s="167"/>
      <c r="Y877" s="167"/>
      <c r="Z877" s="167"/>
      <c r="AA877" s="167"/>
      <c r="AB877" s="167"/>
      <c r="AC877" s="167"/>
      <c r="AD877" s="167"/>
      <c r="AE877" s="167"/>
      <c r="AF877" s="167"/>
      <c r="AG877" s="167"/>
      <c r="AH877" s="167"/>
      <c r="AI877" s="167"/>
      <c r="AJ877" s="167"/>
      <c r="AK877" s="167"/>
      <c r="AL877" s="167"/>
    </row>
    <row r="878" spans="1:38" ht="15.75" customHeight="1">
      <c r="A878" s="167"/>
      <c r="B878" s="167"/>
      <c r="C878" s="167"/>
      <c r="D878" s="167"/>
      <c r="E878" s="167"/>
      <c r="F878" s="167"/>
      <c r="G878" s="167"/>
      <c r="H878" s="167"/>
      <c r="I878" s="167"/>
      <c r="J878" s="167"/>
      <c r="K878" s="167"/>
      <c r="L878" s="167"/>
      <c r="M878" s="167"/>
      <c r="N878" s="167"/>
      <c r="O878" s="167"/>
      <c r="P878" s="167"/>
      <c r="Q878" s="167"/>
      <c r="R878" s="167"/>
      <c r="S878" s="167"/>
      <c r="T878" s="167"/>
      <c r="U878" s="167"/>
      <c r="V878" s="167"/>
      <c r="W878" s="167"/>
      <c r="X878" s="167"/>
      <c r="Y878" s="167"/>
      <c r="Z878" s="167"/>
      <c r="AA878" s="167"/>
      <c r="AB878" s="167"/>
      <c r="AC878" s="167"/>
      <c r="AD878" s="167"/>
      <c r="AE878" s="167"/>
      <c r="AF878" s="167"/>
      <c r="AG878" s="167"/>
      <c r="AH878" s="167"/>
      <c r="AI878" s="167"/>
      <c r="AJ878" s="167"/>
      <c r="AK878" s="167"/>
      <c r="AL878" s="167"/>
    </row>
    <row r="879" spans="1:38" ht="15.75" customHeight="1">
      <c r="A879" s="167"/>
      <c r="B879" s="167"/>
      <c r="C879" s="167"/>
      <c r="D879" s="167"/>
      <c r="E879" s="167"/>
      <c r="F879" s="167"/>
      <c r="G879" s="167"/>
      <c r="H879" s="167"/>
      <c r="I879" s="167"/>
      <c r="J879" s="167"/>
      <c r="K879" s="167"/>
      <c r="L879" s="167"/>
      <c r="M879" s="167"/>
      <c r="N879" s="167"/>
      <c r="O879" s="167"/>
      <c r="P879" s="167"/>
      <c r="Q879" s="167"/>
      <c r="R879" s="167"/>
      <c r="S879" s="167"/>
      <c r="T879" s="167"/>
      <c r="U879" s="167"/>
      <c r="V879" s="167"/>
      <c r="W879" s="167"/>
      <c r="X879" s="167"/>
      <c r="Y879" s="167"/>
      <c r="Z879" s="167"/>
      <c r="AA879" s="167"/>
      <c r="AB879" s="167"/>
      <c r="AC879" s="167"/>
      <c r="AD879" s="167"/>
      <c r="AE879" s="167"/>
      <c r="AF879" s="167"/>
      <c r="AG879" s="167"/>
      <c r="AH879" s="167"/>
      <c r="AI879" s="167"/>
      <c r="AJ879" s="167"/>
      <c r="AK879" s="167"/>
      <c r="AL879" s="167"/>
    </row>
    <row r="880" spans="1:38" ht="15.75" customHeight="1">
      <c r="A880" s="167"/>
      <c r="B880" s="167"/>
      <c r="C880" s="167"/>
      <c r="D880" s="167"/>
      <c r="E880" s="167"/>
      <c r="F880" s="167"/>
      <c r="G880" s="167"/>
      <c r="H880" s="167"/>
      <c r="I880" s="167"/>
      <c r="J880" s="167"/>
      <c r="K880" s="167"/>
      <c r="L880" s="167"/>
      <c r="M880" s="167"/>
      <c r="N880" s="167"/>
      <c r="O880" s="167"/>
      <c r="P880" s="167"/>
      <c r="Q880" s="167"/>
      <c r="R880" s="167"/>
      <c r="S880" s="167"/>
      <c r="T880" s="167"/>
      <c r="U880" s="167"/>
      <c r="V880" s="167"/>
      <c r="W880" s="167"/>
      <c r="X880" s="167"/>
      <c r="Y880" s="167"/>
      <c r="Z880" s="167"/>
      <c r="AA880" s="167"/>
      <c r="AB880" s="167"/>
      <c r="AC880" s="167"/>
      <c r="AD880" s="167"/>
      <c r="AE880" s="167"/>
      <c r="AF880" s="167"/>
      <c r="AG880" s="167"/>
      <c r="AH880" s="167"/>
      <c r="AI880" s="167"/>
      <c r="AJ880" s="167"/>
      <c r="AK880" s="167"/>
      <c r="AL880" s="167"/>
    </row>
    <row r="881" spans="1:38" ht="15.75" customHeight="1">
      <c r="A881" s="167"/>
      <c r="B881" s="167"/>
      <c r="C881" s="167"/>
      <c r="D881" s="167"/>
      <c r="E881" s="167"/>
      <c r="F881" s="167"/>
      <c r="G881" s="167"/>
      <c r="H881" s="167"/>
      <c r="I881" s="167"/>
      <c r="J881" s="167"/>
      <c r="K881" s="167"/>
      <c r="L881" s="167"/>
      <c r="M881" s="167"/>
      <c r="N881" s="167"/>
      <c r="O881" s="167"/>
      <c r="P881" s="167"/>
      <c r="Q881" s="167"/>
      <c r="R881" s="167"/>
      <c r="S881" s="167"/>
      <c r="T881" s="167"/>
      <c r="U881" s="167"/>
      <c r="V881" s="167"/>
      <c r="W881" s="167"/>
      <c r="X881" s="167"/>
      <c r="Y881" s="167"/>
      <c r="Z881" s="167"/>
      <c r="AA881" s="167"/>
      <c r="AB881" s="167"/>
      <c r="AC881" s="167"/>
      <c r="AD881" s="167"/>
      <c r="AE881" s="167"/>
      <c r="AF881" s="167"/>
      <c r="AG881" s="167"/>
      <c r="AH881" s="167"/>
      <c r="AI881" s="167"/>
      <c r="AJ881" s="167"/>
      <c r="AK881" s="167"/>
      <c r="AL881" s="167"/>
    </row>
    <row r="882" spans="1:38" ht="15.75" customHeight="1">
      <c r="A882" s="167"/>
      <c r="B882" s="167"/>
      <c r="C882" s="167"/>
      <c r="D882" s="167"/>
      <c r="E882" s="167"/>
      <c r="F882" s="167"/>
      <c r="G882" s="167"/>
      <c r="H882" s="167"/>
      <c r="I882" s="167"/>
      <c r="J882" s="167"/>
      <c r="K882" s="167"/>
      <c r="L882" s="167"/>
      <c r="M882" s="167"/>
      <c r="N882" s="167"/>
      <c r="O882" s="167"/>
      <c r="P882" s="167"/>
      <c r="Q882" s="167"/>
      <c r="R882" s="167"/>
      <c r="S882" s="167"/>
      <c r="T882" s="167"/>
      <c r="U882" s="167"/>
      <c r="V882" s="167"/>
      <c r="W882" s="167"/>
      <c r="X882" s="167"/>
      <c r="Y882" s="167"/>
      <c r="Z882" s="167"/>
      <c r="AA882" s="167"/>
      <c r="AB882" s="167"/>
      <c r="AC882" s="167"/>
      <c r="AD882" s="167"/>
      <c r="AE882" s="167"/>
      <c r="AF882" s="167"/>
      <c r="AG882" s="167"/>
      <c r="AH882" s="167"/>
      <c r="AI882" s="167"/>
      <c r="AJ882" s="167"/>
      <c r="AK882" s="167"/>
      <c r="AL882" s="167"/>
    </row>
    <row r="883" spans="1:38" ht="15.75" customHeight="1">
      <c r="A883" s="167"/>
      <c r="B883" s="167"/>
      <c r="C883" s="167"/>
      <c r="D883" s="167"/>
      <c r="E883" s="167"/>
      <c r="F883" s="167"/>
      <c r="G883" s="167"/>
      <c r="H883" s="167"/>
      <c r="I883" s="167"/>
      <c r="J883" s="167"/>
      <c r="K883" s="167"/>
      <c r="L883" s="167"/>
      <c r="M883" s="167"/>
      <c r="N883" s="167"/>
      <c r="O883" s="167"/>
      <c r="P883" s="167"/>
      <c r="Q883" s="167"/>
      <c r="R883" s="167"/>
      <c r="S883" s="167"/>
      <c r="T883" s="167"/>
      <c r="U883" s="167"/>
      <c r="V883" s="167"/>
      <c r="W883" s="167"/>
      <c r="X883" s="167"/>
      <c r="Y883" s="167"/>
      <c r="Z883" s="167"/>
      <c r="AA883" s="167"/>
      <c r="AB883" s="167"/>
      <c r="AC883" s="167"/>
      <c r="AD883" s="167"/>
      <c r="AE883" s="167"/>
      <c r="AF883" s="167"/>
      <c r="AG883" s="167"/>
      <c r="AH883" s="167"/>
      <c r="AI883" s="167"/>
      <c r="AJ883" s="167"/>
      <c r="AK883" s="167"/>
      <c r="AL883" s="167"/>
    </row>
    <row r="884" spans="1:38" ht="15.75" customHeight="1">
      <c r="A884" s="167"/>
      <c r="B884" s="167"/>
      <c r="C884" s="167"/>
      <c r="D884" s="167"/>
      <c r="E884" s="167"/>
      <c r="F884" s="167"/>
      <c r="G884" s="167"/>
      <c r="H884" s="167"/>
      <c r="I884" s="167"/>
      <c r="J884" s="167"/>
      <c r="K884" s="167"/>
      <c r="L884" s="167"/>
      <c r="M884" s="167"/>
      <c r="N884" s="167"/>
      <c r="O884" s="167"/>
      <c r="P884" s="167"/>
      <c r="Q884" s="167"/>
      <c r="R884" s="167"/>
      <c r="S884" s="167"/>
      <c r="T884" s="167"/>
      <c r="U884" s="167"/>
      <c r="V884" s="167"/>
      <c r="W884" s="167"/>
      <c r="X884" s="167"/>
      <c r="Y884" s="167"/>
      <c r="Z884" s="167"/>
      <c r="AA884" s="167"/>
      <c r="AB884" s="167"/>
      <c r="AC884" s="167"/>
      <c r="AD884" s="167"/>
      <c r="AE884" s="167"/>
      <c r="AF884" s="167"/>
      <c r="AG884" s="167"/>
      <c r="AH884" s="167"/>
      <c r="AI884" s="167"/>
      <c r="AJ884" s="167"/>
      <c r="AK884" s="167"/>
      <c r="AL884" s="167"/>
    </row>
    <row r="885" spans="1:38" ht="15.75" customHeight="1">
      <c r="A885" s="167"/>
      <c r="B885" s="167"/>
      <c r="C885" s="167"/>
      <c r="D885" s="167"/>
      <c r="E885" s="167"/>
      <c r="F885" s="167"/>
      <c r="G885" s="167"/>
      <c r="H885" s="167"/>
      <c r="I885" s="167"/>
      <c r="J885" s="167"/>
      <c r="K885" s="167"/>
      <c r="L885" s="167"/>
      <c r="M885" s="167"/>
      <c r="N885" s="167"/>
      <c r="O885" s="167"/>
      <c r="P885" s="167"/>
      <c r="Q885" s="167"/>
      <c r="R885" s="167"/>
      <c r="S885" s="167"/>
      <c r="T885" s="167"/>
      <c r="U885" s="167"/>
      <c r="V885" s="167"/>
      <c r="W885" s="167"/>
      <c r="X885" s="167"/>
      <c r="Y885" s="167"/>
      <c r="Z885" s="167"/>
      <c r="AA885" s="167"/>
      <c r="AB885" s="167"/>
      <c r="AC885" s="167"/>
      <c r="AD885" s="167"/>
      <c r="AE885" s="167"/>
      <c r="AF885" s="167"/>
      <c r="AG885" s="167"/>
      <c r="AH885" s="167"/>
      <c r="AI885" s="167"/>
      <c r="AJ885" s="167"/>
      <c r="AK885" s="167"/>
      <c r="AL885" s="167"/>
    </row>
    <row r="886" spans="1:38" ht="15.75" customHeight="1">
      <c r="A886" s="167"/>
      <c r="B886" s="167"/>
      <c r="C886" s="167"/>
      <c r="D886" s="167"/>
      <c r="E886" s="167"/>
      <c r="F886" s="167"/>
      <c r="G886" s="167"/>
      <c r="H886" s="167"/>
      <c r="I886" s="167"/>
      <c r="J886" s="167"/>
      <c r="K886" s="167"/>
      <c r="L886" s="167"/>
      <c r="M886" s="167"/>
      <c r="N886" s="167"/>
      <c r="O886" s="167"/>
      <c r="P886" s="167"/>
      <c r="Q886" s="167"/>
      <c r="R886" s="167"/>
      <c r="S886" s="167"/>
      <c r="T886" s="167"/>
      <c r="U886" s="167"/>
      <c r="V886" s="167"/>
      <c r="W886" s="167"/>
      <c r="X886" s="167"/>
      <c r="Y886" s="167"/>
      <c r="Z886" s="167"/>
      <c r="AA886" s="167"/>
      <c r="AB886" s="167"/>
      <c r="AC886" s="167"/>
      <c r="AD886" s="167"/>
      <c r="AE886" s="167"/>
      <c r="AF886" s="167"/>
      <c r="AG886" s="167"/>
      <c r="AH886" s="167"/>
      <c r="AI886" s="167"/>
      <c r="AJ886" s="167"/>
      <c r="AK886" s="167"/>
      <c r="AL886" s="167"/>
    </row>
    <row r="887" spans="1:38" ht="15.75" customHeight="1">
      <c r="A887" s="167"/>
      <c r="B887" s="167"/>
      <c r="C887" s="167"/>
      <c r="D887" s="167"/>
      <c r="E887" s="167"/>
      <c r="F887" s="167"/>
      <c r="G887" s="167"/>
      <c r="H887" s="167"/>
      <c r="I887" s="167"/>
      <c r="J887" s="167"/>
      <c r="K887" s="167"/>
      <c r="L887" s="167"/>
      <c r="M887" s="167"/>
      <c r="N887" s="167"/>
      <c r="O887" s="167"/>
      <c r="P887" s="167"/>
      <c r="Q887" s="167"/>
      <c r="R887" s="167"/>
      <c r="S887" s="167"/>
      <c r="T887" s="167"/>
      <c r="U887" s="167"/>
      <c r="V887" s="167"/>
      <c r="W887" s="167"/>
      <c r="X887" s="167"/>
      <c r="Y887" s="167"/>
      <c r="Z887" s="167"/>
      <c r="AA887" s="167"/>
      <c r="AB887" s="167"/>
      <c r="AC887" s="167"/>
      <c r="AD887" s="167"/>
      <c r="AE887" s="167"/>
      <c r="AF887" s="167"/>
      <c r="AG887" s="167"/>
      <c r="AH887" s="167"/>
      <c r="AI887" s="167"/>
      <c r="AJ887" s="167"/>
      <c r="AK887" s="167"/>
      <c r="AL887" s="167"/>
    </row>
    <row r="888" spans="1:38" ht="15.75" customHeight="1">
      <c r="A888" s="167"/>
      <c r="B888" s="167"/>
      <c r="C888" s="167"/>
      <c r="D888" s="167"/>
      <c r="E888" s="167"/>
      <c r="F888" s="167"/>
      <c r="G888" s="167"/>
      <c r="H888" s="167"/>
      <c r="I888" s="167"/>
      <c r="J888" s="167"/>
      <c r="K888" s="167"/>
      <c r="L888" s="167"/>
      <c r="M888" s="167"/>
      <c r="N888" s="167"/>
      <c r="O888" s="167"/>
      <c r="P888" s="167"/>
      <c r="Q888" s="167"/>
      <c r="R888" s="167"/>
      <c r="S888" s="167"/>
      <c r="T888" s="167"/>
      <c r="U888" s="167"/>
      <c r="V888" s="167"/>
      <c r="W888" s="167"/>
      <c r="X888" s="167"/>
      <c r="Y888" s="167"/>
      <c r="Z888" s="167"/>
      <c r="AA888" s="167"/>
      <c r="AB888" s="167"/>
      <c r="AC888" s="167"/>
      <c r="AD888" s="167"/>
      <c r="AE888" s="167"/>
      <c r="AF888" s="167"/>
      <c r="AG888" s="167"/>
      <c r="AH888" s="167"/>
      <c r="AI888" s="167"/>
      <c r="AJ888" s="167"/>
      <c r="AK888" s="167"/>
      <c r="AL888" s="167"/>
    </row>
    <row r="889" spans="1:38" ht="15.75" customHeight="1">
      <c r="A889" s="167"/>
      <c r="B889" s="167"/>
      <c r="C889" s="167"/>
      <c r="D889" s="167"/>
      <c r="E889" s="167"/>
      <c r="F889" s="167"/>
      <c r="G889" s="167"/>
      <c r="H889" s="167"/>
      <c r="I889" s="167"/>
      <c r="J889" s="167"/>
      <c r="K889" s="167"/>
      <c r="L889" s="167"/>
      <c r="M889" s="167"/>
      <c r="N889" s="167"/>
      <c r="O889" s="167"/>
      <c r="P889" s="167"/>
      <c r="Q889" s="167"/>
      <c r="R889" s="167"/>
      <c r="S889" s="167"/>
      <c r="T889" s="167"/>
      <c r="U889" s="167"/>
      <c r="V889" s="167"/>
      <c r="W889" s="167"/>
      <c r="X889" s="167"/>
      <c r="Y889" s="167"/>
      <c r="Z889" s="167"/>
      <c r="AA889" s="167"/>
      <c r="AB889" s="167"/>
      <c r="AC889" s="167"/>
      <c r="AD889" s="167"/>
      <c r="AE889" s="167"/>
      <c r="AF889" s="167"/>
      <c r="AG889" s="167"/>
      <c r="AH889" s="167"/>
      <c r="AI889" s="167"/>
      <c r="AJ889" s="167"/>
      <c r="AK889" s="167"/>
      <c r="AL889" s="167"/>
    </row>
    <row r="890" spans="1:38" ht="15.75" customHeight="1">
      <c r="A890" s="167"/>
      <c r="B890" s="167"/>
      <c r="C890" s="167"/>
      <c r="D890" s="167"/>
      <c r="E890" s="167"/>
      <c r="F890" s="167"/>
      <c r="G890" s="167"/>
      <c r="H890" s="167"/>
      <c r="I890" s="167"/>
      <c r="J890" s="167"/>
      <c r="K890" s="167"/>
      <c r="L890" s="167"/>
      <c r="M890" s="167"/>
      <c r="N890" s="167"/>
      <c r="O890" s="167"/>
      <c r="P890" s="167"/>
      <c r="Q890" s="167"/>
      <c r="R890" s="167"/>
      <c r="S890" s="167"/>
      <c r="T890" s="167"/>
      <c r="U890" s="167"/>
      <c r="V890" s="167"/>
      <c r="W890" s="167"/>
      <c r="X890" s="167"/>
      <c r="Y890" s="167"/>
      <c r="Z890" s="167"/>
      <c r="AA890" s="167"/>
      <c r="AB890" s="167"/>
      <c r="AC890" s="167"/>
      <c r="AD890" s="167"/>
      <c r="AE890" s="167"/>
      <c r="AF890" s="167"/>
      <c r="AG890" s="167"/>
      <c r="AH890" s="167"/>
      <c r="AI890" s="167"/>
      <c r="AJ890" s="167"/>
      <c r="AK890" s="167"/>
      <c r="AL890" s="167"/>
    </row>
    <row r="891" spans="1:38" ht="15.75" customHeight="1">
      <c r="A891" s="167"/>
      <c r="B891" s="167"/>
      <c r="C891" s="167"/>
      <c r="D891" s="167"/>
      <c r="E891" s="167"/>
      <c r="F891" s="167"/>
      <c r="G891" s="167"/>
      <c r="H891" s="167"/>
      <c r="I891" s="167"/>
      <c r="J891" s="167"/>
      <c r="K891" s="167"/>
      <c r="L891" s="167"/>
      <c r="M891" s="167"/>
      <c r="N891" s="167"/>
      <c r="O891" s="167"/>
      <c r="P891" s="167"/>
      <c r="Q891" s="167"/>
      <c r="R891" s="167"/>
      <c r="S891" s="167"/>
      <c r="T891" s="167"/>
      <c r="U891" s="167"/>
      <c r="V891" s="167"/>
      <c r="W891" s="167"/>
      <c r="X891" s="167"/>
      <c r="Y891" s="167"/>
      <c r="Z891" s="167"/>
      <c r="AA891" s="167"/>
      <c r="AB891" s="167"/>
      <c r="AC891" s="167"/>
      <c r="AD891" s="167"/>
      <c r="AE891" s="167"/>
      <c r="AF891" s="167"/>
      <c r="AG891" s="167"/>
      <c r="AH891" s="167"/>
      <c r="AI891" s="167"/>
      <c r="AJ891" s="167"/>
      <c r="AK891" s="167"/>
      <c r="AL891" s="167"/>
    </row>
    <row r="892" spans="1:38" ht="15.75" customHeight="1">
      <c r="A892" s="167"/>
      <c r="B892" s="167"/>
      <c r="C892" s="167"/>
      <c r="D892" s="167"/>
      <c r="E892" s="167"/>
      <c r="F892" s="167"/>
      <c r="G892" s="167"/>
      <c r="H892" s="167"/>
      <c r="I892" s="167"/>
      <c r="J892" s="167"/>
      <c r="K892" s="167"/>
      <c r="L892" s="167"/>
      <c r="M892" s="167"/>
      <c r="N892" s="167"/>
      <c r="O892" s="167"/>
      <c r="P892" s="167"/>
      <c r="Q892" s="167"/>
      <c r="R892" s="167"/>
      <c r="S892" s="167"/>
      <c r="T892" s="167"/>
      <c r="U892" s="167"/>
      <c r="V892" s="167"/>
      <c r="W892" s="167"/>
      <c r="X892" s="167"/>
      <c r="Y892" s="167"/>
      <c r="Z892" s="167"/>
      <c r="AA892" s="167"/>
      <c r="AB892" s="167"/>
      <c r="AC892" s="167"/>
      <c r="AD892" s="167"/>
      <c r="AE892" s="167"/>
      <c r="AF892" s="167"/>
      <c r="AG892" s="167"/>
      <c r="AH892" s="167"/>
      <c r="AI892" s="167"/>
      <c r="AJ892" s="167"/>
      <c r="AK892" s="167"/>
      <c r="AL892" s="167"/>
    </row>
    <row r="893" spans="1:38" ht="15.75" customHeight="1">
      <c r="A893" s="167"/>
      <c r="B893" s="167"/>
      <c r="C893" s="167"/>
      <c r="D893" s="167"/>
      <c r="E893" s="167"/>
      <c r="F893" s="167"/>
      <c r="G893" s="167"/>
      <c r="H893" s="167"/>
      <c r="I893" s="167"/>
      <c r="J893" s="167"/>
      <c r="K893" s="167"/>
      <c r="L893" s="167"/>
      <c r="M893" s="167"/>
      <c r="N893" s="167"/>
      <c r="O893" s="167"/>
      <c r="P893" s="167"/>
      <c r="Q893" s="167"/>
      <c r="R893" s="167"/>
      <c r="S893" s="167"/>
      <c r="T893" s="167"/>
      <c r="U893" s="167"/>
      <c r="V893" s="167"/>
      <c r="W893" s="167"/>
      <c r="X893" s="167"/>
      <c r="Y893" s="167"/>
      <c r="Z893" s="167"/>
      <c r="AA893" s="167"/>
      <c r="AB893" s="167"/>
      <c r="AC893" s="167"/>
      <c r="AD893" s="167"/>
      <c r="AE893" s="167"/>
      <c r="AF893" s="167"/>
      <c r="AG893" s="167"/>
      <c r="AH893" s="167"/>
      <c r="AI893" s="167"/>
      <c r="AJ893" s="167"/>
      <c r="AK893" s="167"/>
      <c r="AL893" s="167"/>
    </row>
    <row r="894" spans="1:38" ht="15.75" customHeight="1">
      <c r="A894" s="167"/>
      <c r="B894" s="167"/>
      <c r="C894" s="167"/>
      <c r="D894" s="167"/>
      <c r="E894" s="167"/>
      <c r="F894" s="167"/>
      <c r="G894" s="167"/>
      <c r="H894" s="167"/>
      <c r="I894" s="167"/>
      <c r="J894" s="167"/>
      <c r="K894" s="167"/>
      <c r="L894" s="167"/>
      <c r="M894" s="167"/>
      <c r="N894" s="167"/>
      <c r="O894" s="167"/>
      <c r="P894" s="167"/>
      <c r="Q894" s="167"/>
      <c r="R894" s="167"/>
      <c r="S894" s="167"/>
      <c r="T894" s="167"/>
      <c r="U894" s="167"/>
      <c r="V894" s="167"/>
      <c r="W894" s="167"/>
      <c r="X894" s="167"/>
      <c r="Y894" s="167"/>
      <c r="Z894" s="167"/>
      <c r="AA894" s="167"/>
      <c r="AB894" s="167"/>
      <c r="AC894" s="167"/>
      <c r="AD894" s="167"/>
      <c r="AE894" s="167"/>
      <c r="AF894" s="167"/>
      <c r="AG894" s="167"/>
      <c r="AH894" s="167"/>
      <c r="AI894" s="167"/>
      <c r="AJ894" s="167"/>
      <c r="AK894" s="167"/>
      <c r="AL894" s="167"/>
    </row>
    <row r="895" spans="1:38" ht="15.75" customHeight="1">
      <c r="A895" s="167"/>
      <c r="B895" s="167"/>
      <c r="C895" s="167"/>
      <c r="D895" s="167"/>
      <c r="E895" s="167"/>
      <c r="F895" s="167"/>
      <c r="G895" s="167"/>
      <c r="H895" s="167"/>
      <c r="I895" s="167"/>
      <c r="J895" s="167"/>
      <c r="K895" s="167"/>
      <c r="L895" s="167"/>
      <c r="M895" s="167"/>
      <c r="N895" s="167"/>
      <c r="O895" s="167"/>
      <c r="P895" s="167"/>
      <c r="Q895" s="167"/>
      <c r="R895" s="167"/>
      <c r="S895" s="167"/>
      <c r="T895" s="167"/>
      <c r="U895" s="167"/>
      <c r="V895" s="167"/>
      <c r="W895" s="167"/>
      <c r="X895" s="167"/>
      <c r="Y895" s="167"/>
      <c r="Z895" s="167"/>
      <c r="AA895" s="167"/>
      <c r="AB895" s="167"/>
      <c r="AC895" s="167"/>
      <c r="AD895" s="167"/>
      <c r="AE895" s="167"/>
      <c r="AF895" s="167"/>
      <c r="AG895" s="167"/>
      <c r="AH895" s="167"/>
      <c r="AI895" s="167"/>
      <c r="AJ895" s="167"/>
      <c r="AK895" s="167"/>
      <c r="AL895" s="167"/>
    </row>
    <row r="896" spans="1:38" ht="15.75" customHeight="1">
      <c r="A896" s="167"/>
      <c r="B896" s="167"/>
      <c r="C896" s="167"/>
      <c r="D896" s="167"/>
      <c r="E896" s="167"/>
      <c r="F896" s="167"/>
      <c r="G896" s="167"/>
      <c r="H896" s="167"/>
      <c r="I896" s="167"/>
      <c r="J896" s="167"/>
      <c r="K896" s="167"/>
      <c r="L896" s="167"/>
      <c r="M896" s="167"/>
      <c r="N896" s="167"/>
      <c r="O896" s="167"/>
      <c r="P896" s="167"/>
      <c r="Q896" s="167"/>
      <c r="R896" s="167"/>
      <c r="S896" s="167"/>
      <c r="T896" s="167"/>
      <c r="U896" s="167"/>
      <c r="V896" s="167"/>
      <c r="W896" s="167"/>
      <c r="X896" s="167"/>
      <c r="Y896" s="167"/>
      <c r="Z896" s="167"/>
      <c r="AA896" s="167"/>
      <c r="AB896" s="167"/>
      <c r="AC896" s="167"/>
      <c r="AD896" s="167"/>
      <c r="AE896" s="167"/>
      <c r="AF896" s="167"/>
      <c r="AG896" s="167"/>
      <c r="AH896" s="167"/>
      <c r="AI896" s="167"/>
      <c r="AJ896" s="167"/>
      <c r="AK896" s="167"/>
      <c r="AL896" s="167"/>
    </row>
    <row r="897" spans="1:38" ht="15.75" customHeight="1">
      <c r="A897" s="167"/>
      <c r="B897" s="167"/>
      <c r="C897" s="167"/>
      <c r="D897" s="167"/>
      <c r="E897" s="167"/>
      <c r="F897" s="167"/>
      <c r="G897" s="167"/>
      <c r="H897" s="167"/>
      <c r="I897" s="167"/>
      <c r="J897" s="167"/>
      <c r="K897" s="167"/>
      <c r="L897" s="167"/>
      <c r="M897" s="167"/>
      <c r="N897" s="167"/>
      <c r="O897" s="167"/>
      <c r="P897" s="167"/>
      <c r="Q897" s="167"/>
      <c r="R897" s="167"/>
      <c r="S897" s="167"/>
      <c r="T897" s="167"/>
      <c r="U897" s="167"/>
      <c r="V897" s="167"/>
      <c r="W897" s="167"/>
      <c r="X897" s="167"/>
      <c r="Y897" s="167"/>
      <c r="Z897" s="167"/>
      <c r="AA897" s="167"/>
      <c r="AB897" s="167"/>
      <c r="AC897" s="167"/>
      <c r="AD897" s="167"/>
      <c r="AE897" s="167"/>
      <c r="AF897" s="167"/>
      <c r="AG897" s="167"/>
      <c r="AH897" s="167"/>
      <c r="AI897" s="167"/>
      <c r="AJ897" s="167"/>
      <c r="AK897" s="167"/>
      <c r="AL897" s="167"/>
    </row>
    <row r="898" spans="1:38" ht="15.75" customHeight="1">
      <c r="A898" s="167"/>
      <c r="B898" s="167"/>
      <c r="C898" s="167"/>
      <c r="D898" s="167"/>
      <c r="E898" s="167"/>
      <c r="F898" s="167"/>
      <c r="G898" s="167"/>
      <c r="H898" s="167"/>
      <c r="I898" s="167"/>
      <c r="J898" s="167"/>
      <c r="K898" s="167"/>
      <c r="L898" s="167"/>
      <c r="M898" s="167"/>
      <c r="N898" s="167"/>
      <c r="O898" s="167"/>
      <c r="P898" s="167"/>
      <c r="Q898" s="167"/>
      <c r="R898" s="167"/>
      <c r="S898" s="167"/>
      <c r="T898" s="167"/>
      <c r="U898" s="167"/>
      <c r="V898" s="167"/>
      <c r="W898" s="167"/>
      <c r="X898" s="167"/>
      <c r="Y898" s="167"/>
      <c r="Z898" s="167"/>
      <c r="AA898" s="167"/>
      <c r="AB898" s="167"/>
      <c r="AC898" s="167"/>
      <c r="AD898" s="167"/>
      <c r="AE898" s="167"/>
      <c r="AF898" s="167"/>
      <c r="AG898" s="167"/>
      <c r="AH898" s="167"/>
      <c r="AI898" s="167"/>
      <c r="AJ898" s="167"/>
      <c r="AK898" s="167"/>
      <c r="AL898" s="167"/>
    </row>
    <row r="899" spans="1:38" ht="15.75" customHeight="1">
      <c r="A899" s="167"/>
      <c r="B899" s="167"/>
      <c r="C899" s="167"/>
      <c r="D899" s="167"/>
      <c r="E899" s="167"/>
      <c r="F899" s="167"/>
      <c r="G899" s="167"/>
      <c r="H899" s="167"/>
      <c r="I899" s="167"/>
      <c r="J899" s="167"/>
      <c r="K899" s="167"/>
      <c r="L899" s="167"/>
      <c r="M899" s="167"/>
      <c r="N899" s="167"/>
      <c r="O899" s="167"/>
      <c r="P899" s="167"/>
      <c r="Q899" s="167"/>
      <c r="R899" s="167"/>
      <c r="S899" s="167"/>
      <c r="T899" s="167"/>
      <c r="U899" s="167"/>
      <c r="V899" s="167"/>
      <c r="W899" s="167"/>
      <c r="X899" s="167"/>
      <c r="Y899" s="167"/>
      <c r="Z899" s="167"/>
      <c r="AA899" s="167"/>
      <c r="AB899" s="167"/>
      <c r="AC899" s="167"/>
      <c r="AD899" s="167"/>
      <c r="AE899" s="167"/>
      <c r="AF899" s="167"/>
      <c r="AG899" s="167"/>
      <c r="AH899" s="167"/>
      <c r="AI899" s="167"/>
      <c r="AJ899" s="167"/>
      <c r="AK899" s="167"/>
      <c r="AL899" s="167"/>
    </row>
    <row r="900" spans="1:38" ht="15.75" customHeight="1">
      <c r="A900" s="167"/>
      <c r="B900" s="167"/>
      <c r="C900" s="167"/>
      <c r="D900" s="167"/>
      <c r="E900" s="167"/>
      <c r="F900" s="167"/>
      <c r="G900" s="167"/>
      <c r="H900" s="167"/>
      <c r="I900" s="167"/>
      <c r="J900" s="167"/>
      <c r="K900" s="167"/>
      <c r="L900" s="167"/>
      <c r="M900" s="167"/>
      <c r="N900" s="167"/>
      <c r="O900" s="167"/>
      <c r="P900" s="167"/>
      <c r="Q900" s="167"/>
      <c r="R900" s="167"/>
      <c r="S900" s="167"/>
      <c r="T900" s="167"/>
      <c r="U900" s="167"/>
      <c r="V900" s="167"/>
      <c r="W900" s="167"/>
      <c r="X900" s="167"/>
      <c r="Y900" s="167"/>
      <c r="Z900" s="167"/>
      <c r="AA900" s="167"/>
      <c r="AB900" s="167"/>
      <c r="AC900" s="167"/>
      <c r="AD900" s="167"/>
      <c r="AE900" s="167"/>
      <c r="AF900" s="167"/>
      <c r="AG900" s="167"/>
      <c r="AH900" s="167"/>
      <c r="AI900" s="167"/>
      <c r="AJ900" s="167"/>
      <c r="AK900" s="167"/>
      <c r="AL900" s="167"/>
    </row>
    <row r="901" spans="1:38" ht="15.75" customHeight="1">
      <c r="A901" s="167"/>
      <c r="B901" s="167"/>
      <c r="C901" s="167"/>
      <c r="D901" s="167"/>
      <c r="E901" s="167"/>
      <c r="F901" s="167"/>
      <c r="G901" s="167"/>
      <c r="H901" s="167"/>
      <c r="I901" s="167"/>
      <c r="J901" s="167"/>
      <c r="K901" s="167"/>
      <c r="L901" s="167"/>
      <c r="M901" s="167"/>
      <c r="N901" s="167"/>
      <c r="O901" s="167"/>
      <c r="P901" s="167"/>
      <c r="Q901" s="167"/>
      <c r="R901" s="167"/>
      <c r="S901" s="167"/>
      <c r="T901" s="167"/>
      <c r="U901" s="167"/>
      <c r="V901" s="167"/>
      <c r="W901" s="167"/>
      <c r="X901" s="167"/>
      <c r="Y901" s="167"/>
      <c r="Z901" s="167"/>
      <c r="AA901" s="167"/>
      <c r="AB901" s="167"/>
      <c r="AC901" s="167"/>
      <c r="AD901" s="167"/>
      <c r="AE901" s="167"/>
      <c r="AF901" s="167"/>
      <c r="AG901" s="167"/>
      <c r="AH901" s="167"/>
      <c r="AI901" s="167"/>
      <c r="AJ901" s="167"/>
      <c r="AK901" s="167"/>
      <c r="AL901" s="167"/>
    </row>
    <row r="902" spans="1:38" ht="15.75" customHeight="1">
      <c r="A902" s="167"/>
      <c r="B902" s="167"/>
      <c r="C902" s="167"/>
      <c r="D902" s="167"/>
      <c r="E902" s="167"/>
      <c r="F902" s="167"/>
      <c r="G902" s="167"/>
      <c r="H902" s="167"/>
      <c r="I902" s="167"/>
      <c r="J902" s="167"/>
      <c r="K902" s="167"/>
      <c r="L902" s="167"/>
      <c r="M902" s="167"/>
      <c r="N902" s="167"/>
      <c r="O902" s="167"/>
      <c r="P902" s="167"/>
      <c r="Q902" s="167"/>
      <c r="R902" s="167"/>
      <c r="S902" s="167"/>
      <c r="T902" s="167"/>
      <c r="U902" s="167"/>
      <c r="V902" s="167"/>
      <c r="W902" s="167"/>
      <c r="X902" s="167"/>
      <c r="Y902" s="167"/>
      <c r="Z902" s="167"/>
      <c r="AA902" s="167"/>
      <c r="AB902" s="167"/>
      <c r="AC902" s="167"/>
      <c r="AD902" s="167"/>
      <c r="AE902" s="167"/>
      <c r="AF902" s="167"/>
      <c r="AG902" s="167"/>
      <c r="AH902" s="167"/>
      <c r="AI902" s="167"/>
      <c r="AJ902" s="167"/>
      <c r="AK902" s="167"/>
      <c r="AL902" s="167"/>
    </row>
    <row r="903" spans="1:38" ht="15.75" customHeight="1">
      <c r="A903" s="167"/>
      <c r="B903" s="167"/>
      <c r="C903" s="167"/>
      <c r="D903" s="167"/>
      <c r="E903" s="167"/>
      <c r="F903" s="167"/>
      <c r="G903" s="167"/>
      <c r="H903" s="167"/>
      <c r="I903" s="167"/>
      <c r="J903" s="167"/>
      <c r="K903" s="167"/>
      <c r="L903" s="167"/>
      <c r="M903" s="167"/>
      <c r="N903" s="167"/>
      <c r="O903" s="167"/>
      <c r="P903" s="167"/>
      <c r="Q903" s="167"/>
      <c r="R903" s="167"/>
      <c r="S903" s="167"/>
      <c r="T903" s="167"/>
      <c r="U903" s="167"/>
      <c r="V903" s="167"/>
      <c r="W903" s="167"/>
      <c r="X903" s="167"/>
      <c r="Y903" s="167"/>
      <c r="Z903" s="167"/>
      <c r="AA903" s="167"/>
      <c r="AB903" s="167"/>
      <c r="AC903" s="167"/>
      <c r="AD903" s="167"/>
      <c r="AE903" s="167"/>
      <c r="AF903" s="167"/>
      <c r="AG903" s="167"/>
      <c r="AH903" s="167"/>
      <c r="AI903" s="167"/>
      <c r="AJ903" s="167"/>
      <c r="AK903" s="167"/>
      <c r="AL903" s="167"/>
    </row>
    <row r="904" spans="1:38" ht="15.75" customHeight="1">
      <c r="A904" s="167"/>
      <c r="B904" s="167"/>
      <c r="C904" s="167"/>
      <c r="D904" s="167"/>
      <c r="E904" s="167"/>
      <c r="F904" s="167"/>
      <c r="G904" s="167"/>
      <c r="H904" s="167"/>
      <c r="I904" s="167"/>
      <c r="J904" s="167"/>
      <c r="K904" s="167"/>
      <c r="L904" s="167"/>
      <c r="M904" s="167"/>
      <c r="N904" s="167"/>
      <c r="O904" s="167"/>
      <c r="P904" s="167"/>
      <c r="Q904" s="167"/>
      <c r="R904" s="167"/>
      <c r="S904" s="167"/>
      <c r="T904" s="167"/>
      <c r="U904" s="167"/>
      <c r="V904" s="167"/>
      <c r="W904" s="167"/>
      <c r="X904" s="167"/>
      <c r="Y904" s="167"/>
      <c r="Z904" s="167"/>
      <c r="AA904" s="167"/>
      <c r="AB904" s="167"/>
      <c r="AC904" s="167"/>
      <c r="AD904" s="167"/>
      <c r="AE904" s="167"/>
      <c r="AF904" s="167"/>
      <c r="AG904" s="167"/>
      <c r="AH904" s="167"/>
      <c r="AI904" s="167"/>
      <c r="AJ904" s="167"/>
      <c r="AK904" s="167"/>
      <c r="AL904" s="167"/>
    </row>
    <row r="905" spans="1:38" ht="15.75" customHeight="1">
      <c r="A905" s="167"/>
      <c r="B905" s="167"/>
      <c r="C905" s="167"/>
      <c r="D905" s="167"/>
      <c r="E905" s="167"/>
      <c r="F905" s="167"/>
      <c r="G905" s="167"/>
      <c r="H905" s="167"/>
      <c r="I905" s="167"/>
      <c r="J905" s="167"/>
      <c r="K905" s="167"/>
      <c r="L905" s="167"/>
      <c r="M905" s="167"/>
      <c r="N905" s="167"/>
      <c r="O905" s="167"/>
      <c r="P905" s="167"/>
      <c r="Q905" s="167"/>
      <c r="R905" s="167"/>
      <c r="S905" s="167"/>
      <c r="T905" s="167"/>
      <c r="U905" s="167"/>
      <c r="V905" s="167"/>
      <c r="W905" s="167"/>
      <c r="X905" s="167"/>
      <c r="Y905" s="167"/>
      <c r="Z905" s="167"/>
      <c r="AA905" s="167"/>
      <c r="AB905" s="167"/>
      <c r="AC905" s="167"/>
      <c r="AD905" s="167"/>
      <c r="AE905" s="167"/>
      <c r="AF905" s="167"/>
      <c r="AG905" s="167"/>
      <c r="AH905" s="167"/>
      <c r="AI905" s="167"/>
      <c r="AJ905" s="167"/>
      <c r="AK905" s="167"/>
      <c r="AL905" s="167"/>
    </row>
    <row r="906" spans="1:38" ht="15.75" customHeight="1">
      <c r="A906" s="167"/>
      <c r="B906" s="167"/>
      <c r="C906" s="167"/>
      <c r="D906" s="167"/>
      <c r="E906" s="167"/>
      <c r="F906" s="167"/>
      <c r="G906" s="167"/>
      <c r="H906" s="167"/>
      <c r="I906" s="167"/>
      <c r="J906" s="167"/>
      <c r="K906" s="167"/>
      <c r="L906" s="167"/>
      <c r="M906" s="167"/>
      <c r="N906" s="167"/>
      <c r="O906" s="167"/>
      <c r="P906" s="167"/>
      <c r="Q906" s="167"/>
      <c r="R906" s="167"/>
      <c r="S906" s="167"/>
      <c r="T906" s="167"/>
      <c r="U906" s="167"/>
      <c r="V906" s="167"/>
      <c r="W906" s="167"/>
      <c r="X906" s="167"/>
      <c r="Y906" s="167"/>
      <c r="Z906" s="167"/>
      <c r="AA906" s="167"/>
      <c r="AB906" s="167"/>
      <c r="AC906" s="167"/>
      <c r="AD906" s="167"/>
      <c r="AE906" s="167"/>
      <c r="AF906" s="167"/>
      <c r="AG906" s="167"/>
      <c r="AH906" s="167"/>
      <c r="AI906" s="167"/>
      <c r="AJ906" s="167"/>
      <c r="AK906" s="167"/>
      <c r="AL906" s="167"/>
    </row>
    <row r="907" spans="1:38" ht="15.75" customHeight="1">
      <c r="A907" s="167"/>
      <c r="B907" s="167"/>
      <c r="C907" s="167"/>
      <c r="D907" s="167"/>
      <c r="E907" s="167"/>
      <c r="F907" s="167"/>
      <c r="G907" s="167"/>
      <c r="H907" s="167"/>
      <c r="I907" s="167"/>
      <c r="J907" s="167"/>
      <c r="K907" s="167"/>
      <c r="L907" s="167"/>
      <c r="M907" s="167"/>
      <c r="N907" s="167"/>
      <c r="O907" s="167"/>
      <c r="P907" s="167"/>
      <c r="Q907" s="167"/>
      <c r="R907" s="167"/>
      <c r="S907" s="167"/>
      <c r="T907" s="167"/>
      <c r="U907" s="167"/>
      <c r="V907" s="167"/>
      <c r="W907" s="167"/>
      <c r="X907" s="167"/>
      <c r="Y907" s="167"/>
      <c r="Z907" s="167"/>
      <c r="AA907" s="167"/>
      <c r="AB907" s="167"/>
      <c r="AC907" s="167"/>
      <c r="AD907" s="167"/>
      <c r="AE907" s="167"/>
      <c r="AF907" s="167"/>
      <c r="AG907" s="167"/>
      <c r="AH907" s="167"/>
      <c r="AI907" s="167"/>
      <c r="AJ907" s="167"/>
      <c r="AK907" s="167"/>
      <c r="AL907" s="167"/>
    </row>
    <row r="908" spans="1:38" ht="15.75" customHeight="1">
      <c r="A908" s="167"/>
      <c r="B908" s="167"/>
      <c r="C908" s="167"/>
      <c r="D908" s="167"/>
      <c r="E908" s="167"/>
      <c r="F908" s="167"/>
      <c r="G908" s="167"/>
      <c r="H908" s="167"/>
      <c r="I908" s="167"/>
      <c r="J908" s="167"/>
      <c r="K908" s="167"/>
      <c r="L908" s="167"/>
      <c r="M908" s="167"/>
      <c r="N908" s="167"/>
      <c r="O908" s="167"/>
      <c r="P908" s="167"/>
      <c r="Q908" s="167"/>
      <c r="R908" s="167"/>
      <c r="S908" s="167"/>
      <c r="T908" s="167"/>
      <c r="U908" s="167"/>
      <c r="V908" s="167"/>
      <c r="W908" s="167"/>
      <c r="X908" s="167"/>
      <c r="Y908" s="167"/>
      <c r="Z908" s="167"/>
      <c r="AA908" s="167"/>
      <c r="AB908" s="167"/>
      <c r="AC908" s="167"/>
      <c r="AD908" s="167"/>
      <c r="AE908" s="167"/>
      <c r="AF908" s="167"/>
      <c r="AG908" s="167"/>
      <c r="AH908" s="167"/>
      <c r="AI908" s="167"/>
      <c r="AJ908" s="167"/>
      <c r="AK908" s="167"/>
      <c r="AL908" s="167"/>
    </row>
    <row r="909" spans="1:38" ht="15.75" customHeight="1">
      <c r="A909" s="167"/>
      <c r="B909" s="167"/>
      <c r="C909" s="167"/>
      <c r="D909" s="167"/>
      <c r="E909" s="167"/>
      <c r="F909" s="167"/>
      <c r="G909" s="167"/>
      <c r="H909" s="167"/>
      <c r="I909" s="167"/>
      <c r="J909" s="167"/>
      <c r="K909" s="167"/>
      <c r="L909" s="167"/>
      <c r="M909" s="167"/>
      <c r="N909" s="167"/>
      <c r="O909" s="167"/>
      <c r="P909" s="167"/>
      <c r="Q909" s="167"/>
      <c r="R909" s="167"/>
      <c r="S909" s="167"/>
      <c r="T909" s="167"/>
      <c r="U909" s="167"/>
      <c r="V909" s="167"/>
      <c r="W909" s="167"/>
      <c r="X909" s="167"/>
      <c r="Y909" s="167"/>
      <c r="Z909" s="167"/>
      <c r="AA909" s="167"/>
      <c r="AB909" s="167"/>
      <c r="AC909" s="167"/>
      <c r="AD909" s="167"/>
      <c r="AE909" s="167"/>
      <c r="AF909" s="167"/>
      <c r="AG909" s="167"/>
      <c r="AH909" s="167"/>
      <c r="AI909" s="167"/>
      <c r="AJ909" s="167"/>
      <c r="AK909" s="167"/>
      <c r="AL909" s="167"/>
    </row>
    <row r="910" spans="1:38" ht="15.75" customHeight="1">
      <c r="A910" s="167"/>
      <c r="B910" s="167"/>
      <c r="C910" s="167"/>
      <c r="D910" s="167"/>
      <c r="E910" s="167"/>
      <c r="F910" s="167"/>
      <c r="G910" s="167"/>
      <c r="H910" s="167"/>
      <c r="I910" s="167"/>
      <c r="J910" s="167"/>
      <c r="K910" s="167"/>
      <c r="L910" s="167"/>
      <c r="M910" s="167"/>
      <c r="N910" s="167"/>
      <c r="O910" s="167"/>
      <c r="P910" s="167"/>
      <c r="Q910" s="167"/>
      <c r="R910" s="167"/>
      <c r="S910" s="167"/>
      <c r="T910" s="167"/>
      <c r="U910" s="167"/>
      <c r="V910" s="167"/>
      <c r="W910" s="167"/>
      <c r="X910" s="167"/>
      <c r="Y910" s="167"/>
      <c r="Z910" s="167"/>
      <c r="AA910" s="167"/>
      <c r="AB910" s="167"/>
      <c r="AC910" s="167"/>
      <c r="AD910" s="167"/>
      <c r="AE910" s="167"/>
      <c r="AF910" s="167"/>
      <c r="AG910" s="167"/>
      <c r="AH910" s="167"/>
      <c r="AI910" s="167"/>
      <c r="AJ910" s="167"/>
      <c r="AK910" s="167"/>
      <c r="AL910" s="167"/>
    </row>
    <row r="911" spans="1:38" ht="15.75" customHeight="1">
      <c r="A911" s="167"/>
      <c r="B911" s="167"/>
      <c r="C911" s="167"/>
      <c r="D911" s="167"/>
      <c r="E911" s="167"/>
      <c r="F911" s="167"/>
      <c r="G911" s="167"/>
      <c r="H911" s="167"/>
      <c r="I911" s="167"/>
      <c r="J911" s="167"/>
      <c r="K911" s="167"/>
      <c r="L911" s="167"/>
      <c r="M911" s="167"/>
      <c r="N911" s="167"/>
      <c r="O911" s="167"/>
      <c r="P911" s="167"/>
      <c r="Q911" s="167"/>
      <c r="R911" s="167"/>
      <c r="S911" s="167"/>
      <c r="T911" s="167"/>
      <c r="U911" s="167"/>
      <c r="V911" s="167"/>
      <c r="W911" s="167"/>
      <c r="X911" s="167"/>
      <c r="Y911" s="167"/>
      <c r="Z911" s="167"/>
      <c r="AA911" s="167"/>
      <c r="AB911" s="167"/>
      <c r="AC911" s="167"/>
      <c r="AD911" s="167"/>
      <c r="AE911" s="167"/>
      <c r="AF911" s="167"/>
      <c r="AG911" s="167"/>
      <c r="AH911" s="167"/>
      <c r="AI911" s="167"/>
      <c r="AJ911" s="167"/>
      <c r="AK911" s="167"/>
      <c r="AL911" s="167"/>
    </row>
    <row r="912" spans="1:38" ht="15.75" customHeight="1">
      <c r="A912" s="167"/>
      <c r="B912" s="167"/>
      <c r="C912" s="167"/>
      <c r="D912" s="167"/>
      <c r="E912" s="167"/>
      <c r="F912" s="167"/>
      <c r="G912" s="167"/>
      <c r="H912" s="167"/>
      <c r="I912" s="167"/>
      <c r="J912" s="167"/>
      <c r="K912" s="167"/>
      <c r="L912" s="167"/>
      <c r="M912" s="167"/>
      <c r="N912" s="167"/>
      <c r="O912" s="167"/>
      <c r="P912" s="167"/>
      <c r="Q912" s="167"/>
      <c r="R912" s="167"/>
      <c r="S912" s="167"/>
      <c r="T912" s="167"/>
      <c r="U912" s="167"/>
      <c r="V912" s="167"/>
      <c r="W912" s="167"/>
      <c r="X912" s="167"/>
      <c r="Y912" s="167"/>
      <c r="Z912" s="167"/>
      <c r="AA912" s="167"/>
      <c r="AB912" s="167"/>
      <c r="AC912" s="167"/>
      <c r="AD912" s="167"/>
      <c r="AE912" s="167"/>
      <c r="AF912" s="167"/>
      <c r="AG912" s="167"/>
      <c r="AH912" s="167"/>
      <c r="AI912" s="167"/>
      <c r="AJ912" s="167"/>
      <c r="AK912" s="167"/>
      <c r="AL912" s="167"/>
    </row>
    <row r="913" spans="1:38" ht="15.75" customHeight="1">
      <c r="A913" s="167"/>
      <c r="B913" s="167"/>
      <c r="C913" s="167"/>
      <c r="D913" s="167"/>
      <c r="E913" s="167"/>
      <c r="F913" s="167"/>
      <c r="G913" s="167"/>
      <c r="H913" s="167"/>
      <c r="I913" s="167"/>
      <c r="J913" s="167"/>
      <c r="K913" s="167"/>
      <c r="L913" s="167"/>
      <c r="M913" s="167"/>
      <c r="N913" s="167"/>
      <c r="O913" s="167"/>
      <c r="P913" s="167"/>
      <c r="Q913" s="167"/>
      <c r="R913" s="167"/>
      <c r="S913" s="167"/>
      <c r="T913" s="167"/>
      <c r="U913" s="167"/>
      <c r="V913" s="167"/>
      <c r="W913" s="167"/>
      <c r="X913" s="167"/>
      <c r="Y913" s="167"/>
      <c r="Z913" s="167"/>
      <c r="AA913" s="167"/>
      <c r="AB913" s="167"/>
      <c r="AC913" s="167"/>
      <c r="AD913" s="167"/>
      <c r="AE913" s="167"/>
      <c r="AF913" s="167"/>
      <c r="AG913" s="167"/>
      <c r="AH913" s="167"/>
      <c r="AI913" s="167"/>
      <c r="AJ913" s="167"/>
      <c r="AK913" s="167"/>
      <c r="AL913" s="167"/>
    </row>
    <row r="914" spans="1:38" ht="15.75" customHeight="1">
      <c r="A914" s="167"/>
      <c r="B914" s="167"/>
      <c r="C914" s="167"/>
      <c r="D914" s="167"/>
      <c r="E914" s="167"/>
      <c r="F914" s="167"/>
      <c r="G914" s="167"/>
      <c r="H914" s="167"/>
      <c r="I914" s="167"/>
      <c r="J914" s="167"/>
      <c r="K914" s="167"/>
      <c r="L914" s="167"/>
      <c r="M914" s="167"/>
      <c r="N914" s="167"/>
      <c r="O914" s="167"/>
      <c r="P914" s="167"/>
      <c r="Q914" s="167"/>
      <c r="R914" s="167"/>
      <c r="S914" s="167"/>
      <c r="T914" s="167"/>
      <c r="U914" s="167"/>
      <c r="V914" s="167"/>
      <c r="W914" s="167"/>
      <c r="X914" s="167"/>
      <c r="Y914" s="167"/>
      <c r="Z914" s="167"/>
      <c r="AA914" s="167"/>
      <c r="AB914" s="167"/>
      <c r="AC914" s="167"/>
      <c r="AD914" s="167"/>
      <c r="AE914" s="167"/>
      <c r="AF914" s="167"/>
      <c r="AG914" s="167"/>
      <c r="AH914" s="167"/>
      <c r="AI914" s="167"/>
      <c r="AJ914" s="167"/>
      <c r="AK914" s="167"/>
      <c r="AL914" s="167"/>
    </row>
    <row r="915" spans="1:38" ht="15.75" customHeight="1">
      <c r="A915" s="167"/>
      <c r="B915" s="167"/>
      <c r="C915" s="167"/>
      <c r="D915" s="167"/>
      <c r="E915" s="167"/>
      <c r="F915" s="167"/>
      <c r="G915" s="167"/>
      <c r="H915" s="167"/>
      <c r="I915" s="167"/>
      <c r="J915" s="167"/>
      <c r="K915" s="167"/>
      <c r="L915" s="167"/>
      <c r="M915" s="167"/>
      <c r="N915" s="167"/>
      <c r="O915" s="167"/>
      <c r="P915" s="167"/>
      <c r="Q915" s="167"/>
      <c r="R915" s="167"/>
      <c r="S915" s="167"/>
      <c r="T915" s="167"/>
      <c r="U915" s="167"/>
      <c r="V915" s="167"/>
      <c r="W915" s="167"/>
      <c r="X915" s="167"/>
      <c r="Y915" s="167"/>
      <c r="Z915" s="167"/>
      <c r="AA915" s="167"/>
      <c r="AB915" s="167"/>
      <c r="AC915" s="167"/>
      <c r="AD915" s="167"/>
      <c r="AE915" s="167"/>
      <c r="AF915" s="167"/>
      <c r="AG915" s="167"/>
      <c r="AH915" s="167"/>
      <c r="AI915" s="167"/>
      <c r="AJ915" s="167"/>
      <c r="AK915" s="167"/>
      <c r="AL915" s="167"/>
    </row>
    <row r="916" spans="1:38" ht="15.75" customHeight="1">
      <c r="A916" s="167"/>
      <c r="B916" s="167"/>
      <c r="C916" s="167"/>
      <c r="D916" s="167"/>
      <c r="E916" s="167"/>
      <c r="F916" s="167"/>
      <c r="G916" s="167"/>
      <c r="H916" s="167"/>
      <c r="I916" s="167"/>
      <c r="J916" s="167"/>
      <c r="K916" s="167"/>
      <c r="L916" s="167"/>
      <c r="M916" s="167"/>
      <c r="N916" s="167"/>
      <c r="O916" s="167"/>
      <c r="P916" s="167"/>
      <c r="Q916" s="167"/>
      <c r="R916" s="167"/>
      <c r="S916" s="167"/>
      <c r="T916" s="167"/>
      <c r="U916" s="167"/>
      <c r="V916" s="167"/>
      <c r="W916" s="167"/>
      <c r="X916" s="167"/>
      <c r="Y916" s="167"/>
      <c r="Z916" s="167"/>
      <c r="AA916" s="167"/>
      <c r="AB916" s="167"/>
      <c r="AC916" s="167"/>
      <c r="AD916" s="167"/>
      <c r="AE916" s="167"/>
      <c r="AF916" s="167"/>
      <c r="AG916" s="167"/>
      <c r="AH916" s="167"/>
      <c r="AI916" s="167"/>
      <c r="AJ916" s="167"/>
      <c r="AK916" s="167"/>
      <c r="AL916" s="167"/>
    </row>
    <row r="917" spans="1:38" ht="15.75" customHeight="1">
      <c r="A917" s="167"/>
      <c r="B917" s="167"/>
      <c r="C917" s="167"/>
      <c r="D917" s="167"/>
      <c r="E917" s="167"/>
      <c r="F917" s="167"/>
      <c r="G917" s="167"/>
      <c r="H917" s="167"/>
      <c r="I917" s="167"/>
      <c r="J917" s="167"/>
      <c r="K917" s="167"/>
      <c r="L917" s="167"/>
      <c r="M917" s="167"/>
      <c r="N917" s="167"/>
      <c r="O917" s="167"/>
      <c r="P917" s="167"/>
      <c r="Q917" s="167"/>
      <c r="R917" s="167"/>
      <c r="S917" s="167"/>
      <c r="T917" s="167"/>
      <c r="U917" s="167"/>
      <c r="V917" s="167"/>
      <c r="W917" s="167"/>
      <c r="X917" s="167"/>
      <c r="Y917" s="167"/>
      <c r="Z917" s="167"/>
      <c r="AA917" s="167"/>
      <c r="AB917" s="167"/>
      <c r="AC917" s="167"/>
      <c r="AD917" s="167"/>
      <c r="AE917" s="167"/>
      <c r="AF917" s="167"/>
      <c r="AG917" s="167"/>
      <c r="AH917" s="167"/>
      <c r="AI917" s="167"/>
      <c r="AJ917" s="167"/>
      <c r="AK917" s="167"/>
      <c r="AL917" s="167"/>
    </row>
    <row r="918" spans="1:38" ht="15.75" customHeight="1">
      <c r="A918" s="167"/>
      <c r="B918" s="167"/>
      <c r="C918" s="167"/>
      <c r="D918" s="167"/>
      <c r="E918" s="167"/>
      <c r="F918" s="167"/>
      <c r="G918" s="167"/>
      <c r="H918" s="167"/>
      <c r="I918" s="167"/>
      <c r="J918" s="167"/>
      <c r="K918" s="167"/>
      <c r="L918" s="167"/>
      <c r="M918" s="167"/>
      <c r="N918" s="167"/>
      <c r="O918" s="167"/>
      <c r="P918" s="167"/>
      <c r="Q918" s="167"/>
      <c r="R918" s="167"/>
      <c r="S918" s="167"/>
      <c r="T918" s="167"/>
      <c r="U918" s="167"/>
      <c r="V918" s="167"/>
      <c r="W918" s="167"/>
      <c r="X918" s="167"/>
      <c r="Y918" s="167"/>
      <c r="Z918" s="167"/>
      <c r="AA918" s="167"/>
      <c r="AB918" s="167"/>
      <c r="AC918" s="167"/>
      <c r="AD918" s="167"/>
      <c r="AE918" s="167"/>
      <c r="AF918" s="167"/>
      <c r="AG918" s="167"/>
      <c r="AH918" s="167"/>
      <c r="AI918" s="167"/>
      <c r="AJ918" s="167"/>
      <c r="AK918" s="167"/>
      <c r="AL918" s="167"/>
    </row>
    <row r="919" spans="1:38" ht="15.75" customHeight="1">
      <c r="A919" s="167"/>
      <c r="B919" s="167"/>
      <c r="C919" s="167"/>
      <c r="D919" s="167"/>
      <c r="E919" s="167"/>
      <c r="F919" s="167"/>
      <c r="G919" s="167"/>
      <c r="H919" s="167"/>
      <c r="I919" s="167"/>
      <c r="J919" s="167"/>
      <c r="K919" s="167"/>
      <c r="L919" s="167"/>
      <c r="M919" s="167"/>
      <c r="N919" s="167"/>
      <c r="O919" s="167"/>
      <c r="P919" s="167"/>
      <c r="Q919" s="167"/>
      <c r="R919" s="167"/>
      <c r="S919" s="167"/>
      <c r="T919" s="167"/>
      <c r="U919" s="167"/>
      <c r="V919" s="167"/>
      <c r="W919" s="167"/>
      <c r="X919" s="167"/>
      <c r="Y919" s="167"/>
      <c r="Z919" s="167"/>
      <c r="AA919" s="167"/>
      <c r="AB919" s="167"/>
      <c r="AC919" s="167"/>
      <c r="AD919" s="167"/>
      <c r="AE919" s="167"/>
      <c r="AF919" s="167"/>
      <c r="AG919" s="167"/>
      <c r="AH919" s="167"/>
      <c r="AI919" s="167"/>
      <c r="AJ919" s="167"/>
      <c r="AK919" s="167"/>
      <c r="AL919" s="167"/>
    </row>
    <row r="920" spans="1:38" ht="15.75" customHeight="1">
      <c r="A920" s="167"/>
      <c r="B920" s="167"/>
      <c r="C920" s="167"/>
      <c r="D920" s="167"/>
      <c r="E920" s="167"/>
      <c r="F920" s="167"/>
      <c r="G920" s="167"/>
      <c r="H920" s="167"/>
      <c r="I920" s="167"/>
      <c r="J920" s="167"/>
      <c r="K920" s="167"/>
      <c r="L920" s="167"/>
      <c r="M920" s="167"/>
      <c r="N920" s="167"/>
      <c r="O920" s="167"/>
      <c r="P920" s="167"/>
      <c r="Q920" s="167"/>
      <c r="R920" s="167"/>
      <c r="S920" s="167"/>
      <c r="T920" s="167"/>
      <c r="U920" s="167"/>
      <c r="V920" s="167"/>
      <c r="W920" s="167"/>
      <c r="X920" s="167"/>
      <c r="Y920" s="167"/>
      <c r="Z920" s="167"/>
      <c r="AA920" s="167"/>
      <c r="AB920" s="167"/>
      <c r="AC920" s="167"/>
      <c r="AD920" s="167"/>
      <c r="AE920" s="167"/>
      <c r="AF920" s="167"/>
      <c r="AG920" s="167"/>
      <c r="AH920" s="167"/>
      <c r="AI920" s="167"/>
      <c r="AJ920" s="167"/>
      <c r="AK920" s="167"/>
      <c r="AL920" s="167"/>
    </row>
    <row r="921" spans="1:38" ht="15.75" customHeight="1">
      <c r="A921" s="167"/>
      <c r="B921" s="167"/>
      <c r="C921" s="167"/>
      <c r="D921" s="167"/>
      <c r="E921" s="167"/>
      <c r="F921" s="167"/>
      <c r="G921" s="167"/>
      <c r="H921" s="167"/>
      <c r="I921" s="167"/>
      <c r="J921" s="167"/>
      <c r="K921" s="167"/>
      <c r="L921" s="167"/>
      <c r="M921" s="167"/>
      <c r="N921" s="167"/>
      <c r="O921" s="167"/>
      <c r="P921" s="167"/>
      <c r="Q921" s="167"/>
      <c r="R921" s="167"/>
      <c r="S921" s="167"/>
      <c r="T921" s="167"/>
      <c r="U921" s="167"/>
      <c r="V921" s="167"/>
      <c r="W921" s="167"/>
      <c r="X921" s="167"/>
      <c r="Y921" s="167"/>
      <c r="Z921" s="167"/>
      <c r="AA921" s="167"/>
      <c r="AB921" s="167"/>
      <c r="AC921" s="167"/>
      <c r="AD921" s="167"/>
      <c r="AE921" s="167"/>
      <c r="AF921" s="167"/>
      <c r="AG921" s="167"/>
      <c r="AH921" s="167"/>
      <c r="AI921" s="167"/>
      <c r="AJ921" s="167"/>
      <c r="AK921" s="167"/>
      <c r="AL921" s="167"/>
    </row>
    <row r="922" spans="1:38" ht="15.75" customHeight="1">
      <c r="A922" s="167"/>
      <c r="B922" s="167"/>
      <c r="C922" s="167"/>
      <c r="D922" s="167"/>
      <c r="E922" s="167"/>
      <c r="F922" s="167"/>
      <c r="G922" s="167"/>
      <c r="H922" s="167"/>
      <c r="I922" s="167"/>
      <c r="J922" s="167"/>
      <c r="K922" s="167"/>
      <c r="L922" s="167"/>
      <c r="M922" s="167"/>
      <c r="N922" s="167"/>
      <c r="O922" s="167"/>
      <c r="P922" s="167"/>
      <c r="Q922" s="167"/>
      <c r="R922" s="167"/>
      <c r="S922" s="167"/>
      <c r="T922" s="167"/>
      <c r="U922" s="167"/>
      <c r="V922" s="167"/>
      <c r="W922" s="167"/>
      <c r="X922" s="167"/>
      <c r="Y922" s="167"/>
      <c r="Z922" s="167"/>
      <c r="AA922" s="167"/>
      <c r="AB922" s="167"/>
      <c r="AC922" s="167"/>
      <c r="AD922" s="167"/>
      <c r="AE922" s="167"/>
      <c r="AF922" s="167"/>
      <c r="AG922" s="167"/>
      <c r="AH922" s="167"/>
      <c r="AI922" s="167"/>
      <c r="AJ922" s="167"/>
      <c r="AK922" s="167"/>
      <c r="AL922" s="167"/>
    </row>
    <row r="923" spans="1:38" ht="15.75" customHeight="1">
      <c r="A923" s="167"/>
      <c r="B923" s="167"/>
      <c r="C923" s="167"/>
      <c r="D923" s="167"/>
      <c r="E923" s="167"/>
      <c r="F923" s="167"/>
      <c r="G923" s="167"/>
      <c r="H923" s="167"/>
      <c r="I923" s="167"/>
      <c r="J923" s="167"/>
      <c r="K923" s="167"/>
      <c r="L923" s="167"/>
      <c r="M923" s="167"/>
      <c r="N923" s="167"/>
      <c r="O923" s="167"/>
      <c r="P923" s="167"/>
      <c r="Q923" s="167"/>
      <c r="R923" s="167"/>
      <c r="S923" s="167"/>
      <c r="T923" s="167"/>
      <c r="U923" s="167"/>
      <c r="V923" s="167"/>
      <c r="W923" s="167"/>
      <c r="X923" s="167"/>
      <c r="Y923" s="167"/>
      <c r="Z923" s="167"/>
      <c r="AA923" s="167"/>
      <c r="AB923" s="167"/>
      <c r="AC923" s="167"/>
      <c r="AD923" s="167"/>
      <c r="AE923" s="167"/>
      <c r="AF923" s="167"/>
      <c r="AG923" s="167"/>
      <c r="AH923" s="167"/>
      <c r="AI923" s="167"/>
      <c r="AJ923" s="167"/>
      <c r="AK923" s="167"/>
      <c r="AL923" s="167"/>
    </row>
    <row r="924" spans="1:38" ht="15.75" customHeight="1">
      <c r="A924" s="167"/>
      <c r="B924" s="167"/>
      <c r="C924" s="167"/>
      <c r="D924" s="167"/>
      <c r="E924" s="167"/>
      <c r="F924" s="167"/>
      <c r="G924" s="167"/>
      <c r="H924" s="167"/>
      <c r="I924" s="167"/>
      <c r="J924" s="167"/>
      <c r="K924" s="167"/>
      <c r="L924" s="167"/>
      <c r="M924" s="167"/>
      <c r="N924" s="167"/>
      <c r="O924" s="167"/>
      <c r="P924" s="167"/>
      <c r="Q924" s="167"/>
      <c r="R924" s="167"/>
      <c r="S924" s="167"/>
      <c r="T924" s="167"/>
      <c r="U924" s="167"/>
      <c r="V924" s="167"/>
      <c r="W924" s="167"/>
      <c r="X924" s="167"/>
      <c r="Y924" s="167"/>
      <c r="Z924" s="167"/>
      <c r="AA924" s="167"/>
      <c r="AB924" s="167"/>
      <c r="AC924" s="167"/>
      <c r="AD924" s="167"/>
      <c r="AE924" s="167"/>
      <c r="AF924" s="167"/>
      <c r="AG924" s="167"/>
      <c r="AH924" s="167"/>
      <c r="AI924" s="167"/>
      <c r="AJ924" s="167"/>
      <c r="AK924" s="167"/>
      <c r="AL924" s="167"/>
    </row>
    <row r="925" spans="1:38" ht="15.75" customHeight="1">
      <c r="A925" s="167"/>
      <c r="B925" s="167"/>
      <c r="C925" s="167"/>
      <c r="D925" s="167"/>
      <c r="E925" s="167"/>
      <c r="F925" s="167"/>
      <c r="G925" s="167"/>
      <c r="H925" s="167"/>
      <c r="I925" s="167"/>
      <c r="J925" s="167"/>
      <c r="K925" s="167"/>
      <c r="L925" s="167"/>
      <c r="M925" s="167"/>
      <c r="N925" s="167"/>
      <c r="O925" s="167"/>
      <c r="P925" s="167"/>
      <c r="Q925" s="167"/>
      <c r="R925" s="167"/>
      <c r="S925" s="167"/>
      <c r="T925" s="167"/>
      <c r="U925" s="167"/>
      <c r="V925" s="167"/>
      <c r="W925" s="167"/>
      <c r="X925" s="167"/>
      <c r="Y925" s="167"/>
      <c r="Z925" s="167"/>
      <c r="AA925" s="167"/>
      <c r="AB925" s="167"/>
      <c r="AC925" s="167"/>
      <c r="AD925" s="167"/>
      <c r="AE925" s="167"/>
      <c r="AF925" s="167"/>
      <c r="AG925" s="167"/>
      <c r="AH925" s="167"/>
      <c r="AI925" s="167"/>
      <c r="AJ925" s="167"/>
      <c r="AK925" s="167"/>
      <c r="AL925" s="167"/>
    </row>
    <row r="926" spans="1:38" ht="15.75" customHeight="1">
      <c r="A926" s="167"/>
      <c r="B926" s="167"/>
      <c r="C926" s="167"/>
      <c r="D926" s="167"/>
      <c r="E926" s="167"/>
      <c r="F926" s="167"/>
      <c r="G926" s="167"/>
      <c r="H926" s="167"/>
      <c r="I926" s="167"/>
      <c r="J926" s="167"/>
      <c r="K926" s="167"/>
      <c r="L926" s="167"/>
      <c r="M926" s="167"/>
      <c r="N926" s="167"/>
      <c r="O926" s="167"/>
      <c r="P926" s="167"/>
      <c r="Q926" s="167"/>
      <c r="R926" s="167"/>
      <c r="S926" s="167"/>
      <c r="T926" s="167"/>
      <c r="U926" s="167"/>
      <c r="V926" s="167"/>
      <c r="W926" s="167"/>
      <c r="X926" s="167"/>
      <c r="Y926" s="167"/>
      <c r="Z926" s="167"/>
      <c r="AA926" s="167"/>
      <c r="AB926" s="167"/>
      <c r="AC926" s="167"/>
      <c r="AD926" s="167"/>
      <c r="AE926" s="167"/>
      <c r="AF926" s="167"/>
      <c r="AG926" s="167"/>
      <c r="AH926" s="167"/>
      <c r="AI926" s="167"/>
      <c r="AJ926" s="167"/>
      <c r="AK926" s="167"/>
      <c r="AL926" s="167"/>
    </row>
    <row r="927" spans="1:38" ht="15.75" customHeight="1">
      <c r="A927" s="167"/>
      <c r="B927" s="167"/>
      <c r="C927" s="167"/>
      <c r="D927" s="167"/>
      <c r="E927" s="167"/>
      <c r="F927" s="167"/>
      <c r="G927" s="167"/>
      <c r="H927" s="167"/>
      <c r="I927" s="167"/>
      <c r="J927" s="167"/>
      <c r="K927" s="167"/>
      <c r="L927" s="167"/>
      <c r="M927" s="167"/>
      <c r="N927" s="167"/>
      <c r="O927" s="167"/>
      <c r="P927" s="167"/>
      <c r="Q927" s="167"/>
      <c r="R927" s="167"/>
      <c r="S927" s="167"/>
      <c r="T927" s="167"/>
      <c r="U927" s="167"/>
      <c r="V927" s="167"/>
      <c r="W927" s="167"/>
      <c r="X927" s="167"/>
      <c r="Y927" s="167"/>
      <c r="Z927" s="167"/>
      <c r="AA927" s="167"/>
      <c r="AB927" s="167"/>
      <c r="AC927" s="167"/>
      <c r="AD927" s="167"/>
      <c r="AE927" s="167"/>
      <c r="AF927" s="167"/>
      <c r="AG927" s="167"/>
      <c r="AH927" s="167"/>
      <c r="AI927" s="167"/>
      <c r="AJ927" s="167"/>
      <c r="AK927" s="167"/>
      <c r="AL927" s="167"/>
    </row>
    <row r="928" spans="1:38" ht="15.75" customHeight="1">
      <c r="A928" s="167"/>
      <c r="B928" s="167"/>
      <c r="C928" s="167"/>
      <c r="D928" s="167"/>
      <c r="E928" s="167"/>
      <c r="F928" s="167"/>
      <c r="G928" s="167"/>
      <c r="H928" s="167"/>
      <c r="I928" s="167"/>
      <c r="J928" s="167"/>
      <c r="K928" s="167"/>
      <c r="L928" s="167"/>
      <c r="M928" s="167"/>
      <c r="N928" s="167"/>
      <c r="O928" s="167"/>
      <c r="P928" s="167"/>
      <c r="Q928" s="167"/>
      <c r="R928" s="167"/>
      <c r="S928" s="167"/>
      <c r="T928" s="167"/>
      <c r="U928" s="167"/>
      <c r="V928" s="167"/>
      <c r="W928" s="167"/>
      <c r="X928" s="167"/>
      <c r="Y928" s="167"/>
      <c r="Z928" s="167"/>
      <c r="AA928" s="167"/>
      <c r="AB928" s="167"/>
      <c r="AC928" s="167"/>
      <c r="AD928" s="167"/>
      <c r="AE928" s="167"/>
      <c r="AF928" s="167"/>
      <c r="AG928" s="167"/>
      <c r="AH928" s="167"/>
      <c r="AI928" s="167"/>
      <c r="AJ928" s="167"/>
      <c r="AK928" s="167"/>
      <c r="AL928" s="167"/>
    </row>
    <row r="929" spans="1:38" ht="15.75" customHeight="1">
      <c r="A929" s="167"/>
      <c r="B929" s="167"/>
      <c r="C929" s="167"/>
      <c r="D929" s="167"/>
      <c r="E929" s="167"/>
      <c r="F929" s="167"/>
      <c r="G929" s="167"/>
      <c r="H929" s="167"/>
      <c r="I929" s="167"/>
      <c r="J929" s="167"/>
      <c r="K929" s="167"/>
      <c r="L929" s="167"/>
      <c r="M929" s="167"/>
      <c r="N929" s="167"/>
      <c r="O929" s="167"/>
      <c r="P929" s="167"/>
      <c r="Q929" s="167"/>
      <c r="R929" s="167"/>
      <c r="S929" s="167"/>
      <c r="T929" s="167"/>
      <c r="U929" s="167"/>
      <c r="V929" s="167"/>
      <c r="W929" s="167"/>
      <c r="X929" s="167"/>
      <c r="Y929" s="167"/>
      <c r="Z929" s="167"/>
      <c r="AA929" s="167"/>
      <c r="AB929" s="167"/>
      <c r="AC929" s="167"/>
      <c r="AD929" s="167"/>
      <c r="AE929" s="167"/>
      <c r="AF929" s="167"/>
      <c r="AG929" s="167"/>
      <c r="AH929" s="167"/>
      <c r="AI929" s="167"/>
      <c r="AJ929" s="167"/>
      <c r="AK929" s="167"/>
      <c r="AL929" s="167"/>
    </row>
    <row r="930" spans="1:38" ht="15.75" customHeight="1">
      <c r="A930" s="167"/>
      <c r="B930" s="167"/>
      <c r="C930" s="167"/>
      <c r="D930" s="167"/>
      <c r="E930" s="167"/>
      <c r="F930" s="167"/>
      <c r="G930" s="167"/>
      <c r="H930" s="167"/>
      <c r="I930" s="167"/>
      <c r="J930" s="167"/>
      <c r="K930" s="167"/>
      <c r="L930" s="167"/>
      <c r="M930" s="167"/>
      <c r="N930" s="167"/>
      <c r="O930" s="167"/>
      <c r="P930" s="167"/>
      <c r="Q930" s="167"/>
      <c r="R930" s="167"/>
      <c r="S930" s="167"/>
      <c r="T930" s="167"/>
      <c r="U930" s="167"/>
      <c r="V930" s="167"/>
      <c r="W930" s="167"/>
      <c r="X930" s="167"/>
      <c r="Y930" s="167"/>
      <c r="Z930" s="167"/>
      <c r="AA930" s="167"/>
      <c r="AB930" s="167"/>
      <c r="AC930" s="167"/>
      <c r="AD930" s="167"/>
      <c r="AE930" s="167"/>
      <c r="AF930" s="167"/>
      <c r="AG930" s="167"/>
      <c r="AH930" s="167"/>
      <c r="AI930" s="167"/>
      <c r="AJ930" s="167"/>
      <c r="AK930" s="167"/>
      <c r="AL930" s="167"/>
    </row>
    <row r="931" spans="1:38" ht="15.75" customHeight="1">
      <c r="A931" s="167"/>
      <c r="B931" s="167"/>
      <c r="C931" s="167"/>
      <c r="D931" s="167"/>
      <c r="E931" s="167"/>
      <c r="F931" s="167"/>
      <c r="G931" s="167"/>
      <c r="H931" s="167"/>
      <c r="I931" s="167"/>
      <c r="J931" s="167"/>
      <c r="K931" s="167"/>
      <c r="L931" s="167"/>
      <c r="M931" s="167"/>
      <c r="N931" s="167"/>
      <c r="O931" s="167"/>
      <c r="P931" s="167"/>
      <c r="Q931" s="167"/>
      <c r="R931" s="167"/>
      <c r="S931" s="167"/>
      <c r="T931" s="167"/>
      <c r="U931" s="167"/>
      <c r="V931" s="167"/>
      <c r="W931" s="167"/>
      <c r="X931" s="167"/>
      <c r="Y931" s="167"/>
      <c r="Z931" s="167"/>
      <c r="AA931" s="167"/>
      <c r="AB931" s="167"/>
      <c r="AC931" s="167"/>
      <c r="AD931" s="167"/>
      <c r="AE931" s="167"/>
      <c r="AF931" s="167"/>
      <c r="AG931" s="167"/>
      <c r="AH931" s="167"/>
      <c r="AI931" s="167"/>
      <c r="AJ931" s="167"/>
      <c r="AK931" s="167"/>
      <c r="AL931" s="167"/>
    </row>
    <row r="932" spans="1:38" ht="15.75" customHeight="1">
      <c r="A932" s="167"/>
      <c r="B932" s="167"/>
      <c r="C932" s="167"/>
      <c r="D932" s="167"/>
      <c r="E932" s="167"/>
      <c r="F932" s="167"/>
      <c r="G932" s="167"/>
      <c r="H932" s="167"/>
      <c r="I932" s="167"/>
      <c r="J932" s="167"/>
      <c r="K932" s="167"/>
      <c r="L932" s="167"/>
      <c r="M932" s="167"/>
      <c r="N932" s="167"/>
      <c r="O932" s="167"/>
      <c r="P932" s="167"/>
      <c r="Q932" s="167"/>
      <c r="R932" s="167"/>
      <c r="S932" s="167"/>
      <c r="T932" s="167"/>
      <c r="U932" s="167"/>
      <c r="V932" s="167"/>
      <c r="W932" s="167"/>
      <c r="X932" s="167"/>
      <c r="Y932" s="167"/>
      <c r="Z932" s="167"/>
      <c r="AA932" s="167"/>
      <c r="AB932" s="167"/>
      <c r="AC932" s="167"/>
      <c r="AD932" s="167"/>
      <c r="AE932" s="167"/>
      <c r="AF932" s="167"/>
      <c r="AG932" s="167"/>
      <c r="AH932" s="167"/>
      <c r="AI932" s="167"/>
      <c r="AJ932" s="167"/>
      <c r="AK932" s="167"/>
      <c r="AL932" s="167"/>
    </row>
    <row r="933" spans="1:38" ht="15.75" customHeight="1">
      <c r="A933" s="167"/>
      <c r="B933" s="167"/>
      <c r="C933" s="167"/>
      <c r="D933" s="167"/>
      <c r="E933" s="167"/>
      <c r="F933" s="167"/>
      <c r="G933" s="167"/>
      <c r="H933" s="167"/>
      <c r="I933" s="167"/>
      <c r="J933" s="167"/>
      <c r="K933" s="167"/>
      <c r="L933" s="167"/>
      <c r="M933" s="167"/>
      <c r="N933" s="167"/>
      <c r="O933" s="167"/>
      <c r="P933" s="167"/>
      <c r="Q933" s="167"/>
      <c r="R933" s="167"/>
      <c r="S933" s="167"/>
      <c r="T933" s="167"/>
      <c r="U933" s="167"/>
      <c r="V933" s="167"/>
      <c r="W933" s="167"/>
      <c r="X933" s="167"/>
      <c r="Y933" s="167"/>
      <c r="Z933" s="167"/>
      <c r="AA933" s="167"/>
      <c r="AB933" s="167"/>
      <c r="AC933" s="167"/>
      <c r="AD933" s="167"/>
      <c r="AE933" s="167"/>
      <c r="AF933" s="167"/>
      <c r="AG933" s="167"/>
      <c r="AH933" s="167"/>
      <c r="AI933" s="167"/>
      <c r="AJ933" s="167"/>
      <c r="AK933" s="167"/>
      <c r="AL933" s="167"/>
    </row>
    <row r="934" spans="1:38" ht="15.75" customHeight="1">
      <c r="A934" s="167"/>
      <c r="B934" s="167"/>
      <c r="C934" s="167"/>
      <c r="D934" s="167"/>
      <c r="E934" s="167"/>
      <c r="F934" s="167"/>
      <c r="G934" s="167"/>
      <c r="H934" s="167"/>
      <c r="I934" s="167"/>
      <c r="J934" s="167"/>
      <c r="K934" s="167"/>
      <c r="L934" s="167"/>
      <c r="M934" s="167"/>
      <c r="N934" s="167"/>
      <c r="O934" s="167"/>
      <c r="P934" s="167"/>
      <c r="Q934" s="167"/>
      <c r="R934" s="167"/>
      <c r="S934" s="167"/>
      <c r="T934" s="167"/>
      <c r="U934" s="167"/>
      <c r="V934" s="167"/>
      <c r="W934" s="167"/>
      <c r="X934" s="167"/>
      <c r="Y934" s="167"/>
      <c r="Z934" s="167"/>
      <c r="AA934" s="167"/>
      <c r="AB934" s="167"/>
      <c r="AC934" s="167"/>
      <c r="AD934" s="167"/>
      <c r="AE934" s="167"/>
      <c r="AF934" s="167"/>
      <c r="AG934" s="167"/>
      <c r="AH934" s="167"/>
      <c r="AI934" s="167"/>
      <c r="AJ934" s="167"/>
      <c r="AK934" s="167"/>
      <c r="AL934" s="167"/>
    </row>
    <row r="935" spans="1:38" ht="15.75" customHeight="1">
      <c r="A935" s="167"/>
      <c r="B935" s="167"/>
      <c r="C935" s="167"/>
      <c r="D935" s="167"/>
      <c r="E935" s="167"/>
      <c r="F935" s="167"/>
      <c r="G935" s="167"/>
      <c r="H935" s="167"/>
      <c r="I935" s="167"/>
      <c r="J935" s="167"/>
      <c r="K935" s="167"/>
      <c r="L935" s="167"/>
      <c r="M935" s="167"/>
      <c r="N935" s="167"/>
      <c r="O935" s="167"/>
      <c r="P935" s="167"/>
      <c r="Q935" s="167"/>
      <c r="R935" s="167"/>
      <c r="S935" s="167"/>
      <c r="T935" s="167"/>
      <c r="U935" s="167"/>
      <c r="V935" s="167"/>
      <c r="W935" s="167"/>
      <c r="X935" s="167"/>
      <c r="Y935" s="167"/>
      <c r="Z935" s="167"/>
      <c r="AA935" s="167"/>
      <c r="AB935" s="167"/>
      <c r="AC935" s="167"/>
      <c r="AD935" s="167"/>
      <c r="AE935" s="167"/>
      <c r="AF935" s="167"/>
      <c r="AG935" s="167"/>
      <c r="AH935" s="167"/>
      <c r="AI935" s="167"/>
      <c r="AJ935" s="167"/>
      <c r="AK935" s="167"/>
      <c r="AL935" s="167"/>
    </row>
    <row r="936" spans="1:38" ht="15.75" customHeight="1">
      <c r="A936" s="167"/>
      <c r="B936" s="167"/>
      <c r="C936" s="167"/>
      <c r="D936" s="167"/>
      <c r="E936" s="167"/>
      <c r="F936" s="167"/>
      <c r="G936" s="167"/>
      <c r="H936" s="167"/>
      <c r="I936" s="167"/>
      <c r="J936" s="167"/>
      <c r="K936" s="167"/>
      <c r="L936" s="167"/>
      <c r="M936" s="167"/>
      <c r="N936" s="167"/>
      <c r="O936" s="167"/>
      <c r="P936" s="167"/>
      <c r="Q936" s="167"/>
      <c r="R936" s="167"/>
      <c r="S936" s="167"/>
      <c r="T936" s="167"/>
      <c r="U936" s="167"/>
      <c r="V936" s="167"/>
      <c r="W936" s="167"/>
      <c r="X936" s="167"/>
      <c r="Y936" s="167"/>
      <c r="Z936" s="167"/>
      <c r="AA936" s="167"/>
      <c r="AB936" s="167"/>
      <c r="AC936" s="167"/>
      <c r="AD936" s="167"/>
      <c r="AE936" s="167"/>
      <c r="AF936" s="167"/>
      <c r="AG936" s="167"/>
      <c r="AH936" s="167"/>
      <c r="AI936" s="167"/>
      <c r="AJ936" s="167"/>
      <c r="AK936" s="167"/>
      <c r="AL936" s="167"/>
    </row>
    <row r="937" spans="1:38" ht="15.75" customHeight="1">
      <c r="A937" s="167"/>
      <c r="B937" s="167"/>
      <c r="C937" s="167"/>
      <c r="D937" s="167"/>
      <c r="E937" s="167"/>
      <c r="F937" s="167"/>
      <c r="G937" s="167"/>
      <c r="H937" s="167"/>
      <c r="I937" s="167"/>
      <c r="J937" s="167"/>
      <c r="K937" s="167"/>
      <c r="L937" s="167"/>
      <c r="M937" s="167"/>
      <c r="N937" s="167"/>
      <c r="O937" s="167"/>
      <c r="P937" s="167"/>
      <c r="Q937" s="167"/>
      <c r="R937" s="167"/>
      <c r="S937" s="167"/>
      <c r="T937" s="167"/>
      <c r="U937" s="167"/>
      <c r="V937" s="167"/>
      <c r="W937" s="167"/>
      <c r="X937" s="167"/>
      <c r="Y937" s="167"/>
      <c r="Z937" s="167"/>
      <c r="AA937" s="167"/>
      <c r="AB937" s="167"/>
      <c r="AC937" s="167"/>
      <c r="AD937" s="167"/>
      <c r="AE937" s="167"/>
      <c r="AF937" s="167"/>
      <c r="AG937" s="167"/>
      <c r="AH937" s="167"/>
      <c r="AI937" s="167"/>
      <c r="AJ937" s="167"/>
      <c r="AK937" s="167"/>
      <c r="AL937" s="167"/>
    </row>
    <row r="938" spans="1:38" ht="15.75" customHeight="1">
      <c r="A938" s="167"/>
      <c r="B938" s="167"/>
      <c r="C938" s="167"/>
      <c r="D938" s="167"/>
      <c r="E938" s="167"/>
      <c r="F938" s="167"/>
      <c r="G938" s="167"/>
      <c r="H938" s="167"/>
      <c r="I938" s="167"/>
      <c r="J938" s="167"/>
      <c r="K938" s="167"/>
      <c r="L938" s="167"/>
      <c r="M938" s="167"/>
      <c r="N938" s="167"/>
      <c r="O938" s="167"/>
      <c r="P938" s="167"/>
      <c r="Q938" s="167"/>
      <c r="R938" s="167"/>
      <c r="S938" s="167"/>
      <c r="T938" s="167"/>
      <c r="U938" s="167"/>
      <c r="V938" s="167"/>
      <c r="W938" s="167"/>
      <c r="X938" s="167"/>
      <c r="Y938" s="167"/>
      <c r="Z938" s="167"/>
      <c r="AA938" s="167"/>
      <c r="AB938" s="167"/>
      <c r="AC938" s="167"/>
      <c r="AD938" s="167"/>
      <c r="AE938" s="167"/>
      <c r="AF938" s="167"/>
      <c r="AG938" s="167"/>
      <c r="AH938" s="167"/>
      <c r="AI938" s="167"/>
      <c r="AJ938" s="167"/>
      <c r="AK938" s="167"/>
      <c r="AL938" s="167"/>
    </row>
    <row r="939" spans="1:38" ht="15.75" customHeight="1">
      <c r="A939" s="167"/>
      <c r="B939" s="167"/>
      <c r="C939" s="167"/>
      <c r="D939" s="167"/>
      <c r="E939" s="167"/>
      <c r="F939" s="167"/>
      <c r="G939" s="167"/>
      <c r="H939" s="167"/>
      <c r="I939" s="167"/>
      <c r="J939" s="167"/>
      <c r="K939" s="167"/>
      <c r="L939" s="167"/>
      <c r="M939" s="167"/>
      <c r="N939" s="167"/>
      <c r="O939" s="167"/>
      <c r="P939" s="167"/>
      <c r="Q939" s="167"/>
      <c r="R939" s="167"/>
      <c r="S939" s="167"/>
      <c r="T939" s="167"/>
      <c r="U939" s="167"/>
      <c r="V939" s="167"/>
      <c r="W939" s="167"/>
      <c r="X939" s="167"/>
      <c r="Y939" s="167"/>
      <c r="Z939" s="167"/>
      <c r="AA939" s="167"/>
      <c r="AB939" s="167"/>
      <c r="AC939" s="167"/>
      <c r="AD939" s="167"/>
      <c r="AE939" s="167"/>
      <c r="AF939" s="167"/>
      <c r="AG939" s="167"/>
      <c r="AH939" s="167"/>
      <c r="AI939" s="167"/>
      <c r="AJ939" s="167"/>
      <c r="AK939" s="167"/>
      <c r="AL939" s="167"/>
    </row>
    <row r="940" spans="1:38" ht="15.75" customHeight="1">
      <c r="A940" s="167"/>
      <c r="B940" s="167"/>
      <c r="C940" s="167"/>
      <c r="D940" s="167"/>
      <c r="E940" s="167"/>
      <c r="F940" s="167"/>
      <c r="G940" s="167"/>
      <c r="H940" s="167"/>
      <c r="I940" s="167"/>
      <c r="J940" s="167"/>
      <c r="K940" s="167"/>
      <c r="L940" s="167"/>
      <c r="M940" s="167"/>
      <c r="N940" s="167"/>
      <c r="O940" s="167"/>
      <c r="P940" s="167"/>
      <c r="Q940" s="167"/>
      <c r="R940" s="167"/>
      <c r="S940" s="167"/>
      <c r="T940" s="167"/>
      <c r="U940" s="167"/>
      <c r="V940" s="167"/>
      <c r="W940" s="167"/>
      <c r="X940" s="167"/>
      <c r="Y940" s="167"/>
      <c r="Z940" s="167"/>
      <c r="AA940" s="167"/>
      <c r="AB940" s="167"/>
      <c r="AC940" s="167"/>
      <c r="AD940" s="167"/>
      <c r="AE940" s="167"/>
      <c r="AF940" s="167"/>
      <c r="AG940" s="167"/>
      <c r="AH940" s="167"/>
      <c r="AI940" s="167"/>
      <c r="AJ940" s="167"/>
      <c r="AK940" s="167"/>
      <c r="AL940" s="167"/>
    </row>
    <row r="941" spans="1:38" ht="15.75" customHeight="1">
      <c r="A941" s="167"/>
      <c r="B941" s="167"/>
      <c r="C941" s="167"/>
      <c r="D941" s="167"/>
      <c r="E941" s="167"/>
      <c r="F941" s="167"/>
      <c r="G941" s="167"/>
      <c r="H941" s="167"/>
      <c r="I941" s="167"/>
      <c r="J941" s="167"/>
      <c r="K941" s="167"/>
      <c r="L941" s="167"/>
      <c r="M941" s="167"/>
      <c r="N941" s="167"/>
      <c r="O941" s="167"/>
      <c r="P941" s="167"/>
      <c r="Q941" s="167"/>
      <c r="R941" s="167"/>
      <c r="S941" s="167"/>
      <c r="T941" s="167"/>
      <c r="U941" s="167"/>
      <c r="V941" s="167"/>
      <c r="W941" s="167"/>
      <c r="X941" s="167"/>
      <c r="Y941" s="167"/>
      <c r="Z941" s="167"/>
      <c r="AA941" s="167"/>
      <c r="AB941" s="167"/>
      <c r="AC941" s="167"/>
      <c r="AD941" s="167"/>
      <c r="AE941" s="167"/>
      <c r="AF941" s="167"/>
      <c r="AG941" s="167"/>
      <c r="AH941" s="167"/>
      <c r="AI941" s="167"/>
      <c r="AJ941" s="167"/>
      <c r="AK941" s="167"/>
      <c r="AL941" s="167"/>
    </row>
    <row r="942" spans="1:38" ht="15.75" customHeight="1">
      <c r="A942" s="167"/>
      <c r="B942" s="167"/>
      <c r="C942" s="167"/>
      <c r="D942" s="167"/>
      <c r="E942" s="167"/>
      <c r="F942" s="167"/>
      <c r="G942" s="167"/>
      <c r="H942" s="167"/>
      <c r="I942" s="167"/>
      <c r="J942" s="167"/>
      <c r="K942" s="167"/>
      <c r="L942" s="167"/>
      <c r="M942" s="167"/>
      <c r="N942" s="167"/>
      <c r="O942" s="167"/>
      <c r="P942" s="167"/>
      <c r="Q942" s="167"/>
      <c r="R942" s="167"/>
      <c r="S942" s="167"/>
      <c r="T942" s="167"/>
      <c r="U942" s="167"/>
      <c r="V942" s="167"/>
      <c r="W942" s="167"/>
      <c r="X942" s="167"/>
      <c r="Y942" s="167"/>
      <c r="Z942" s="167"/>
      <c r="AA942" s="167"/>
      <c r="AB942" s="167"/>
      <c r="AC942" s="167"/>
      <c r="AD942" s="167"/>
      <c r="AE942" s="167"/>
      <c r="AF942" s="167"/>
      <c r="AG942" s="167"/>
      <c r="AH942" s="167"/>
      <c r="AI942" s="167"/>
      <c r="AJ942" s="167"/>
      <c r="AK942" s="167"/>
      <c r="AL942" s="167"/>
    </row>
    <row r="943" spans="1:38" ht="15.75" customHeight="1">
      <c r="A943" s="167"/>
      <c r="B943" s="167"/>
      <c r="C943" s="167"/>
      <c r="D943" s="167"/>
      <c r="E943" s="167"/>
      <c r="F943" s="167"/>
      <c r="G943" s="167"/>
      <c r="H943" s="167"/>
      <c r="I943" s="167"/>
      <c r="J943" s="167"/>
      <c r="K943" s="167"/>
      <c r="L943" s="167"/>
      <c r="M943" s="167"/>
      <c r="N943" s="167"/>
      <c r="O943" s="167"/>
      <c r="P943" s="167"/>
      <c r="Q943" s="167"/>
      <c r="R943" s="167"/>
      <c r="S943" s="167"/>
      <c r="T943" s="167"/>
      <c r="U943" s="167"/>
      <c r="V943" s="167"/>
      <c r="W943" s="167"/>
      <c r="X943" s="167"/>
      <c r="Y943" s="167"/>
      <c r="Z943" s="167"/>
      <c r="AA943" s="167"/>
      <c r="AB943" s="167"/>
      <c r="AC943" s="167"/>
      <c r="AD943" s="167"/>
      <c r="AE943" s="167"/>
      <c r="AF943" s="167"/>
      <c r="AG943" s="167"/>
      <c r="AH943" s="167"/>
      <c r="AI943" s="167"/>
      <c r="AJ943" s="167"/>
      <c r="AK943" s="167"/>
      <c r="AL943" s="167"/>
    </row>
    <row r="944" spans="1:38" ht="15.75" customHeight="1">
      <c r="A944" s="167"/>
      <c r="B944" s="167"/>
      <c r="C944" s="167"/>
      <c r="D944" s="167"/>
      <c r="E944" s="167"/>
      <c r="F944" s="167"/>
      <c r="G944" s="167"/>
      <c r="H944" s="167"/>
      <c r="I944" s="167"/>
      <c r="J944" s="167"/>
      <c r="K944" s="167"/>
      <c r="L944" s="167"/>
      <c r="M944" s="167"/>
      <c r="N944" s="167"/>
      <c r="O944" s="167"/>
      <c r="P944" s="167"/>
      <c r="Q944" s="167"/>
      <c r="R944" s="167"/>
      <c r="S944" s="167"/>
      <c r="T944" s="167"/>
      <c r="U944" s="167"/>
      <c r="V944" s="167"/>
      <c r="W944" s="167"/>
      <c r="X944" s="167"/>
      <c r="Y944" s="167"/>
      <c r="Z944" s="167"/>
      <c r="AA944" s="167"/>
      <c r="AB944" s="167"/>
      <c r="AC944" s="167"/>
      <c r="AD944" s="167"/>
      <c r="AE944" s="167"/>
      <c r="AF944" s="167"/>
      <c r="AG944" s="167"/>
      <c r="AH944" s="167"/>
      <c r="AI944" s="167"/>
      <c r="AJ944" s="167"/>
      <c r="AK944" s="167"/>
      <c r="AL944" s="167"/>
    </row>
    <row r="945" spans="1:38" ht="15.75" customHeight="1">
      <c r="A945" s="167"/>
      <c r="B945" s="167"/>
      <c r="C945" s="167"/>
      <c r="D945" s="167"/>
      <c r="E945" s="167"/>
      <c r="F945" s="167"/>
      <c r="G945" s="167"/>
      <c r="H945" s="167"/>
      <c r="I945" s="167"/>
      <c r="J945" s="167"/>
      <c r="K945" s="167"/>
      <c r="L945" s="167"/>
      <c r="M945" s="167"/>
      <c r="N945" s="167"/>
      <c r="O945" s="167"/>
      <c r="P945" s="167"/>
      <c r="Q945" s="167"/>
      <c r="R945" s="167"/>
      <c r="S945" s="167"/>
      <c r="T945" s="167"/>
      <c r="U945" s="167"/>
      <c r="V945" s="167"/>
      <c r="W945" s="167"/>
      <c r="X945" s="167"/>
      <c r="Y945" s="167"/>
      <c r="Z945" s="167"/>
      <c r="AA945" s="167"/>
      <c r="AB945" s="167"/>
      <c r="AC945" s="167"/>
      <c r="AD945" s="167"/>
      <c r="AE945" s="167"/>
      <c r="AF945" s="167"/>
      <c r="AG945" s="167"/>
      <c r="AH945" s="167"/>
      <c r="AI945" s="167"/>
      <c r="AJ945" s="167"/>
      <c r="AK945" s="167"/>
      <c r="AL945" s="167"/>
    </row>
    <row r="946" spans="1:38" ht="15.75" customHeight="1">
      <c r="A946" s="167"/>
      <c r="B946" s="167"/>
      <c r="C946" s="167"/>
      <c r="D946" s="167"/>
      <c r="E946" s="167"/>
      <c r="F946" s="167"/>
      <c r="G946" s="167"/>
      <c r="H946" s="167"/>
      <c r="I946" s="167"/>
      <c r="J946" s="167"/>
      <c r="K946" s="167"/>
      <c r="L946" s="167"/>
      <c r="M946" s="167"/>
      <c r="N946" s="167"/>
      <c r="O946" s="167"/>
      <c r="P946" s="167"/>
      <c r="Q946" s="167"/>
      <c r="R946" s="167"/>
      <c r="S946" s="167"/>
      <c r="T946" s="167"/>
      <c r="U946" s="167"/>
      <c r="V946" s="167"/>
      <c r="W946" s="167"/>
      <c r="X946" s="167"/>
      <c r="Y946" s="167"/>
      <c r="Z946" s="167"/>
      <c r="AA946" s="167"/>
      <c r="AB946" s="167"/>
      <c r="AC946" s="167"/>
      <c r="AD946" s="167"/>
      <c r="AE946" s="167"/>
      <c r="AF946" s="167"/>
      <c r="AG946" s="167"/>
      <c r="AH946" s="167"/>
      <c r="AI946" s="167"/>
      <c r="AJ946" s="167"/>
      <c r="AK946" s="167"/>
      <c r="AL946" s="167"/>
    </row>
    <row r="947" spans="1:38" ht="15.75" customHeight="1">
      <c r="A947" s="167"/>
      <c r="B947" s="167"/>
      <c r="C947" s="167"/>
      <c r="D947" s="167"/>
      <c r="E947" s="167"/>
      <c r="F947" s="167"/>
      <c r="G947" s="167"/>
      <c r="H947" s="167"/>
      <c r="I947" s="167"/>
      <c r="J947" s="167"/>
      <c r="K947" s="167"/>
      <c r="L947" s="167"/>
      <c r="M947" s="167"/>
      <c r="N947" s="167"/>
      <c r="O947" s="167"/>
      <c r="P947" s="167"/>
      <c r="Q947" s="167"/>
      <c r="R947" s="167"/>
      <c r="S947" s="167"/>
      <c r="T947" s="167"/>
      <c r="U947" s="167"/>
      <c r="V947" s="167"/>
      <c r="W947" s="167"/>
      <c r="X947" s="167"/>
      <c r="Y947" s="167"/>
      <c r="Z947" s="167"/>
      <c r="AA947" s="167"/>
      <c r="AB947" s="167"/>
      <c r="AC947" s="167"/>
      <c r="AD947" s="167"/>
      <c r="AE947" s="167"/>
      <c r="AF947" s="167"/>
      <c r="AG947" s="167"/>
      <c r="AH947" s="167"/>
      <c r="AI947" s="167"/>
      <c r="AJ947" s="167"/>
      <c r="AK947" s="167"/>
      <c r="AL947" s="167"/>
    </row>
    <row r="948" spans="1:38" ht="15.75" customHeight="1">
      <c r="A948" s="167"/>
      <c r="B948" s="167"/>
      <c r="C948" s="167"/>
      <c r="D948" s="167"/>
      <c r="E948" s="167"/>
      <c r="F948" s="167"/>
      <c r="G948" s="167"/>
      <c r="H948" s="167"/>
      <c r="I948" s="167"/>
      <c r="J948" s="167"/>
      <c r="K948" s="167"/>
      <c r="L948" s="167"/>
      <c r="M948" s="167"/>
      <c r="N948" s="167"/>
      <c r="O948" s="167"/>
      <c r="P948" s="167"/>
      <c r="Q948" s="167"/>
      <c r="R948" s="167"/>
      <c r="S948" s="167"/>
      <c r="T948" s="167"/>
      <c r="U948" s="167"/>
      <c r="V948" s="167"/>
      <c r="W948" s="167"/>
      <c r="X948" s="167"/>
      <c r="Y948" s="167"/>
      <c r="Z948" s="167"/>
      <c r="AA948" s="167"/>
      <c r="AB948" s="167"/>
      <c r="AC948" s="167"/>
      <c r="AD948" s="167"/>
      <c r="AE948" s="167"/>
      <c r="AF948" s="167"/>
      <c r="AG948" s="167"/>
      <c r="AH948" s="167"/>
      <c r="AI948" s="167"/>
      <c r="AJ948" s="167"/>
      <c r="AK948" s="167"/>
      <c r="AL948" s="167"/>
    </row>
    <row r="949" spans="1:38" ht="15.75" customHeight="1">
      <c r="A949" s="167"/>
      <c r="B949" s="167"/>
      <c r="C949" s="167"/>
      <c r="D949" s="167"/>
      <c r="E949" s="167"/>
      <c r="F949" s="167"/>
      <c r="G949" s="167"/>
      <c r="H949" s="167"/>
      <c r="I949" s="167"/>
      <c r="J949" s="167"/>
      <c r="K949" s="167"/>
      <c r="L949" s="167"/>
      <c r="M949" s="167"/>
      <c r="N949" s="167"/>
      <c r="O949" s="167"/>
      <c r="P949" s="167"/>
      <c r="Q949" s="167"/>
      <c r="R949" s="167"/>
      <c r="S949" s="167"/>
      <c r="T949" s="167"/>
      <c r="U949" s="167"/>
      <c r="V949" s="167"/>
      <c r="W949" s="167"/>
      <c r="X949" s="167"/>
      <c r="Y949" s="167"/>
      <c r="Z949" s="167"/>
      <c r="AA949" s="167"/>
      <c r="AB949" s="167"/>
      <c r="AC949" s="167"/>
      <c r="AD949" s="167"/>
      <c r="AE949" s="167"/>
      <c r="AF949" s="167"/>
      <c r="AG949" s="167"/>
      <c r="AH949" s="167"/>
      <c r="AI949" s="167"/>
      <c r="AJ949" s="167"/>
      <c r="AK949" s="167"/>
      <c r="AL949" s="167"/>
    </row>
    <row r="950" spans="1:38" ht="15.75" customHeight="1">
      <c r="A950" s="167"/>
      <c r="B950" s="167"/>
      <c r="C950" s="167"/>
      <c r="D950" s="167"/>
      <c r="E950" s="167"/>
      <c r="F950" s="167"/>
      <c r="G950" s="167"/>
      <c r="H950" s="167"/>
      <c r="I950" s="167"/>
      <c r="J950" s="167"/>
      <c r="K950" s="167"/>
      <c r="L950" s="167"/>
      <c r="M950" s="167"/>
      <c r="N950" s="167"/>
      <c r="O950" s="167"/>
      <c r="P950" s="167"/>
      <c r="Q950" s="167"/>
      <c r="R950" s="167"/>
      <c r="S950" s="167"/>
      <c r="T950" s="167"/>
      <c r="U950" s="167"/>
      <c r="V950" s="167"/>
      <c r="W950" s="167"/>
      <c r="X950" s="167"/>
      <c r="Y950" s="167"/>
      <c r="Z950" s="167"/>
      <c r="AA950" s="167"/>
      <c r="AB950" s="167"/>
      <c r="AC950" s="167"/>
      <c r="AD950" s="167"/>
      <c r="AE950" s="167"/>
      <c r="AF950" s="167"/>
      <c r="AG950" s="167"/>
      <c r="AH950" s="167"/>
      <c r="AI950" s="167"/>
      <c r="AJ950" s="167"/>
      <c r="AK950" s="167"/>
      <c r="AL950" s="167"/>
    </row>
    <row r="951" spans="1:38" ht="15.75" customHeight="1">
      <c r="A951" s="167"/>
      <c r="B951" s="167"/>
      <c r="C951" s="167"/>
      <c r="D951" s="167"/>
      <c r="E951" s="167"/>
      <c r="F951" s="167"/>
      <c r="G951" s="167"/>
      <c r="H951" s="167"/>
      <c r="I951" s="167"/>
      <c r="J951" s="167"/>
      <c r="K951" s="167"/>
      <c r="L951" s="167"/>
      <c r="M951" s="167"/>
      <c r="N951" s="167"/>
      <c r="O951" s="167"/>
      <c r="P951" s="167"/>
      <c r="Q951" s="167"/>
      <c r="R951" s="167"/>
      <c r="S951" s="167"/>
      <c r="T951" s="167"/>
      <c r="U951" s="167"/>
      <c r="V951" s="167"/>
      <c r="W951" s="167"/>
      <c r="X951" s="167"/>
      <c r="Y951" s="167"/>
      <c r="Z951" s="167"/>
      <c r="AA951" s="167"/>
      <c r="AB951" s="167"/>
      <c r="AC951" s="167"/>
      <c r="AD951" s="167"/>
      <c r="AE951" s="167"/>
      <c r="AF951" s="167"/>
      <c r="AG951" s="167"/>
      <c r="AH951" s="167"/>
      <c r="AI951" s="167"/>
      <c r="AJ951" s="167"/>
      <c r="AK951" s="167"/>
      <c r="AL951" s="167"/>
    </row>
    <row r="952" spans="1:38" ht="15.75" customHeight="1">
      <c r="A952" s="167"/>
      <c r="B952" s="167"/>
      <c r="C952" s="167"/>
      <c r="D952" s="167"/>
      <c r="E952" s="167"/>
      <c r="F952" s="167"/>
      <c r="G952" s="167"/>
      <c r="H952" s="167"/>
      <c r="I952" s="167"/>
      <c r="J952" s="167"/>
      <c r="K952" s="167"/>
      <c r="L952" s="167"/>
      <c r="M952" s="167"/>
      <c r="N952" s="167"/>
      <c r="O952" s="167"/>
      <c r="P952" s="167"/>
      <c r="Q952" s="167"/>
      <c r="R952" s="167"/>
      <c r="S952" s="167"/>
      <c r="T952" s="167"/>
      <c r="U952" s="167"/>
      <c r="V952" s="167"/>
      <c r="W952" s="167"/>
      <c r="X952" s="167"/>
      <c r="Y952" s="167"/>
      <c r="Z952" s="167"/>
      <c r="AA952" s="167"/>
      <c r="AB952" s="167"/>
      <c r="AC952" s="167"/>
      <c r="AD952" s="167"/>
      <c r="AE952" s="167"/>
      <c r="AF952" s="167"/>
      <c r="AG952" s="167"/>
      <c r="AH952" s="167"/>
      <c r="AI952" s="167"/>
      <c r="AJ952" s="167"/>
      <c r="AK952" s="167"/>
      <c r="AL952" s="167"/>
    </row>
    <row r="953" spans="1:38" ht="15.75" customHeight="1">
      <c r="A953" s="167"/>
      <c r="B953" s="167"/>
      <c r="C953" s="167"/>
      <c r="D953" s="167"/>
      <c r="E953" s="167"/>
      <c r="F953" s="167"/>
      <c r="G953" s="167"/>
      <c r="H953" s="167"/>
      <c r="I953" s="167"/>
      <c r="J953" s="167"/>
      <c r="K953" s="167"/>
      <c r="L953" s="167"/>
      <c r="M953" s="167"/>
      <c r="N953" s="167"/>
      <c r="O953" s="167"/>
      <c r="P953" s="167"/>
      <c r="Q953" s="167"/>
      <c r="R953" s="167"/>
      <c r="S953" s="167"/>
      <c r="T953" s="167"/>
      <c r="U953" s="167"/>
      <c r="V953" s="167"/>
      <c r="W953" s="167"/>
      <c r="X953" s="167"/>
      <c r="Y953" s="167"/>
      <c r="Z953" s="167"/>
      <c r="AA953" s="167"/>
      <c r="AB953" s="167"/>
      <c r="AC953" s="167"/>
      <c r="AD953" s="167"/>
      <c r="AE953" s="167"/>
      <c r="AF953" s="167"/>
      <c r="AG953" s="167"/>
      <c r="AH953" s="167"/>
      <c r="AI953" s="167"/>
      <c r="AJ953" s="167"/>
      <c r="AK953" s="167"/>
      <c r="AL953" s="167"/>
    </row>
    <row r="954" spans="1:38" ht="15.75" customHeight="1">
      <c r="A954" s="167"/>
      <c r="B954" s="167"/>
      <c r="C954" s="167"/>
      <c r="D954" s="167"/>
      <c r="E954" s="167"/>
      <c r="F954" s="167"/>
      <c r="G954" s="167"/>
      <c r="H954" s="167"/>
      <c r="I954" s="167"/>
      <c r="J954" s="167"/>
      <c r="K954" s="167"/>
      <c r="L954" s="167"/>
      <c r="M954" s="167"/>
      <c r="N954" s="167"/>
      <c r="O954" s="167"/>
      <c r="P954" s="167"/>
      <c r="Q954" s="167"/>
      <c r="R954" s="167"/>
      <c r="S954" s="167"/>
      <c r="T954" s="167"/>
      <c r="U954" s="167"/>
      <c r="V954" s="167"/>
      <c r="W954" s="167"/>
      <c r="X954" s="167"/>
      <c r="Y954" s="167"/>
      <c r="Z954" s="167"/>
      <c r="AA954" s="167"/>
      <c r="AB954" s="167"/>
      <c r="AC954" s="167"/>
      <c r="AD954" s="167"/>
      <c r="AE954" s="167"/>
      <c r="AF954" s="167"/>
      <c r="AG954" s="167"/>
      <c r="AH954" s="167"/>
      <c r="AI954" s="167"/>
      <c r="AJ954" s="167"/>
      <c r="AK954" s="167"/>
      <c r="AL954" s="167"/>
    </row>
    <row r="955" spans="1:38" ht="15.75" customHeight="1">
      <c r="A955" s="167"/>
      <c r="B955" s="167"/>
      <c r="C955" s="167"/>
      <c r="D955" s="167"/>
      <c r="E955" s="167"/>
      <c r="F955" s="167"/>
      <c r="G955" s="167"/>
      <c r="H955" s="167"/>
      <c r="I955" s="167"/>
      <c r="J955" s="167"/>
      <c r="K955" s="167"/>
      <c r="L955" s="167"/>
      <c r="M955" s="167"/>
      <c r="N955" s="167"/>
      <c r="O955" s="167"/>
      <c r="P955" s="167"/>
      <c r="Q955" s="167"/>
      <c r="R955" s="167"/>
      <c r="S955" s="167"/>
      <c r="T955" s="167"/>
      <c r="U955" s="167"/>
      <c r="V955" s="167"/>
      <c r="W955" s="167"/>
      <c r="X955" s="167"/>
      <c r="Y955" s="167"/>
      <c r="Z955" s="167"/>
      <c r="AA955" s="167"/>
      <c r="AB955" s="167"/>
      <c r="AC955" s="167"/>
      <c r="AD955" s="167"/>
      <c r="AE955" s="167"/>
      <c r="AF955" s="167"/>
      <c r="AG955" s="167"/>
      <c r="AH955" s="167"/>
      <c r="AI955" s="167"/>
      <c r="AJ955" s="167"/>
      <c r="AK955" s="167"/>
      <c r="AL955" s="167"/>
    </row>
    <row r="956" spans="1:38" ht="15.75" customHeight="1">
      <c r="A956" s="167"/>
      <c r="B956" s="167"/>
      <c r="C956" s="167"/>
      <c r="D956" s="167"/>
      <c r="E956" s="167"/>
      <c r="F956" s="167"/>
      <c r="G956" s="167"/>
      <c r="H956" s="167"/>
      <c r="I956" s="167"/>
      <c r="J956" s="167"/>
      <c r="K956" s="167"/>
      <c r="L956" s="167"/>
      <c r="M956" s="167"/>
      <c r="N956" s="167"/>
      <c r="O956" s="167"/>
      <c r="P956" s="167"/>
      <c r="Q956" s="167"/>
      <c r="R956" s="167"/>
      <c r="S956" s="167"/>
      <c r="T956" s="167"/>
      <c r="U956" s="167"/>
      <c r="V956" s="167"/>
      <c r="W956" s="167"/>
      <c r="X956" s="167"/>
      <c r="Y956" s="167"/>
      <c r="Z956" s="167"/>
      <c r="AA956" s="167"/>
      <c r="AB956" s="167"/>
      <c r="AC956" s="167"/>
      <c r="AD956" s="167"/>
      <c r="AE956" s="167"/>
      <c r="AF956" s="167"/>
      <c r="AG956" s="167"/>
      <c r="AH956" s="167"/>
      <c r="AI956" s="167"/>
      <c r="AJ956" s="167"/>
      <c r="AK956" s="167"/>
      <c r="AL956" s="167"/>
    </row>
    <row r="957" spans="1:38" ht="15.75" customHeight="1">
      <c r="A957" s="167"/>
      <c r="B957" s="167"/>
      <c r="C957" s="167"/>
      <c r="D957" s="167"/>
      <c r="E957" s="167"/>
      <c r="F957" s="167"/>
      <c r="G957" s="167"/>
      <c r="H957" s="167"/>
      <c r="I957" s="167"/>
      <c r="J957" s="167"/>
      <c r="K957" s="167"/>
      <c r="L957" s="167"/>
      <c r="M957" s="167"/>
      <c r="N957" s="167"/>
      <c r="O957" s="167"/>
      <c r="P957" s="167"/>
      <c r="Q957" s="167"/>
      <c r="R957" s="167"/>
      <c r="S957" s="167"/>
      <c r="T957" s="167"/>
      <c r="U957" s="167"/>
      <c r="V957" s="167"/>
      <c r="W957" s="167"/>
      <c r="X957" s="167"/>
      <c r="Y957" s="167"/>
      <c r="Z957" s="167"/>
      <c r="AA957" s="167"/>
      <c r="AB957" s="167"/>
      <c r="AC957" s="167"/>
      <c r="AD957" s="167"/>
      <c r="AE957" s="167"/>
      <c r="AF957" s="167"/>
      <c r="AG957" s="167"/>
      <c r="AH957" s="167"/>
      <c r="AI957" s="167"/>
      <c r="AJ957" s="167"/>
      <c r="AK957" s="167"/>
      <c r="AL957" s="167"/>
    </row>
    <row r="958" spans="1:38" ht="15.75" customHeight="1">
      <c r="A958" s="167"/>
      <c r="B958" s="167"/>
      <c r="C958" s="167"/>
      <c r="D958" s="167"/>
      <c r="E958" s="167"/>
      <c r="F958" s="167"/>
      <c r="G958" s="167"/>
      <c r="H958" s="167"/>
      <c r="I958" s="167"/>
      <c r="J958" s="167"/>
      <c r="K958" s="167"/>
      <c r="L958" s="167"/>
      <c r="M958" s="167"/>
      <c r="N958" s="167"/>
      <c r="O958" s="167"/>
      <c r="P958" s="167"/>
      <c r="Q958" s="167"/>
      <c r="R958" s="167"/>
      <c r="S958" s="167"/>
      <c r="T958" s="167"/>
      <c r="U958" s="167"/>
      <c r="V958" s="167"/>
      <c r="W958" s="167"/>
      <c r="X958" s="167"/>
      <c r="Y958" s="167"/>
      <c r="Z958" s="167"/>
      <c r="AA958" s="167"/>
      <c r="AB958" s="167"/>
      <c r="AC958" s="167"/>
      <c r="AD958" s="167"/>
      <c r="AE958" s="167"/>
      <c r="AF958" s="167"/>
      <c r="AG958" s="167"/>
      <c r="AH958" s="167"/>
      <c r="AI958" s="167"/>
      <c r="AJ958" s="167"/>
      <c r="AK958" s="167"/>
      <c r="AL958" s="167"/>
    </row>
    <row r="959" spans="1:38" ht="15.75" customHeight="1">
      <c r="A959" s="167"/>
      <c r="B959" s="167"/>
      <c r="C959" s="167"/>
      <c r="D959" s="167"/>
      <c r="E959" s="167"/>
      <c r="F959" s="167"/>
      <c r="G959" s="167"/>
      <c r="H959" s="167"/>
      <c r="I959" s="167"/>
      <c r="J959" s="167"/>
      <c r="K959" s="167"/>
      <c r="L959" s="167"/>
      <c r="M959" s="167"/>
      <c r="N959" s="167"/>
      <c r="O959" s="167"/>
      <c r="P959" s="167"/>
      <c r="Q959" s="167"/>
      <c r="R959" s="167"/>
      <c r="S959" s="167"/>
      <c r="T959" s="167"/>
      <c r="U959" s="167"/>
      <c r="V959" s="167"/>
      <c r="W959" s="167"/>
      <c r="X959" s="167"/>
      <c r="Y959" s="167"/>
      <c r="Z959" s="167"/>
      <c r="AA959" s="167"/>
      <c r="AB959" s="167"/>
      <c r="AC959" s="167"/>
      <c r="AD959" s="167"/>
      <c r="AE959" s="167"/>
      <c r="AF959" s="167"/>
      <c r="AG959" s="167"/>
      <c r="AH959" s="167"/>
      <c r="AI959" s="167"/>
      <c r="AJ959" s="167"/>
      <c r="AK959" s="167"/>
      <c r="AL959" s="167"/>
    </row>
    <row r="960" spans="1:38" ht="15.75" customHeight="1">
      <c r="A960" s="167"/>
      <c r="B960" s="167"/>
      <c r="C960" s="167"/>
      <c r="D960" s="167"/>
      <c r="E960" s="167"/>
      <c r="F960" s="167"/>
      <c r="G960" s="167"/>
      <c r="H960" s="167"/>
      <c r="I960" s="167"/>
      <c r="J960" s="167"/>
      <c r="K960" s="167"/>
      <c r="L960" s="167"/>
      <c r="M960" s="167"/>
      <c r="N960" s="167"/>
      <c r="O960" s="167"/>
      <c r="P960" s="167"/>
      <c r="Q960" s="167"/>
      <c r="R960" s="167"/>
      <c r="S960" s="167"/>
      <c r="T960" s="167"/>
      <c r="U960" s="167"/>
      <c r="V960" s="167"/>
      <c r="W960" s="167"/>
      <c r="X960" s="167"/>
      <c r="Y960" s="167"/>
      <c r="Z960" s="167"/>
      <c r="AA960" s="167"/>
      <c r="AB960" s="167"/>
      <c r="AC960" s="167"/>
      <c r="AD960" s="167"/>
      <c r="AE960" s="167"/>
      <c r="AF960" s="167"/>
      <c r="AG960" s="167"/>
      <c r="AH960" s="167"/>
      <c r="AI960" s="167"/>
      <c r="AJ960" s="167"/>
      <c r="AK960" s="167"/>
      <c r="AL960" s="167"/>
    </row>
    <row r="961" spans="1:38" ht="15.75" customHeight="1">
      <c r="A961" s="167"/>
      <c r="B961" s="167"/>
      <c r="C961" s="167"/>
      <c r="D961" s="167"/>
      <c r="E961" s="167"/>
      <c r="F961" s="167"/>
      <c r="G961" s="167"/>
      <c r="H961" s="167"/>
      <c r="I961" s="167"/>
      <c r="J961" s="167"/>
      <c r="K961" s="167"/>
      <c r="L961" s="167"/>
      <c r="M961" s="167"/>
      <c r="N961" s="167"/>
      <c r="O961" s="167"/>
      <c r="P961" s="167"/>
      <c r="Q961" s="167"/>
      <c r="R961" s="167"/>
      <c r="S961" s="167"/>
      <c r="T961" s="167"/>
      <c r="U961" s="167"/>
      <c r="V961" s="167"/>
      <c r="W961" s="167"/>
      <c r="X961" s="167"/>
      <c r="Y961" s="167"/>
      <c r="Z961" s="167"/>
      <c r="AA961" s="167"/>
      <c r="AB961" s="167"/>
      <c r="AC961" s="167"/>
      <c r="AD961" s="167"/>
      <c r="AE961" s="167"/>
      <c r="AF961" s="167"/>
      <c r="AG961" s="167"/>
      <c r="AH961" s="167"/>
      <c r="AI961" s="167"/>
      <c r="AJ961" s="167"/>
      <c r="AK961" s="167"/>
      <c r="AL961" s="167"/>
    </row>
    <row r="962" spans="1:38" ht="15.75" customHeight="1">
      <c r="A962" s="167"/>
      <c r="B962" s="167"/>
      <c r="C962" s="167"/>
      <c r="D962" s="167"/>
      <c r="E962" s="167"/>
      <c r="F962" s="167"/>
      <c r="G962" s="167"/>
      <c r="H962" s="167"/>
      <c r="I962" s="167"/>
      <c r="J962" s="167"/>
      <c r="K962" s="167"/>
      <c r="L962" s="167"/>
      <c r="M962" s="167"/>
      <c r="N962" s="167"/>
      <c r="O962" s="167"/>
      <c r="P962" s="167"/>
      <c r="Q962" s="167"/>
      <c r="R962" s="167"/>
      <c r="S962" s="167"/>
      <c r="T962" s="167"/>
      <c r="U962" s="167"/>
      <c r="V962" s="167"/>
      <c r="W962" s="167"/>
      <c r="X962" s="167"/>
      <c r="Y962" s="167"/>
      <c r="Z962" s="167"/>
      <c r="AA962" s="167"/>
      <c r="AB962" s="167"/>
      <c r="AC962" s="167"/>
      <c r="AD962" s="167"/>
      <c r="AE962" s="167"/>
      <c r="AF962" s="167"/>
      <c r="AG962" s="167"/>
      <c r="AH962" s="167"/>
      <c r="AI962" s="167"/>
      <c r="AJ962" s="167"/>
      <c r="AK962" s="167"/>
      <c r="AL962" s="167"/>
    </row>
    <row r="963" spans="1:38" ht="15.75" customHeight="1">
      <c r="A963" s="167"/>
      <c r="B963" s="167"/>
      <c r="C963" s="167"/>
      <c r="D963" s="167"/>
      <c r="E963" s="167"/>
      <c r="F963" s="167"/>
      <c r="G963" s="167"/>
      <c r="H963" s="167"/>
      <c r="I963" s="167"/>
      <c r="J963" s="167"/>
      <c r="K963" s="167"/>
      <c r="L963" s="167"/>
      <c r="M963" s="167"/>
      <c r="N963" s="167"/>
      <c r="O963" s="167"/>
      <c r="P963" s="167"/>
      <c r="Q963" s="167"/>
      <c r="R963" s="167"/>
      <c r="S963" s="167"/>
      <c r="T963" s="167"/>
      <c r="U963" s="167"/>
      <c r="V963" s="167"/>
      <c r="W963" s="167"/>
      <c r="X963" s="167"/>
      <c r="Y963" s="167"/>
      <c r="Z963" s="167"/>
      <c r="AA963" s="167"/>
      <c r="AB963" s="167"/>
      <c r="AC963" s="167"/>
      <c r="AD963" s="167"/>
      <c r="AE963" s="167"/>
      <c r="AF963" s="167"/>
      <c r="AG963" s="167"/>
      <c r="AH963" s="167"/>
      <c r="AI963" s="167"/>
      <c r="AJ963" s="167"/>
      <c r="AK963" s="167"/>
      <c r="AL963" s="167"/>
    </row>
    <row r="964" spans="1:38" ht="15.75" customHeight="1">
      <c r="A964" s="167"/>
      <c r="B964" s="167"/>
      <c r="C964" s="167"/>
      <c r="D964" s="167"/>
      <c r="E964" s="167"/>
      <c r="F964" s="167"/>
      <c r="G964" s="167"/>
      <c r="H964" s="167"/>
      <c r="I964" s="167"/>
      <c r="J964" s="167"/>
      <c r="K964" s="167"/>
      <c r="L964" s="167"/>
      <c r="M964" s="167"/>
      <c r="N964" s="167"/>
      <c r="O964" s="167"/>
      <c r="P964" s="167"/>
      <c r="Q964" s="167"/>
      <c r="R964" s="167"/>
      <c r="S964" s="167"/>
      <c r="T964" s="167"/>
      <c r="U964" s="167"/>
      <c r="V964" s="167"/>
      <c r="W964" s="167"/>
      <c r="X964" s="167"/>
      <c r="Y964" s="167"/>
      <c r="Z964" s="167"/>
      <c r="AA964" s="167"/>
      <c r="AB964" s="167"/>
      <c r="AC964" s="167"/>
      <c r="AD964" s="167"/>
      <c r="AE964" s="167"/>
      <c r="AF964" s="167"/>
      <c r="AG964" s="167"/>
      <c r="AH964" s="167"/>
      <c r="AI964" s="167"/>
      <c r="AJ964" s="167"/>
      <c r="AK964" s="167"/>
      <c r="AL964" s="167"/>
    </row>
    <row r="965" spans="1:38" ht="15.75" customHeight="1">
      <c r="A965" s="167"/>
      <c r="B965" s="167"/>
      <c r="C965" s="167"/>
      <c r="D965" s="167"/>
      <c r="E965" s="167"/>
      <c r="F965" s="167"/>
      <c r="G965" s="167"/>
      <c r="H965" s="167"/>
      <c r="I965" s="167"/>
      <c r="J965" s="167"/>
      <c r="K965" s="167"/>
      <c r="L965" s="167"/>
      <c r="M965" s="167"/>
      <c r="N965" s="167"/>
      <c r="O965" s="167"/>
      <c r="P965" s="167"/>
      <c r="Q965" s="167"/>
      <c r="R965" s="167"/>
      <c r="S965" s="167"/>
      <c r="T965" s="167"/>
      <c r="U965" s="167"/>
      <c r="V965" s="167"/>
      <c r="W965" s="167"/>
      <c r="X965" s="167"/>
      <c r="Y965" s="167"/>
      <c r="Z965" s="167"/>
      <c r="AA965" s="167"/>
      <c r="AB965" s="167"/>
      <c r="AC965" s="167"/>
      <c r="AD965" s="167"/>
      <c r="AE965" s="167"/>
      <c r="AF965" s="167"/>
      <c r="AG965" s="167"/>
      <c r="AH965" s="167"/>
      <c r="AI965" s="167"/>
      <c r="AJ965" s="167"/>
      <c r="AK965" s="167"/>
      <c r="AL965" s="167"/>
    </row>
    <row r="966" spans="1:38" ht="15.75" customHeight="1">
      <c r="A966" s="167"/>
      <c r="B966" s="167"/>
      <c r="C966" s="167"/>
      <c r="D966" s="167"/>
      <c r="E966" s="167"/>
      <c r="F966" s="167"/>
      <c r="G966" s="167"/>
      <c r="H966" s="167"/>
      <c r="I966" s="167"/>
      <c r="J966" s="167"/>
      <c r="K966" s="167"/>
      <c r="L966" s="167"/>
      <c r="M966" s="167"/>
      <c r="N966" s="167"/>
      <c r="O966" s="167"/>
      <c r="P966" s="167"/>
      <c r="Q966" s="167"/>
      <c r="R966" s="167"/>
      <c r="S966" s="167"/>
      <c r="T966" s="167"/>
      <c r="U966" s="167"/>
      <c r="V966" s="167"/>
      <c r="W966" s="167"/>
      <c r="X966" s="167"/>
      <c r="Y966" s="167"/>
      <c r="Z966" s="167"/>
      <c r="AA966" s="167"/>
      <c r="AB966" s="167"/>
      <c r="AC966" s="167"/>
      <c r="AD966" s="167"/>
      <c r="AE966" s="167"/>
      <c r="AF966" s="167"/>
      <c r="AG966" s="167"/>
      <c r="AH966" s="167"/>
      <c r="AI966" s="167"/>
      <c r="AJ966" s="167"/>
      <c r="AK966" s="167"/>
      <c r="AL966" s="167"/>
    </row>
    <row r="967" spans="1:38" ht="15.75" customHeight="1">
      <c r="A967" s="167"/>
      <c r="B967" s="167"/>
      <c r="C967" s="167"/>
      <c r="D967" s="167"/>
      <c r="E967" s="167"/>
      <c r="F967" s="167"/>
      <c r="G967" s="167"/>
      <c r="H967" s="167"/>
      <c r="I967" s="167"/>
      <c r="J967" s="167"/>
      <c r="K967" s="167"/>
      <c r="L967" s="167"/>
      <c r="M967" s="167"/>
      <c r="N967" s="167"/>
      <c r="O967" s="167"/>
      <c r="P967" s="167"/>
      <c r="Q967" s="167"/>
      <c r="R967" s="167"/>
      <c r="S967" s="167"/>
      <c r="T967" s="167"/>
      <c r="U967" s="167"/>
      <c r="V967" s="167"/>
      <c r="W967" s="167"/>
      <c r="X967" s="167"/>
      <c r="Y967" s="167"/>
      <c r="Z967" s="167"/>
      <c r="AA967" s="167"/>
      <c r="AB967" s="167"/>
      <c r="AC967" s="167"/>
      <c r="AD967" s="167"/>
      <c r="AE967" s="167"/>
      <c r="AF967" s="167"/>
      <c r="AG967" s="167"/>
      <c r="AH967" s="167"/>
      <c r="AI967" s="167"/>
      <c r="AJ967" s="167"/>
      <c r="AK967" s="167"/>
      <c r="AL967" s="167"/>
    </row>
    <row r="968" spans="1:38" ht="15.75" customHeight="1">
      <c r="A968" s="167"/>
      <c r="B968" s="167"/>
      <c r="C968" s="167"/>
      <c r="D968" s="167"/>
      <c r="E968" s="167"/>
      <c r="F968" s="167"/>
      <c r="G968" s="167"/>
      <c r="H968" s="167"/>
      <c r="I968" s="167"/>
      <c r="J968" s="167"/>
      <c r="K968" s="167"/>
      <c r="L968" s="167"/>
      <c r="M968" s="167"/>
      <c r="N968" s="167"/>
      <c r="O968" s="167"/>
      <c r="P968" s="167"/>
      <c r="Q968" s="167"/>
      <c r="R968" s="167"/>
      <c r="S968" s="167"/>
      <c r="T968" s="167"/>
      <c r="U968" s="167"/>
      <c r="V968" s="167"/>
      <c r="W968" s="167"/>
      <c r="X968" s="167"/>
      <c r="Y968" s="167"/>
      <c r="Z968" s="167"/>
      <c r="AA968" s="167"/>
      <c r="AB968" s="167"/>
      <c r="AC968" s="167"/>
      <c r="AD968" s="167"/>
      <c r="AE968" s="167"/>
      <c r="AF968" s="167"/>
      <c r="AG968" s="167"/>
      <c r="AH968" s="167"/>
      <c r="AI968" s="167"/>
      <c r="AJ968" s="167"/>
      <c r="AK968" s="167"/>
      <c r="AL968" s="167"/>
    </row>
    <row r="969" spans="1:38" ht="15.75" customHeight="1">
      <c r="A969" s="167"/>
      <c r="B969" s="167"/>
      <c r="C969" s="167"/>
      <c r="D969" s="167"/>
      <c r="E969" s="167"/>
      <c r="F969" s="167"/>
      <c r="G969" s="167"/>
      <c r="H969" s="167"/>
      <c r="I969" s="167"/>
      <c r="J969" s="167"/>
      <c r="K969" s="167"/>
      <c r="L969" s="167"/>
      <c r="M969" s="167"/>
      <c r="N969" s="167"/>
      <c r="O969" s="167"/>
      <c r="P969" s="167"/>
      <c r="Q969" s="167"/>
      <c r="R969" s="167"/>
      <c r="S969" s="167"/>
      <c r="T969" s="167"/>
      <c r="U969" s="167"/>
      <c r="V969" s="167"/>
      <c r="W969" s="167"/>
      <c r="X969" s="167"/>
      <c r="Y969" s="167"/>
      <c r="Z969" s="167"/>
      <c r="AA969" s="167"/>
      <c r="AB969" s="167"/>
      <c r="AC969" s="167"/>
      <c r="AD969" s="167"/>
      <c r="AE969" s="167"/>
      <c r="AF969" s="167"/>
      <c r="AG969" s="167"/>
      <c r="AH969" s="167"/>
      <c r="AI969" s="167"/>
      <c r="AJ969" s="167"/>
      <c r="AK969" s="167"/>
      <c r="AL969" s="167"/>
    </row>
    <row r="970" spans="1:38" ht="15.75" customHeight="1">
      <c r="A970" s="167"/>
      <c r="B970" s="167"/>
      <c r="C970" s="167"/>
      <c r="D970" s="167"/>
      <c r="E970" s="167"/>
      <c r="F970" s="167"/>
      <c r="G970" s="167"/>
      <c r="H970" s="167"/>
      <c r="I970" s="167"/>
      <c r="J970" s="167"/>
      <c r="K970" s="167"/>
      <c r="L970" s="167"/>
      <c r="M970" s="167"/>
      <c r="N970" s="167"/>
      <c r="O970" s="167"/>
      <c r="P970" s="167"/>
      <c r="Q970" s="167"/>
      <c r="R970" s="167"/>
      <c r="S970" s="167"/>
      <c r="T970" s="167"/>
      <c r="U970" s="167"/>
      <c r="V970" s="167"/>
      <c r="W970" s="167"/>
      <c r="X970" s="167"/>
      <c r="Y970" s="167"/>
      <c r="Z970" s="167"/>
      <c r="AA970" s="167"/>
      <c r="AB970" s="167"/>
      <c r="AC970" s="167"/>
      <c r="AD970" s="167"/>
      <c r="AE970" s="167"/>
      <c r="AF970" s="167"/>
      <c r="AG970" s="167"/>
      <c r="AH970" s="167"/>
      <c r="AI970" s="167"/>
      <c r="AJ970" s="167"/>
      <c r="AK970" s="167"/>
      <c r="AL970" s="167"/>
    </row>
    <row r="971" spans="1:38" ht="15.75" customHeight="1">
      <c r="A971" s="167"/>
      <c r="B971" s="167"/>
      <c r="C971" s="167"/>
      <c r="D971" s="167"/>
      <c r="E971" s="167"/>
      <c r="F971" s="167"/>
      <c r="G971" s="167"/>
      <c r="H971" s="167"/>
      <c r="I971" s="167"/>
      <c r="J971" s="167"/>
      <c r="K971" s="167"/>
      <c r="L971" s="167"/>
      <c r="M971" s="167"/>
      <c r="N971" s="167"/>
      <c r="O971" s="167"/>
      <c r="P971" s="167"/>
      <c r="Q971" s="167"/>
      <c r="R971" s="167"/>
      <c r="S971" s="167"/>
      <c r="T971" s="167"/>
      <c r="U971" s="167"/>
      <c r="V971" s="167"/>
      <c r="W971" s="167"/>
      <c r="X971" s="167"/>
      <c r="Y971" s="167"/>
      <c r="Z971" s="167"/>
      <c r="AA971" s="167"/>
      <c r="AB971" s="167"/>
      <c r="AC971" s="167"/>
      <c r="AD971" s="167"/>
      <c r="AE971" s="167"/>
      <c r="AF971" s="167"/>
      <c r="AG971" s="167"/>
      <c r="AH971" s="167"/>
      <c r="AI971" s="167"/>
      <c r="AJ971" s="167"/>
      <c r="AK971" s="167"/>
      <c r="AL971" s="167"/>
    </row>
    <row r="972" spans="1:38" ht="15.75" customHeight="1">
      <c r="A972" s="167"/>
      <c r="B972" s="167"/>
      <c r="C972" s="167"/>
      <c r="D972" s="167"/>
      <c r="E972" s="167"/>
      <c r="F972" s="167"/>
      <c r="G972" s="167"/>
      <c r="H972" s="167"/>
      <c r="I972" s="167"/>
      <c r="J972" s="167"/>
      <c r="K972" s="167"/>
      <c r="L972" s="167"/>
      <c r="M972" s="167"/>
      <c r="N972" s="167"/>
      <c r="O972" s="167"/>
      <c r="P972" s="167"/>
      <c r="Q972" s="167"/>
      <c r="R972" s="167"/>
      <c r="S972" s="167"/>
      <c r="T972" s="167"/>
      <c r="U972" s="167"/>
      <c r="V972" s="167"/>
      <c r="W972" s="167"/>
      <c r="X972" s="167"/>
      <c r="Y972" s="167"/>
      <c r="Z972" s="167"/>
      <c r="AA972" s="167"/>
      <c r="AB972" s="167"/>
      <c r="AC972" s="167"/>
      <c r="AD972" s="167"/>
      <c r="AE972" s="167"/>
      <c r="AF972" s="167"/>
      <c r="AG972" s="167"/>
      <c r="AH972" s="167"/>
      <c r="AI972" s="167"/>
      <c r="AJ972" s="167"/>
      <c r="AK972" s="167"/>
      <c r="AL972" s="167"/>
    </row>
    <row r="973" spans="1:38" ht="15.75" customHeight="1">
      <c r="A973" s="167"/>
      <c r="B973" s="167"/>
      <c r="C973" s="167"/>
      <c r="D973" s="167"/>
      <c r="E973" s="167"/>
      <c r="F973" s="167"/>
      <c r="G973" s="167"/>
      <c r="H973" s="167"/>
      <c r="I973" s="167"/>
      <c r="J973" s="167"/>
      <c r="K973" s="167"/>
      <c r="L973" s="167"/>
      <c r="M973" s="167"/>
      <c r="N973" s="167"/>
      <c r="O973" s="167"/>
      <c r="P973" s="167"/>
      <c r="Q973" s="167"/>
      <c r="R973" s="167"/>
      <c r="S973" s="167"/>
      <c r="T973" s="167"/>
      <c r="U973" s="167"/>
      <c r="V973" s="167"/>
      <c r="W973" s="167"/>
      <c r="X973" s="167"/>
      <c r="Y973" s="167"/>
      <c r="Z973" s="167"/>
      <c r="AA973" s="167"/>
      <c r="AB973" s="167"/>
      <c r="AC973" s="167"/>
      <c r="AD973" s="167"/>
      <c r="AE973" s="167"/>
      <c r="AF973" s="167"/>
      <c r="AG973" s="167"/>
      <c r="AH973" s="167"/>
      <c r="AI973" s="167"/>
      <c r="AJ973" s="167"/>
      <c r="AK973" s="167"/>
      <c r="AL973" s="167"/>
    </row>
    <row r="974" spans="1:38" ht="15.75" customHeight="1">
      <c r="A974" s="167"/>
      <c r="B974" s="167"/>
      <c r="C974" s="167"/>
      <c r="D974" s="167"/>
      <c r="E974" s="167"/>
      <c r="F974" s="167"/>
      <c r="G974" s="167"/>
      <c r="H974" s="167"/>
      <c r="I974" s="167"/>
      <c r="J974" s="167"/>
      <c r="K974" s="167"/>
      <c r="L974" s="167"/>
      <c r="M974" s="167"/>
      <c r="N974" s="167"/>
      <c r="O974" s="167"/>
      <c r="P974" s="167"/>
      <c r="Q974" s="167"/>
      <c r="R974" s="167"/>
      <c r="S974" s="167"/>
      <c r="T974" s="167"/>
      <c r="U974" s="167"/>
      <c r="V974" s="167"/>
      <c r="W974" s="167"/>
      <c r="X974" s="167"/>
      <c r="Y974" s="167"/>
      <c r="Z974" s="167"/>
      <c r="AA974" s="167"/>
      <c r="AB974" s="167"/>
      <c r="AC974" s="167"/>
      <c r="AD974" s="167"/>
      <c r="AE974" s="167"/>
      <c r="AF974" s="167"/>
      <c r="AG974" s="167"/>
      <c r="AH974" s="167"/>
      <c r="AI974" s="167"/>
      <c r="AJ974" s="167"/>
      <c r="AK974" s="167"/>
      <c r="AL974" s="167"/>
    </row>
    <row r="975" spans="1:38" ht="15.75" customHeight="1">
      <c r="A975" s="167"/>
      <c r="B975" s="167"/>
      <c r="C975" s="167"/>
      <c r="D975" s="167"/>
      <c r="E975" s="167"/>
      <c r="F975" s="167"/>
      <c r="G975" s="167"/>
      <c r="H975" s="167"/>
      <c r="I975" s="167"/>
      <c r="J975" s="167"/>
      <c r="K975" s="167"/>
      <c r="L975" s="167"/>
      <c r="M975" s="167"/>
      <c r="N975" s="167"/>
      <c r="O975" s="167"/>
      <c r="P975" s="167"/>
      <c r="Q975" s="167"/>
      <c r="R975" s="167"/>
      <c r="S975" s="167"/>
      <c r="T975" s="167"/>
      <c r="U975" s="167"/>
      <c r="V975" s="167"/>
      <c r="W975" s="167"/>
      <c r="X975" s="167"/>
      <c r="Y975" s="167"/>
      <c r="Z975" s="167"/>
      <c r="AA975" s="167"/>
      <c r="AB975" s="167"/>
      <c r="AC975" s="167"/>
      <c r="AD975" s="167"/>
      <c r="AE975" s="167"/>
      <c r="AF975" s="167"/>
      <c r="AG975" s="167"/>
      <c r="AH975" s="167"/>
      <c r="AI975" s="167"/>
      <c r="AJ975" s="167"/>
      <c r="AK975" s="167"/>
      <c r="AL975" s="167"/>
    </row>
    <row r="976" spans="1:38" ht="15.75" customHeight="1">
      <c r="A976" s="167"/>
      <c r="B976" s="167"/>
      <c r="C976" s="167"/>
      <c r="D976" s="167"/>
      <c r="E976" s="167"/>
      <c r="F976" s="167"/>
      <c r="G976" s="167"/>
      <c r="H976" s="167"/>
      <c r="I976" s="167"/>
      <c r="J976" s="167"/>
      <c r="K976" s="167"/>
      <c r="L976" s="167"/>
      <c r="M976" s="167"/>
      <c r="N976" s="167"/>
      <c r="O976" s="167"/>
      <c r="P976" s="167"/>
      <c r="Q976" s="167"/>
      <c r="R976" s="167"/>
      <c r="S976" s="167"/>
      <c r="T976" s="167"/>
      <c r="U976" s="167"/>
      <c r="V976" s="167"/>
      <c r="W976" s="167"/>
      <c r="X976" s="167"/>
      <c r="Y976" s="167"/>
      <c r="Z976" s="167"/>
      <c r="AA976" s="167"/>
      <c r="AB976" s="167"/>
      <c r="AC976" s="167"/>
      <c r="AD976" s="167"/>
      <c r="AE976" s="167"/>
      <c r="AF976" s="167"/>
      <c r="AG976" s="167"/>
      <c r="AH976" s="167"/>
      <c r="AI976" s="167"/>
      <c r="AJ976" s="167"/>
      <c r="AK976" s="167"/>
      <c r="AL976" s="167"/>
    </row>
    <row r="977" spans="1:38" ht="15.75" customHeight="1">
      <c r="A977" s="167"/>
      <c r="B977" s="167"/>
      <c r="C977" s="167"/>
      <c r="D977" s="167"/>
      <c r="E977" s="167"/>
      <c r="F977" s="167"/>
      <c r="G977" s="167"/>
      <c r="H977" s="167"/>
      <c r="I977" s="167"/>
      <c r="J977" s="167"/>
      <c r="K977" s="167"/>
      <c r="L977" s="167"/>
      <c r="M977" s="167"/>
      <c r="N977" s="167"/>
      <c r="O977" s="167"/>
      <c r="P977" s="167"/>
      <c r="Q977" s="167"/>
      <c r="R977" s="167"/>
      <c r="S977" s="167"/>
      <c r="T977" s="167"/>
      <c r="U977" s="167"/>
      <c r="V977" s="167"/>
      <c r="W977" s="167"/>
      <c r="X977" s="167"/>
      <c r="Y977" s="167"/>
      <c r="Z977" s="167"/>
      <c r="AA977" s="167"/>
      <c r="AB977" s="167"/>
      <c r="AC977" s="167"/>
      <c r="AD977" s="167"/>
      <c r="AE977" s="167"/>
      <c r="AF977" s="167"/>
      <c r="AG977" s="167"/>
      <c r="AH977" s="167"/>
      <c r="AI977" s="167"/>
      <c r="AJ977" s="167"/>
      <c r="AK977" s="167"/>
      <c r="AL977" s="167"/>
    </row>
    <row r="978" spans="1:38" ht="15.75" customHeight="1">
      <c r="A978" s="167"/>
      <c r="B978" s="167"/>
      <c r="C978" s="167"/>
      <c r="D978" s="167"/>
      <c r="E978" s="167"/>
      <c r="F978" s="167"/>
      <c r="G978" s="167"/>
      <c r="H978" s="167"/>
      <c r="I978" s="167"/>
      <c r="J978" s="167"/>
      <c r="K978" s="167"/>
      <c r="L978" s="167"/>
      <c r="M978" s="167"/>
      <c r="N978" s="167"/>
      <c r="O978" s="167"/>
      <c r="P978" s="167"/>
      <c r="Q978" s="167"/>
      <c r="R978" s="167"/>
      <c r="S978" s="167"/>
      <c r="T978" s="167"/>
      <c r="U978" s="167"/>
      <c r="V978" s="167"/>
      <c r="W978" s="167"/>
      <c r="X978" s="167"/>
      <c r="Y978" s="167"/>
      <c r="Z978" s="167"/>
      <c r="AA978" s="167"/>
      <c r="AB978" s="167"/>
      <c r="AC978" s="167"/>
      <c r="AD978" s="167"/>
      <c r="AE978" s="167"/>
      <c r="AF978" s="167"/>
      <c r="AG978" s="167"/>
      <c r="AH978" s="167"/>
      <c r="AI978" s="167"/>
      <c r="AJ978" s="167"/>
      <c r="AK978" s="167"/>
      <c r="AL978" s="167"/>
    </row>
    <row r="979" spans="1:38" ht="15.75" customHeight="1">
      <c r="A979" s="167"/>
      <c r="B979" s="167"/>
      <c r="C979" s="167"/>
      <c r="D979" s="167"/>
      <c r="E979" s="167"/>
      <c r="F979" s="167"/>
      <c r="G979" s="167"/>
      <c r="H979" s="167"/>
      <c r="I979" s="167"/>
      <c r="J979" s="167"/>
      <c r="K979" s="167"/>
      <c r="L979" s="167"/>
      <c r="M979" s="167"/>
      <c r="N979" s="167"/>
      <c r="O979" s="167"/>
      <c r="P979" s="167"/>
      <c r="Q979" s="167"/>
      <c r="R979" s="167"/>
      <c r="S979" s="167"/>
      <c r="T979" s="167"/>
      <c r="U979" s="167"/>
      <c r="V979" s="167"/>
      <c r="W979" s="167"/>
      <c r="X979" s="167"/>
      <c r="Y979" s="167"/>
      <c r="Z979" s="167"/>
      <c r="AA979" s="167"/>
      <c r="AB979" s="167"/>
      <c r="AC979" s="167"/>
      <c r="AD979" s="167"/>
      <c r="AE979" s="167"/>
      <c r="AF979" s="167"/>
      <c r="AG979" s="167"/>
      <c r="AH979" s="167"/>
      <c r="AI979" s="167"/>
      <c r="AJ979" s="167"/>
      <c r="AK979" s="167"/>
      <c r="AL979" s="167"/>
    </row>
    <row r="980" spans="1:38" ht="15.75" customHeight="1">
      <c r="A980" s="167"/>
      <c r="B980" s="167"/>
      <c r="C980" s="167"/>
      <c r="D980" s="167"/>
      <c r="E980" s="167"/>
      <c r="F980" s="167"/>
      <c r="G980" s="167"/>
      <c r="H980" s="167"/>
      <c r="I980" s="167"/>
      <c r="J980" s="167"/>
      <c r="K980" s="167"/>
      <c r="L980" s="167"/>
      <c r="M980" s="167"/>
      <c r="N980" s="167"/>
      <c r="O980" s="167"/>
      <c r="P980" s="167"/>
      <c r="Q980" s="167"/>
      <c r="R980" s="167"/>
      <c r="S980" s="167"/>
      <c r="T980" s="167"/>
      <c r="U980" s="167"/>
      <c r="V980" s="167"/>
      <c r="W980" s="167"/>
      <c r="X980" s="167"/>
      <c r="Y980" s="167"/>
      <c r="Z980" s="167"/>
      <c r="AA980" s="167"/>
      <c r="AB980" s="167"/>
      <c r="AC980" s="167"/>
      <c r="AD980" s="167"/>
      <c r="AE980" s="167"/>
      <c r="AF980" s="167"/>
      <c r="AG980" s="167"/>
      <c r="AH980" s="167"/>
      <c r="AI980" s="167"/>
      <c r="AJ980" s="167"/>
      <c r="AK980" s="167"/>
      <c r="AL980" s="167"/>
    </row>
    <row r="981" spans="1:38" ht="15.75" customHeight="1">
      <c r="A981" s="167"/>
      <c r="B981" s="167"/>
      <c r="C981" s="167"/>
      <c r="D981" s="167"/>
      <c r="E981" s="167"/>
      <c r="F981" s="167"/>
      <c r="G981" s="167"/>
      <c r="H981" s="167"/>
      <c r="I981" s="167"/>
      <c r="J981" s="167"/>
      <c r="K981" s="167"/>
      <c r="L981" s="167"/>
      <c r="M981" s="167"/>
      <c r="N981" s="167"/>
      <c r="O981" s="167"/>
      <c r="P981" s="167"/>
      <c r="Q981" s="167"/>
      <c r="R981" s="167"/>
      <c r="S981" s="167"/>
      <c r="T981" s="167"/>
      <c r="U981" s="167"/>
      <c r="V981" s="167"/>
      <c r="W981" s="167"/>
      <c r="X981" s="167"/>
      <c r="Y981" s="167"/>
      <c r="Z981" s="167"/>
      <c r="AA981" s="167"/>
      <c r="AB981" s="167"/>
      <c r="AC981" s="167"/>
      <c r="AD981" s="167"/>
      <c r="AE981" s="167"/>
      <c r="AF981" s="167"/>
      <c r="AG981" s="167"/>
      <c r="AH981" s="167"/>
      <c r="AI981" s="167"/>
      <c r="AJ981" s="167"/>
      <c r="AK981" s="167"/>
      <c r="AL981" s="167"/>
    </row>
    <row r="982" spans="1:38" ht="15.75" customHeight="1">
      <c r="A982" s="167"/>
      <c r="B982" s="167"/>
      <c r="C982" s="167"/>
      <c r="D982" s="167"/>
      <c r="E982" s="167"/>
      <c r="F982" s="167"/>
      <c r="G982" s="167"/>
      <c r="H982" s="167"/>
      <c r="I982" s="167"/>
      <c r="J982" s="167"/>
      <c r="K982" s="167"/>
      <c r="L982" s="167"/>
      <c r="M982" s="167"/>
      <c r="N982" s="167"/>
      <c r="O982" s="167"/>
      <c r="P982" s="167"/>
      <c r="Q982" s="167"/>
      <c r="R982" s="167"/>
      <c r="S982" s="167"/>
      <c r="T982" s="167"/>
      <c r="U982" s="167"/>
      <c r="V982" s="167"/>
      <c r="W982" s="167"/>
      <c r="X982" s="167"/>
      <c r="Y982" s="167"/>
      <c r="Z982" s="167"/>
      <c r="AA982" s="167"/>
      <c r="AB982" s="167"/>
      <c r="AC982" s="167"/>
      <c r="AD982" s="167"/>
      <c r="AE982" s="167"/>
      <c r="AF982" s="167"/>
      <c r="AG982" s="167"/>
      <c r="AH982" s="167"/>
      <c r="AI982" s="167"/>
      <c r="AJ982" s="167"/>
      <c r="AK982" s="167"/>
      <c r="AL982" s="167"/>
    </row>
    <row r="983" spans="1:38" ht="15.75" customHeight="1">
      <c r="A983" s="167"/>
      <c r="B983" s="167"/>
      <c r="C983" s="167"/>
      <c r="D983" s="167"/>
      <c r="E983" s="167"/>
      <c r="F983" s="167"/>
      <c r="G983" s="167"/>
      <c r="H983" s="167"/>
      <c r="I983" s="167"/>
      <c r="J983" s="167"/>
      <c r="K983" s="167"/>
      <c r="L983" s="167"/>
      <c r="M983" s="167"/>
      <c r="N983" s="167"/>
      <c r="O983" s="167"/>
      <c r="P983" s="167"/>
      <c r="Q983" s="167"/>
      <c r="R983" s="167"/>
      <c r="S983" s="167"/>
      <c r="T983" s="167"/>
      <c r="U983" s="167"/>
      <c r="V983" s="167"/>
      <c r="W983" s="167"/>
      <c r="X983" s="167"/>
      <c r="Y983" s="167"/>
      <c r="Z983" s="167"/>
      <c r="AA983" s="167"/>
      <c r="AB983" s="167"/>
      <c r="AC983" s="167"/>
      <c r="AD983" s="167"/>
      <c r="AE983" s="167"/>
      <c r="AF983" s="167"/>
      <c r="AG983" s="167"/>
      <c r="AH983" s="167"/>
      <c r="AI983" s="167"/>
      <c r="AJ983" s="167"/>
      <c r="AK983" s="167"/>
      <c r="AL983" s="167"/>
    </row>
    <row r="984" spans="1:38" ht="15.75" customHeight="1">
      <c r="A984" s="167"/>
      <c r="B984" s="167"/>
      <c r="C984" s="167"/>
      <c r="D984" s="167"/>
      <c r="E984" s="167"/>
      <c r="F984" s="167"/>
      <c r="G984" s="167"/>
      <c r="H984" s="167"/>
      <c r="I984" s="167"/>
      <c r="J984" s="167"/>
      <c r="K984" s="167"/>
      <c r="L984" s="167"/>
      <c r="M984" s="167"/>
      <c r="N984" s="167"/>
      <c r="O984" s="167"/>
      <c r="P984" s="167"/>
      <c r="Q984" s="167"/>
      <c r="R984" s="167"/>
      <c r="S984" s="167"/>
      <c r="T984" s="167"/>
      <c r="U984" s="167"/>
      <c r="V984" s="167"/>
      <c r="W984" s="167"/>
      <c r="X984" s="167"/>
      <c r="Y984" s="167"/>
      <c r="Z984" s="167"/>
      <c r="AA984" s="167"/>
      <c r="AB984" s="167"/>
      <c r="AC984" s="167"/>
      <c r="AD984" s="167"/>
      <c r="AE984" s="167"/>
      <c r="AF984" s="167"/>
      <c r="AG984" s="167"/>
      <c r="AH984" s="167"/>
      <c r="AI984" s="167"/>
      <c r="AJ984" s="167"/>
      <c r="AK984" s="167"/>
      <c r="AL984" s="167"/>
    </row>
    <row r="985" spans="1:38" ht="15.75" customHeight="1">
      <c r="A985" s="167"/>
      <c r="B985" s="167"/>
      <c r="C985" s="167"/>
      <c r="D985" s="167"/>
      <c r="E985" s="167"/>
      <c r="F985" s="167"/>
      <c r="G985" s="167"/>
      <c r="H985" s="167"/>
      <c r="I985" s="167"/>
      <c r="J985" s="167"/>
      <c r="K985" s="167"/>
      <c r="L985" s="167"/>
      <c r="M985" s="167"/>
      <c r="N985" s="167"/>
      <c r="O985" s="167"/>
      <c r="P985" s="167"/>
      <c r="Q985" s="167"/>
      <c r="R985" s="167"/>
      <c r="S985" s="167"/>
      <c r="T985" s="167"/>
      <c r="U985" s="167"/>
      <c r="V985" s="167"/>
      <c r="W985" s="167"/>
      <c r="X985" s="167"/>
      <c r="Y985" s="167"/>
      <c r="Z985" s="167"/>
      <c r="AA985" s="167"/>
      <c r="AB985" s="167"/>
      <c r="AC985" s="167"/>
      <c r="AD985" s="167"/>
      <c r="AE985" s="167"/>
      <c r="AF985" s="167"/>
      <c r="AG985" s="167"/>
      <c r="AH985" s="167"/>
      <c r="AI985" s="167"/>
      <c r="AJ985" s="167"/>
      <c r="AK985" s="167"/>
      <c r="AL985" s="167"/>
    </row>
    <row r="986" spans="1:38" ht="15.75" customHeight="1">
      <c r="A986" s="167"/>
      <c r="B986" s="167"/>
      <c r="C986" s="167"/>
      <c r="D986" s="167"/>
      <c r="E986" s="167"/>
      <c r="F986" s="167"/>
      <c r="G986" s="167"/>
      <c r="H986" s="167"/>
      <c r="I986" s="167"/>
      <c r="J986" s="167"/>
      <c r="K986" s="167"/>
      <c r="L986" s="167"/>
      <c r="M986" s="167"/>
      <c r="N986" s="167"/>
      <c r="O986" s="167"/>
      <c r="P986" s="167"/>
      <c r="Q986" s="167"/>
      <c r="R986" s="167"/>
      <c r="S986" s="167"/>
      <c r="T986" s="167"/>
      <c r="U986" s="167"/>
      <c r="V986" s="167"/>
      <c r="W986" s="167"/>
      <c r="X986" s="167"/>
      <c r="Y986" s="167"/>
      <c r="Z986" s="167"/>
      <c r="AA986" s="167"/>
      <c r="AB986" s="167"/>
      <c r="AC986" s="167"/>
      <c r="AD986" s="167"/>
      <c r="AE986" s="167"/>
      <c r="AF986" s="167"/>
      <c r="AG986" s="167"/>
      <c r="AH986" s="167"/>
      <c r="AI986" s="167"/>
      <c r="AJ986" s="167"/>
      <c r="AK986" s="167"/>
      <c r="AL986" s="167"/>
    </row>
    <row r="987" spans="1:38" ht="15.75" customHeight="1">
      <c r="A987" s="167"/>
      <c r="B987" s="167"/>
      <c r="C987" s="167"/>
      <c r="D987" s="167"/>
      <c r="E987" s="167"/>
      <c r="F987" s="167"/>
      <c r="G987" s="167"/>
      <c r="H987" s="167"/>
      <c r="I987" s="167"/>
      <c r="J987" s="167"/>
      <c r="K987" s="167"/>
      <c r="L987" s="167"/>
      <c r="M987" s="167"/>
      <c r="N987" s="167"/>
      <c r="O987" s="167"/>
      <c r="P987" s="167"/>
      <c r="Q987" s="167"/>
      <c r="R987" s="167"/>
      <c r="S987" s="167"/>
      <c r="T987" s="167"/>
      <c r="U987" s="167"/>
      <c r="V987" s="167"/>
      <c r="W987" s="167"/>
      <c r="X987" s="167"/>
      <c r="Y987" s="167"/>
      <c r="Z987" s="167"/>
      <c r="AA987" s="167"/>
      <c r="AB987" s="167"/>
      <c r="AC987" s="167"/>
      <c r="AD987" s="167"/>
      <c r="AE987" s="167"/>
      <c r="AF987" s="167"/>
      <c r="AG987" s="167"/>
      <c r="AH987" s="167"/>
      <c r="AI987" s="167"/>
      <c r="AJ987" s="167"/>
      <c r="AK987" s="167"/>
      <c r="AL987" s="167"/>
    </row>
    <row r="988" spans="1:38" ht="15.75" customHeight="1">
      <c r="A988" s="167"/>
      <c r="B988" s="167"/>
      <c r="C988" s="167"/>
      <c r="D988" s="167"/>
      <c r="E988" s="167"/>
      <c r="F988" s="167"/>
      <c r="G988" s="167"/>
      <c r="H988" s="167"/>
      <c r="I988" s="167"/>
      <c r="J988" s="167"/>
      <c r="K988" s="167"/>
      <c r="L988" s="167"/>
      <c r="M988" s="167"/>
      <c r="N988" s="167"/>
      <c r="O988" s="167"/>
      <c r="P988" s="167"/>
      <c r="Q988" s="167"/>
      <c r="R988" s="167"/>
      <c r="S988" s="167"/>
      <c r="T988" s="167"/>
      <c r="U988" s="167"/>
      <c r="V988" s="167"/>
      <c r="W988" s="167"/>
      <c r="X988" s="167"/>
      <c r="Y988" s="167"/>
      <c r="Z988" s="167"/>
      <c r="AA988" s="167"/>
      <c r="AB988" s="167"/>
      <c r="AC988" s="167"/>
      <c r="AD988" s="167"/>
      <c r="AE988" s="167"/>
      <c r="AF988" s="167"/>
      <c r="AG988" s="167"/>
      <c r="AH988" s="167"/>
      <c r="AI988" s="167"/>
      <c r="AJ988" s="167"/>
      <c r="AK988" s="167"/>
      <c r="AL988" s="167"/>
    </row>
    <row r="989" spans="1:38" ht="15.75" customHeight="1">
      <c r="A989" s="167"/>
      <c r="B989" s="167"/>
      <c r="C989" s="167"/>
      <c r="D989" s="167"/>
      <c r="E989" s="167"/>
      <c r="F989" s="167"/>
      <c r="G989" s="167"/>
      <c r="H989" s="167"/>
      <c r="I989" s="167"/>
      <c r="J989" s="167"/>
      <c r="K989" s="167"/>
      <c r="L989" s="167"/>
      <c r="M989" s="167"/>
      <c r="N989" s="167"/>
      <c r="O989" s="167"/>
      <c r="P989" s="167"/>
      <c r="Q989" s="167"/>
      <c r="R989" s="167"/>
      <c r="S989" s="167"/>
      <c r="T989" s="167"/>
      <c r="U989" s="167"/>
      <c r="V989" s="167"/>
      <c r="W989" s="167"/>
      <c r="X989" s="167"/>
      <c r="Y989" s="167"/>
      <c r="Z989" s="167"/>
      <c r="AA989" s="167"/>
      <c r="AB989" s="167"/>
      <c r="AC989" s="167"/>
      <c r="AD989" s="167"/>
      <c r="AE989" s="167"/>
      <c r="AF989" s="167"/>
      <c r="AG989" s="167"/>
      <c r="AH989" s="167"/>
      <c r="AI989" s="167"/>
      <c r="AJ989" s="167"/>
      <c r="AK989" s="167"/>
      <c r="AL989" s="167"/>
    </row>
    <row r="990" spans="1:38" ht="15.75" customHeight="1">
      <c r="A990" s="167"/>
      <c r="B990" s="167"/>
      <c r="C990" s="167"/>
      <c r="D990" s="167"/>
      <c r="E990" s="167"/>
      <c r="F990" s="167"/>
      <c r="G990" s="167"/>
      <c r="H990" s="167"/>
      <c r="I990" s="167"/>
      <c r="J990" s="167"/>
      <c r="K990" s="167"/>
      <c r="L990" s="167"/>
      <c r="M990" s="167"/>
      <c r="N990" s="167"/>
      <c r="O990" s="167"/>
      <c r="P990" s="167"/>
      <c r="Q990" s="167"/>
      <c r="R990" s="167"/>
      <c r="S990" s="167"/>
      <c r="T990" s="167"/>
      <c r="U990" s="167"/>
      <c r="V990" s="167"/>
      <c r="W990" s="167"/>
      <c r="X990" s="167"/>
      <c r="Y990" s="167"/>
      <c r="Z990" s="167"/>
      <c r="AA990" s="167"/>
      <c r="AB990" s="167"/>
      <c r="AC990" s="167"/>
      <c r="AD990" s="167"/>
      <c r="AE990" s="167"/>
      <c r="AF990" s="167"/>
      <c r="AG990" s="167"/>
      <c r="AH990" s="167"/>
      <c r="AI990" s="167"/>
      <c r="AJ990" s="167"/>
      <c r="AK990" s="167"/>
      <c r="AL990" s="167"/>
    </row>
    <row r="991" spans="1:38" ht="15.75" customHeight="1">
      <c r="A991" s="167"/>
      <c r="B991" s="167"/>
      <c r="C991" s="167"/>
      <c r="D991" s="167"/>
      <c r="E991" s="167"/>
      <c r="F991" s="167"/>
      <c r="G991" s="167"/>
      <c r="H991" s="167"/>
      <c r="I991" s="167"/>
      <c r="J991" s="167"/>
      <c r="K991" s="167"/>
      <c r="L991" s="167"/>
      <c r="M991" s="167"/>
      <c r="N991" s="167"/>
      <c r="O991" s="167"/>
      <c r="P991" s="167"/>
      <c r="Q991" s="167"/>
      <c r="R991" s="167"/>
      <c r="S991" s="167"/>
      <c r="T991" s="167"/>
      <c r="U991" s="167"/>
      <c r="V991" s="167"/>
      <c r="W991" s="167"/>
      <c r="X991" s="167"/>
      <c r="Y991" s="167"/>
      <c r="Z991" s="167"/>
      <c r="AA991" s="167"/>
      <c r="AB991" s="167"/>
      <c r="AC991" s="167"/>
      <c r="AD991" s="167"/>
      <c r="AE991" s="167"/>
      <c r="AF991" s="167"/>
      <c r="AG991" s="167"/>
      <c r="AH991" s="167"/>
      <c r="AI991" s="167"/>
      <c r="AJ991" s="167"/>
      <c r="AK991" s="167"/>
      <c r="AL991" s="167"/>
    </row>
    <row r="992" spans="1:38" ht="15.75" customHeight="1">
      <c r="A992" s="167"/>
      <c r="B992" s="167"/>
      <c r="C992" s="167"/>
      <c r="D992" s="167"/>
      <c r="E992" s="167"/>
      <c r="F992" s="167"/>
      <c r="G992" s="167"/>
      <c r="H992" s="167"/>
      <c r="I992" s="167"/>
      <c r="J992" s="167"/>
      <c r="K992" s="167"/>
      <c r="L992" s="167"/>
      <c r="M992" s="167"/>
      <c r="N992" s="167"/>
      <c r="O992" s="167"/>
      <c r="P992" s="167"/>
      <c r="Q992" s="167"/>
      <c r="R992" s="167"/>
      <c r="S992" s="167"/>
      <c r="T992" s="167"/>
      <c r="U992" s="167"/>
      <c r="V992" s="167"/>
      <c r="W992" s="167"/>
      <c r="X992" s="167"/>
      <c r="Y992" s="167"/>
      <c r="Z992" s="167"/>
      <c r="AA992" s="167"/>
      <c r="AB992" s="167"/>
      <c r="AC992" s="167"/>
      <c r="AD992" s="167"/>
      <c r="AE992" s="167"/>
      <c r="AF992" s="167"/>
      <c r="AG992" s="167"/>
      <c r="AH992" s="167"/>
      <c r="AI992" s="167"/>
      <c r="AJ992" s="167"/>
      <c r="AK992" s="167"/>
      <c r="AL992" s="167"/>
    </row>
    <row r="993" spans="1:38" ht="15.75" customHeight="1">
      <c r="A993" s="167"/>
      <c r="B993" s="167"/>
      <c r="C993" s="167"/>
      <c r="D993" s="167"/>
      <c r="E993" s="167"/>
      <c r="F993" s="167"/>
      <c r="G993" s="167"/>
      <c r="H993" s="167"/>
      <c r="I993" s="167"/>
      <c r="J993" s="167"/>
      <c r="K993" s="167"/>
      <c r="L993" s="167"/>
      <c r="M993" s="167"/>
      <c r="N993" s="167"/>
      <c r="O993" s="167"/>
      <c r="P993" s="167"/>
      <c r="Q993" s="167"/>
      <c r="R993" s="167"/>
      <c r="S993" s="167"/>
      <c r="T993" s="167"/>
      <c r="U993" s="167"/>
      <c r="V993" s="167"/>
      <c r="W993" s="167"/>
      <c r="X993" s="167"/>
      <c r="Y993" s="167"/>
      <c r="Z993" s="167"/>
      <c r="AA993" s="167"/>
      <c r="AB993" s="167"/>
      <c r="AC993" s="167"/>
      <c r="AD993" s="167"/>
      <c r="AE993" s="167"/>
      <c r="AF993" s="167"/>
      <c r="AG993" s="167"/>
      <c r="AH993" s="167"/>
      <c r="AI993" s="167"/>
      <c r="AJ993" s="167"/>
      <c r="AK993" s="167"/>
      <c r="AL993" s="167"/>
    </row>
    <row r="994" spans="1:38" ht="15.75" customHeight="1">
      <c r="A994" s="167"/>
      <c r="B994" s="167"/>
      <c r="C994" s="167"/>
      <c r="D994" s="167"/>
      <c r="E994" s="167"/>
      <c r="F994" s="167"/>
      <c r="G994" s="167"/>
      <c r="H994" s="167"/>
      <c r="I994" s="167"/>
      <c r="J994" s="167"/>
      <c r="K994" s="167"/>
      <c r="L994" s="167"/>
      <c r="M994" s="167"/>
      <c r="N994" s="167"/>
      <c r="O994" s="167"/>
      <c r="P994" s="167"/>
      <c r="Q994" s="167"/>
      <c r="R994" s="167"/>
      <c r="S994" s="167"/>
      <c r="T994" s="167"/>
      <c r="U994" s="167"/>
      <c r="V994" s="167"/>
      <c r="W994" s="167"/>
      <c r="X994" s="167"/>
      <c r="Y994" s="167"/>
      <c r="Z994" s="167"/>
      <c r="AA994" s="167"/>
      <c r="AB994" s="167"/>
      <c r="AC994" s="167"/>
      <c r="AD994" s="167"/>
      <c r="AE994" s="167"/>
      <c r="AF994" s="167"/>
      <c r="AG994" s="167"/>
      <c r="AH994" s="167"/>
      <c r="AI994" s="167"/>
      <c r="AJ994" s="167"/>
      <c r="AK994" s="167"/>
      <c r="AL994" s="167"/>
    </row>
    <row r="995" spans="1:38" ht="15.75" customHeight="1">
      <c r="A995" s="167"/>
      <c r="B995" s="167"/>
      <c r="C995" s="167"/>
      <c r="D995" s="167"/>
      <c r="E995" s="167"/>
      <c r="F995" s="167"/>
      <c r="G995" s="167"/>
      <c r="H995" s="167"/>
      <c r="I995" s="167"/>
      <c r="J995" s="167"/>
      <c r="K995" s="167"/>
      <c r="L995" s="167"/>
      <c r="M995" s="167"/>
      <c r="N995" s="167"/>
      <c r="O995" s="167"/>
      <c r="P995" s="167"/>
      <c r="Q995" s="167"/>
      <c r="R995" s="167"/>
      <c r="S995" s="167"/>
      <c r="T995" s="167"/>
      <c r="U995" s="167"/>
      <c r="V995" s="167"/>
      <c r="W995" s="167"/>
      <c r="X995" s="167"/>
      <c r="Y995" s="167"/>
      <c r="Z995" s="167"/>
      <c r="AA995" s="167"/>
      <c r="AB995" s="167"/>
      <c r="AC995" s="167"/>
      <c r="AD995" s="167"/>
      <c r="AE995" s="167"/>
      <c r="AF995" s="167"/>
      <c r="AG995" s="167"/>
      <c r="AH995" s="167"/>
      <c r="AI995" s="167"/>
      <c r="AJ995" s="167"/>
      <c r="AK995" s="167"/>
      <c r="AL995" s="167"/>
    </row>
    <row r="996" spans="1:38" ht="15.75" customHeight="1">
      <c r="A996" s="167"/>
      <c r="B996" s="167"/>
      <c r="C996" s="167"/>
      <c r="D996" s="167"/>
      <c r="E996" s="167"/>
      <c r="F996" s="167"/>
      <c r="G996" s="167"/>
      <c r="H996" s="167"/>
      <c r="I996" s="167"/>
      <c r="J996" s="167"/>
      <c r="K996" s="167"/>
      <c r="L996" s="167"/>
      <c r="M996" s="167"/>
      <c r="N996" s="167"/>
      <c r="O996" s="167"/>
      <c r="P996" s="167"/>
      <c r="Q996" s="167"/>
      <c r="R996" s="167"/>
      <c r="S996" s="167"/>
      <c r="T996" s="167"/>
      <c r="U996" s="167"/>
      <c r="V996" s="167"/>
      <c r="W996" s="167"/>
      <c r="X996" s="167"/>
      <c r="Y996" s="167"/>
      <c r="Z996" s="167"/>
      <c r="AA996" s="167"/>
      <c r="AB996" s="167"/>
      <c r="AC996" s="167"/>
      <c r="AD996" s="167"/>
      <c r="AE996" s="167"/>
      <c r="AF996" s="167"/>
      <c r="AG996" s="167"/>
      <c r="AH996" s="167"/>
      <c r="AI996" s="167"/>
      <c r="AJ996" s="167"/>
      <c r="AK996" s="167"/>
      <c r="AL996" s="167"/>
    </row>
    <row r="997" spans="1:38" ht="15.75" customHeight="1">
      <c r="A997" s="167"/>
      <c r="B997" s="167"/>
      <c r="C997" s="167"/>
      <c r="D997" s="167"/>
      <c r="E997" s="167"/>
      <c r="F997" s="167"/>
      <c r="G997" s="167"/>
      <c r="H997" s="167"/>
      <c r="I997" s="167"/>
      <c r="J997" s="167"/>
      <c r="K997" s="167"/>
      <c r="L997" s="167"/>
      <c r="M997" s="167"/>
      <c r="N997" s="167"/>
      <c r="O997" s="167"/>
      <c r="P997" s="167"/>
      <c r="Q997" s="167"/>
      <c r="R997" s="167"/>
      <c r="S997" s="167"/>
      <c r="T997" s="167"/>
      <c r="U997" s="167"/>
      <c r="V997" s="167"/>
      <c r="W997" s="167"/>
      <c r="X997" s="167"/>
      <c r="Y997" s="167"/>
      <c r="Z997" s="167"/>
      <c r="AA997" s="167"/>
      <c r="AB997" s="167"/>
      <c r="AC997" s="167"/>
      <c r="AD997" s="167"/>
      <c r="AE997" s="167"/>
      <c r="AF997" s="167"/>
      <c r="AG997" s="167"/>
      <c r="AH997" s="167"/>
      <c r="AI997" s="167"/>
      <c r="AJ997" s="167"/>
      <c r="AK997" s="167"/>
      <c r="AL997" s="167"/>
    </row>
    <row r="998" spans="1:38" ht="15.75" customHeight="1">
      <c r="A998" s="167"/>
      <c r="B998" s="167"/>
      <c r="C998" s="167"/>
      <c r="D998" s="167"/>
      <c r="E998" s="167"/>
      <c r="F998" s="167"/>
      <c r="G998" s="167"/>
      <c r="H998" s="167"/>
      <c r="I998" s="167"/>
      <c r="J998" s="167"/>
      <c r="K998" s="167"/>
      <c r="L998" s="167"/>
      <c r="M998" s="167"/>
      <c r="N998" s="167"/>
      <c r="O998" s="167"/>
      <c r="P998" s="167"/>
      <c r="Q998" s="167"/>
      <c r="R998" s="167"/>
      <c r="S998" s="167"/>
      <c r="T998" s="167"/>
      <c r="U998" s="167"/>
      <c r="V998" s="167"/>
      <c r="W998" s="167"/>
      <c r="X998" s="167"/>
      <c r="Y998" s="167"/>
      <c r="Z998" s="167"/>
      <c r="AA998" s="167"/>
      <c r="AB998" s="167"/>
      <c r="AC998" s="167"/>
      <c r="AD998" s="167"/>
      <c r="AE998" s="167"/>
      <c r="AF998" s="167"/>
      <c r="AG998" s="167"/>
      <c r="AH998" s="167"/>
      <c r="AI998" s="167"/>
      <c r="AJ998" s="167"/>
      <c r="AK998" s="167"/>
      <c r="AL998" s="167"/>
    </row>
    <row r="999" spans="1:38" ht="15.75" customHeight="1">
      <c r="A999" s="167"/>
      <c r="B999" s="167"/>
      <c r="C999" s="167"/>
      <c r="D999" s="167"/>
      <c r="E999" s="167"/>
      <c r="F999" s="167"/>
      <c r="G999" s="167"/>
      <c r="H999" s="167"/>
      <c r="I999" s="167"/>
      <c r="J999" s="167"/>
      <c r="K999" s="167"/>
      <c r="L999" s="167"/>
      <c r="M999" s="167"/>
      <c r="N999" s="167"/>
      <c r="O999" s="167"/>
      <c r="P999" s="167"/>
      <c r="Q999" s="167"/>
      <c r="R999" s="167"/>
      <c r="S999" s="167"/>
      <c r="T999" s="167"/>
      <c r="U999" s="167"/>
      <c r="V999" s="167"/>
      <c r="W999" s="167"/>
      <c r="X999" s="167"/>
      <c r="Y999" s="167"/>
      <c r="Z999" s="167"/>
      <c r="AA999" s="167"/>
      <c r="AB999" s="167"/>
      <c r="AC999" s="167"/>
      <c r="AD999" s="167"/>
      <c r="AE999" s="167"/>
      <c r="AF999" s="167"/>
      <c r="AG999" s="167"/>
      <c r="AH999" s="167"/>
      <c r="AI999" s="167"/>
      <c r="AJ999" s="167"/>
      <c r="AK999" s="167"/>
      <c r="AL999" s="167"/>
    </row>
    <row r="1000" spans="1:38" ht="15.75" customHeight="1">
      <c r="A1000" s="167"/>
      <c r="B1000" s="167"/>
      <c r="C1000" s="167"/>
      <c r="D1000" s="167"/>
      <c r="E1000" s="167"/>
      <c r="F1000" s="167"/>
      <c r="G1000" s="167"/>
      <c r="H1000" s="167"/>
      <c r="I1000" s="167"/>
      <c r="J1000" s="167"/>
      <c r="K1000" s="167"/>
      <c r="L1000" s="167"/>
      <c r="M1000" s="167"/>
      <c r="N1000" s="167"/>
      <c r="O1000" s="167"/>
      <c r="P1000" s="167"/>
      <c r="Q1000" s="167"/>
      <c r="R1000" s="167"/>
      <c r="S1000" s="167"/>
      <c r="T1000" s="167"/>
      <c r="U1000" s="167"/>
      <c r="V1000" s="167"/>
      <c r="W1000" s="167"/>
      <c r="X1000" s="167"/>
      <c r="Y1000" s="167"/>
      <c r="Z1000" s="167"/>
      <c r="AA1000" s="167"/>
      <c r="AB1000" s="167"/>
      <c r="AC1000" s="167"/>
      <c r="AD1000" s="167"/>
      <c r="AE1000" s="167"/>
      <c r="AF1000" s="167"/>
      <c r="AG1000" s="167"/>
      <c r="AH1000" s="167"/>
      <c r="AI1000" s="167"/>
      <c r="AJ1000" s="167"/>
      <c r="AK1000" s="167"/>
      <c r="AL1000" s="167"/>
    </row>
    <row r="1001" spans="1:38" ht="15.75" customHeight="1">
      <c r="A1001" s="167"/>
      <c r="B1001" s="167"/>
      <c r="C1001" s="167"/>
      <c r="D1001" s="167"/>
      <c r="E1001" s="167"/>
      <c r="F1001" s="167"/>
      <c r="G1001" s="167"/>
      <c r="H1001" s="167"/>
      <c r="I1001" s="167"/>
      <c r="J1001" s="167"/>
      <c r="K1001" s="167"/>
      <c r="L1001" s="167"/>
      <c r="M1001" s="167"/>
      <c r="N1001" s="167"/>
      <c r="O1001" s="167"/>
      <c r="P1001" s="167"/>
      <c r="Q1001" s="167"/>
      <c r="R1001" s="167"/>
      <c r="S1001" s="167"/>
      <c r="T1001" s="167"/>
      <c r="U1001" s="167"/>
      <c r="V1001" s="167"/>
      <c r="W1001" s="167"/>
      <c r="X1001" s="167"/>
      <c r="Y1001" s="167"/>
      <c r="Z1001" s="167"/>
      <c r="AA1001" s="167"/>
      <c r="AB1001" s="167"/>
      <c r="AC1001" s="167"/>
      <c r="AD1001" s="167"/>
      <c r="AE1001" s="167"/>
      <c r="AF1001" s="167"/>
      <c r="AG1001" s="167"/>
      <c r="AH1001" s="167"/>
      <c r="AI1001" s="167"/>
      <c r="AJ1001" s="167"/>
      <c r="AK1001" s="167"/>
      <c r="AL1001" s="167"/>
    </row>
    <row r="1002" spans="1:38" ht="15.75" customHeight="1">
      <c r="A1002" s="167"/>
      <c r="B1002" s="167"/>
      <c r="C1002" s="167"/>
      <c r="D1002" s="167"/>
      <c r="E1002" s="167"/>
      <c r="F1002" s="167"/>
      <c r="G1002" s="167"/>
      <c r="H1002" s="167"/>
      <c r="I1002" s="167"/>
      <c r="J1002" s="167"/>
      <c r="K1002" s="167"/>
      <c r="L1002" s="167"/>
      <c r="M1002" s="167"/>
      <c r="N1002" s="167"/>
      <c r="O1002" s="167"/>
      <c r="P1002" s="167"/>
      <c r="Q1002" s="167"/>
      <c r="R1002" s="167"/>
      <c r="S1002" s="167"/>
      <c r="T1002" s="167"/>
      <c r="U1002" s="167"/>
      <c r="V1002" s="167"/>
      <c r="W1002" s="167"/>
      <c r="X1002" s="167"/>
      <c r="Y1002" s="167"/>
      <c r="Z1002" s="167"/>
      <c r="AA1002" s="167"/>
      <c r="AB1002" s="167"/>
      <c r="AC1002" s="167"/>
      <c r="AD1002" s="167"/>
      <c r="AE1002" s="167"/>
      <c r="AF1002" s="167"/>
      <c r="AG1002" s="167"/>
      <c r="AH1002" s="167"/>
      <c r="AI1002" s="167"/>
      <c r="AJ1002" s="167"/>
      <c r="AK1002" s="167"/>
      <c r="AL1002" s="167"/>
    </row>
    <row r="1003" spans="1:38" ht="15.75" customHeight="1">
      <c r="A1003" s="167"/>
      <c r="B1003" s="167"/>
      <c r="C1003" s="167"/>
      <c r="D1003" s="167"/>
      <c r="E1003" s="167"/>
      <c r="F1003" s="167"/>
      <c r="G1003" s="167"/>
      <c r="H1003" s="167"/>
      <c r="I1003" s="167"/>
      <c r="J1003" s="167"/>
      <c r="K1003" s="167"/>
      <c r="L1003" s="167"/>
      <c r="M1003" s="167"/>
      <c r="N1003" s="167"/>
      <c r="O1003" s="167"/>
      <c r="P1003" s="167"/>
      <c r="Q1003" s="167"/>
      <c r="R1003" s="167"/>
      <c r="S1003" s="167"/>
      <c r="T1003" s="167"/>
      <c r="U1003" s="167"/>
      <c r="V1003" s="167"/>
      <c r="W1003" s="167"/>
      <c r="X1003" s="167"/>
      <c r="Y1003" s="167"/>
      <c r="Z1003" s="167"/>
      <c r="AA1003" s="167"/>
      <c r="AB1003" s="167"/>
      <c r="AC1003" s="167"/>
      <c r="AD1003" s="167"/>
      <c r="AE1003" s="167"/>
      <c r="AF1003" s="167"/>
      <c r="AG1003" s="167"/>
      <c r="AH1003" s="167"/>
      <c r="AI1003" s="167"/>
      <c r="AJ1003" s="167"/>
      <c r="AK1003" s="167"/>
      <c r="AL1003" s="167"/>
    </row>
    <row r="1004" spans="1:38" ht="15.75" customHeight="1">
      <c r="A1004" s="167"/>
      <c r="B1004" s="167"/>
      <c r="C1004" s="167"/>
      <c r="D1004" s="167"/>
      <c r="E1004" s="167"/>
      <c r="F1004" s="167"/>
      <c r="G1004" s="167"/>
      <c r="H1004" s="167"/>
      <c r="I1004" s="167"/>
      <c r="J1004" s="167"/>
      <c r="K1004" s="167"/>
      <c r="L1004" s="167"/>
      <c r="M1004" s="167"/>
      <c r="N1004" s="167"/>
      <c r="O1004" s="167"/>
      <c r="P1004" s="167"/>
      <c r="Q1004" s="167"/>
      <c r="R1004" s="167"/>
      <c r="S1004" s="167"/>
      <c r="T1004" s="167"/>
      <c r="U1004" s="167"/>
      <c r="V1004" s="167"/>
      <c r="W1004" s="167"/>
      <c r="X1004" s="167"/>
      <c r="Y1004" s="167"/>
      <c r="Z1004" s="167"/>
      <c r="AA1004" s="167"/>
      <c r="AB1004" s="167"/>
      <c r="AC1004" s="167"/>
      <c r="AD1004" s="167"/>
      <c r="AE1004" s="167"/>
      <c r="AF1004" s="167"/>
      <c r="AG1004" s="167"/>
      <c r="AH1004" s="167"/>
      <c r="AI1004" s="167"/>
      <c r="AJ1004" s="167"/>
      <c r="AK1004" s="167"/>
      <c r="AL1004" s="167"/>
    </row>
    <row r="1005" spans="1:38" ht="15.75" customHeight="1">
      <c r="A1005" s="167"/>
      <c r="B1005" s="167"/>
      <c r="C1005" s="167"/>
      <c r="D1005" s="167"/>
      <c r="E1005" s="167"/>
      <c r="F1005" s="167"/>
      <c r="G1005" s="167"/>
      <c r="H1005" s="167"/>
      <c r="I1005" s="167"/>
      <c r="J1005" s="167"/>
      <c r="K1005" s="167"/>
      <c r="L1005" s="167"/>
      <c r="M1005" s="167"/>
      <c r="N1005" s="167"/>
      <c r="O1005" s="167"/>
      <c r="P1005" s="167"/>
      <c r="Q1005" s="167"/>
      <c r="R1005" s="167"/>
      <c r="S1005" s="167"/>
      <c r="T1005" s="167"/>
      <c r="U1005" s="167"/>
      <c r="V1005" s="167"/>
      <c r="W1005" s="167"/>
      <c r="X1005" s="167"/>
      <c r="Y1005" s="167"/>
      <c r="Z1005" s="167"/>
      <c r="AA1005" s="167"/>
      <c r="AB1005" s="167"/>
      <c r="AC1005" s="167"/>
      <c r="AD1005" s="167"/>
      <c r="AE1005" s="167"/>
      <c r="AF1005" s="167"/>
      <c r="AG1005" s="167"/>
      <c r="AH1005" s="167"/>
      <c r="AI1005" s="167"/>
      <c r="AJ1005" s="167"/>
      <c r="AK1005" s="167"/>
      <c r="AL1005" s="167"/>
    </row>
    <row r="1006" spans="1:38" ht="15.75" customHeight="1">
      <c r="A1006" s="167"/>
      <c r="B1006" s="167"/>
      <c r="C1006" s="167"/>
      <c r="D1006" s="167"/>
      <c r="E1006" s="167"/>
      <c r="F1006" s="167"/>
      <c r="G1006" s="167"/>
      <c r="H1006" s="167"/>
      <c r="I1006" s="167"/>
      <c r="J1006" s="167"/>
      <c r="K1006" s="167"/>
      <c r="L1006" s="167"/>
      <c r="M1006" s="167"/>
      <c r="N1006" s="167"/>
      <c r="O1006" s="167"/>
      <c r="P1006" s="167"/>
      <c r="Q1006" s="167"/>
      <c r="R1006" s="167"/>
      <c r="S1006" s="167"/>
      <c r="T1006" s="167"/>
      <c r="U1006" s="167"/>
      <c r="V1006" s="167"/>
      <c r="W1006" s="167"/>
      <c r="X1006" s="167"/>
      <c r="Y1006" s="167"/>
      <c r="Z1006" s="167"/>
      <c r="AA1006" s="167"/>
      <c r="AB1006" s="167"/>
      <c r="AC1006" s="167"/>
      <c r="AD1006" s="167"/>
      <c r="AE1006" s="167"/>
      <c r="AF1006" s="167"/>
      <c r="AG1006" s="167"/>
      <c r="AH1006" s="167"/>
      <c r="AI1006" s="167"/>
      <c r="AJ1006" s="167"/>
      <c r="AK1006" s="167"/>
      <c r="AL1006" s="167"/>
    </row>
    <row r="1007" spans="1:38" ht="15.75" customHeight="1">
      <c r="A1007" s="167"/>
      <c r="B1007" s="167"/>
      <c r="C1007" s="167"/>
      <c r="D1007" s="167"/>
      <c r="E1007" s="167"/>
      <c r="F1007" s="167"/>
      <c r="G1007" s="167"/>
      <c r="H1007" s="167"/>
      <c r="I1007" s="167"/>
      <c r="J1007" s="167"/>
      <c r="K1007" s="167"/>
      <c r="L1007" s="167"/>
      <c r="M1007" s="167"/>
      <c r="N1007" s="167"/>
      <c r="O1007" s="167"/>
      <c r="P1007" s="167"/>
      <c r="Q1007" s="167"/>
      <c r="R1007" s="167"/>
      <c r="S1007" s="167"/>
      <c r="T1007" s="167"/>
      <c r="U1007" s="167"/>
      <c r="V1007" s="167"/>
      <c r="W1007" s="167"/>
      <c r="X1007" s="167"/>
      <c r="Y1007" s="167"/>
      <c r="Z1007" s="167"/>
      <c r="AA1007" s="167"/>
      <c r="AB1007" s="167"/>
      <c r="AC1007" s="167"/>
      <c r="AD1007" s="167"/>
      <c r="AE1007" s="167"/>
      <c r="AF1007" s="167"/>
      <c r="AG1007" s="167"/>
      <c r="AH1007" s="167"/>
      <c r="AI1007" s="167"/>
      <c r="AJ1007" s="167"/>
      <c r="AK1007" s="167"/>
      <c r="AL1007" s="167"/>
    </row>
    <row r="1008" spans="1:38" ht="15.75" customHeight="1">
      <c r="A1008" s="167"/>
      <c r="B1008" s="167"/>
      <c r="C1008" s="167"/>
      <c r="D1008" s="167"/>
      <c r="E1008" s="167"/>
      <c r="F1008" s="167"/>
      <c r="G1008" s="167"/>
      <c r="H1008" s="167"/>
      <c r="I1008" s="167"/>
      <c r="J1008" s="167"/>
      <c r="K1008" s="167"/>
      <c r="L1008" s="167"/>
      <c r="M1008" s="167"/>
      <c r="N1008" s="167"/>
      <c r="O1008" s="167"/>
      <c r="P1008" s="167"/>
      <c r="Q1008" s="167"/>
      <c r="R1008" s="167"/>
      <c r="S1008" s="167"/>
      <c r="T1008" s="167"/>
      <c r="U1008" s="167"/>
      <c r="V1008" s="167"/>
      <c r="W1008" s="167"/>
      <c r="X1008" s="167"/>
      <c r="Y1008" s="167"/>
      <c r="Z1008" s="167"/>
      <c r="AA1008" s="167"/>
      <c r="AB1008" s="167"/>
      <c r="AC1008" s="167"/>
      <c r="AD1008" s="167"/>
      <c r="AE1008" s="167"/>
      <c r="AF1008" s="167"/>
      <c r="AG1008" s="167"/>
      <c r="AH1008" s="167"/>
      <c r="AI1008" s="167"/>
      <c r="AJ1008" s="167"/>
      <c r="AK1008" s="167"/>
      <c r="AL1008" s="167"/>
    </row>
    <row r="1009" spans="1:38" ht="15.75" customHeight="1">
      <c r="A1009" s="167"/>
      <c r="B1009" s="167"/>
      <c r="C1009" s="167"/>
      <c r="D1009" s="167"/>
      <c r="E1009" s="167"/>
      <c r="F1009" s="167"/>
      <c r="G1009" s="167"/>
      <c r="H1009" s="167"/>
      <c r="I1009" s="167"/>
      <c r="J1009" s="167"/>
      <c r="K1009" s="167"/>
      <c r="L1009" s="167"/>
      <c r="M1009" s="167"/>
      <c r="N1009" s="167"/>
      <c r="O1009" s="167"/>
      <c r="P1009" s="167"/>
      <c r="Q1009" s="167"/>
      <c r="R1009" s="167"/>
      <c r="S1009" s="167"/>
      <c r="T1009" s="167"/>
      <c r="U1009" s="167"/>
      <c r="V1009" s="167"/>
      <c r="W1009" s="167"/>
      <c r="X1009" s="167"/>
      <c r="Y1009" s="167"/>
      <c r="Z1009" s="167"/>
      <c r="AA1009" s="167"/>
      <c r="AB1009" s="167"/>
      <c r="AC1009" s="167"/>
      <c r="AD1009" s="167"/>
      <c r="AE1009" s="167"/>
      <c r="AF1009" s="167"/>
      <c r="AG1009" s="167"/>
      <c r="AH1009" s="167"/>
      <c r="AI1009" s="167"/>
      <c r="AJ1009" s="167"/>
      <c r="AK1009" s="167"/>
      <c r="AL1009" s="167"/>
    </row>
    <row r="1010" spans="1:38" ht="15.75" customHeight="1">
      <c r="A1010" s="167"/>
      <c r="B1010" s="167"/>
      <c r="C1010" s="167"/>
      <c r="D1010" s="167"/>
      <c r="E1010" s="167"/>
      <c r="F1010" s="167"/>
      <c r="G1010" s="167"/>
      <c r="H1010" s="167"/>
      <c r="I1010" s="167"/>
      <c r="J1010" s="167"/>
      <c r="K1010" s="167"/>
      <c r="L1010" s="167"/>
      <c r="M1010" s="167"/>
      <c r="N1010" s="167"/>
      <c r="O1010" s="167"/>
      <c r="P1010" s="167"/>
      <c r="Q1010" s="167"/>
      <c r="R1010" s="167"/>
      <c r="S1010" s="167"/>
      <c r="T1010" s="167"/>
      <c r="U1010" s="167"/>
      <c r="V1010" s="167"/>
      <c r="W1010" s="167"/>
      <c r="X1010" s="167"/>
      <c r="Y1010" s="167"/>
      <c r="Z1010" s="167"/>
      <c r="AA1010" s="167"/>
      <c r="AB1010" s="167"/>
      <c r="AC1010" s="167"/>
      <c r="AD1010" s="167"/>
      <c r="AE1010" s="167"/>
      <c r="AF1010" s="167"/>
      <c r="AG1010" s="167"/>
      <c r="AH1010" s="167"/>
      <c r="AI1010" s="167"/>
      <c r="AJ1010" s="167"/>
      <c r="AK1010" s="167"/>
      <c r="AL1010" s="167"/>
    </row>
    <row r="1011" spans="1:38" ht="15.75" customHeight="1">
      <c r="A1011" s="167"/>
      <c r="B1011" s="167"/>
      <c r="C1011" s="167"/>
      <c r="D1011" s="167"/>
      <c r="E1011" s="167"/>
      <c r="F1011" s="167"/>
      <c r="G1011" s="167"/>
      <c r="H1011" s="167"/>
      <c r="I1011" s="167"/>
      <c r="J1011" s="167"/>
      <c r="K1011" s="167"/>
      <c r="L1011" s="167"/>
      <c r="M1011" s="167"/>
      <c r="N1011" s="167"/>
      <c r="O1011" s="167"/>
      <c r="P1011" s="167"/>
      <c r="Q1011" s="167"/>
      <c r="R1011" s="167"/>
      <c r="S1011" s="167"/>
      <c r="T1011" s="167"/>
      <c r="U1011" s="167"/>
      <c r="V1011" s="167"/>
      <c r="W1011" s="167"/>
      <c r="X1011" s="167"/>
      <c r="Y1011" s="167"/>
      <c r="Z1011" s="167"/>
      <c r="AA1011" s="167"/>
      <c r="AB1011" s="167"/>
      <c r="AC1011" s="167"/>
      <c r="AD1011" s="167"/>
      <c r="AE1011" s="167"/>
      <c r="AF1011" s="167"/>
      <c r="AG1011" s="167"/>
      <c r="AH1011" s="167"/>
      <c r="AI1011" s="167"/>
      <c r="AJ1011" s="167"/>
      <c r="AK1011" s="167"/>
      <c r="AL1011" s="167"/>
    </row>
    <row r="1012" spans="1:38" ht="15.75" customHeight="1">
      <c r="A1012" s="167"/>
      <c r="B1012" s="167"/>
      <c r="C1012" s="167"/>
      <c r="D1012" s="167"/>
      <c r="E1012" s="167"/>
      <c r="F1012" s="167"/>
      <c r="G1012" s="167"/>
      <c r="H1012" s="167"/>
      <c r="I1012" s="167"/>
      <c r="J1012" s="167"/>
      <c r="K1012" s="167"/>
      <c r="L1012" s="167"/>
      <c r="M1012" s="167"/>
      <c r="N1012" s="167"/>
      <c r="O1012" s="167"/>
      <c r="P1012" s="167"/>
      <c r="Q1012" s="167"/>
      <c r="R1012" s="167"/>
      <c r="S1012" s="167"/>
      <c r="T1012" s="167"/>
      <c r="U1012" s="167"/>
      <c r="V1012" s="167"/>
      <c r="W1012" s="167"/>
      <c r="X1012" s="167"/>
      <c r="Y1012" s="167"/>
      <c r="Z1012" s="167"/>
      <c r="AA1012" s="167"/>
      <c r="AB1012" s="167"/>
      <c r="AC1012" s="167"/>
      <c r="AD1012" s="167"/>
      <c r="AE1012" s="167"/>
      <c r="AF1012" s="167"/>
      <c r="AG1012" s="167"/>
      <c r="AH1012" s="167"/>
      <c r="AI1012" s="167"/>
      <c r="AJ1012" s="167"/>
      <c r="AK1012" s="167"/>
      <c r="AL1012" s="167"/>
    </row>
    <row r="1013" spans="1:38" ht="15.75" customHeight="1">
      <c r="A1013" s="167"/>
      <c r="B1013" s="167"/>
      <c r="C1013" s="167"/>
      <c r="D1013" s="167"/>
      <c r="E1013" s="167"/>
      <c r="F1013" s="167"/>
      <c r="G1013" s="167"/>
      <c r="H1013" s="167"/>
      <c r="I1013" s="167"/>
      <c r="J1013" s="167"/>
      <c r="K1013" s="167"/>
      <c r="L1013" s="167"/>
      <c r="M1013" s="167"/>
      <c r="N1013" s="167"/>
      <c r="O1013" s="167"/>
      <c r="P1013" s="167"/>
      <c r="Q1013" s="167"/>
      <c r="R1013" s="167"/>
      <c r="S1013" s="167"/>
      <c r="T1013" s="167"/>
      <c r="U1013" s="167"/>
      <c r="V1013" s="167"/>
      <c r="W1013" s="167"/>
      <c r="X1013" s="167"/>
      <c r="Y1013" s="167"/>
      <c r="Z1013" s="167"/>
      <c r="AA1013" s="167"/>
      <c r="AB1013" s="167"/>
      <c r="AC1013" s="167"/>
      <c r="AD1013" s="167"/>
      <c r="AE1013" s="167"/>
      <c r="AF1013" s="167"/>
      <c r="AG1013" s="167"/>
      <c r="AH1013" s="167"/>
      <c r="AI1013" s="167"/>
      <c r="AJ1013" s="167"/>
      <c r="AK1013" s="167"/>
      <c r="AL1013" s="167"/>
    </row>
    <row r="1014" spans="1:38" ht="15.75" customHeight="1">
      <c r="A1014" s="167"/>
      <c r="B1014" s="167"/>
      <c r="C1014" s="167"/>
      <c r="D1014" s="167"/>
      <c r="E1014" s="167"/>
      <c r="F1014" s="167"/>
      <c r="G1014" s="167"/>
      <c r="H1014" s="167"/>
      <c r="I1014" s="167"/>
      <c r="J1014" s="167"/>
      <c r="K1014" s="167"/>
      <c r="L1014" s="167"/>
      <c r="M1014" s="167"/>
      <c r="N1014" s="167"/>
      <c r="O1014" s="167"/>
      <c r="P1014" s="167"/>
      <c r="Q1014" s="167"/>
      <c r="R1014" s="167"/>
      <c r="S1014" s="167"/>
      <c r="T1014" s="167"/>
      <c r="U1014" s="167"/>
      <c r="V1014" s="167"/>
      <c r="W1014" s="167"/>
      <c r="X1014" s="167"/>
      <c r="Y1014" s="167"/>
      <c r="Z1014" s="167"/>
      <c r="AA1014" s="167"/>
      <c r="AB1014" s="167"/>
      <c r="AC1014" s="167"/>
      <c r="AD1014" s="167"/>
      <c r="AE1014" s="167"/>
      <c r="AF1014" s="167"/>
      <c r="AG1014" s="167"/>
      <c r="AH1014" s="167"/>
      <c r="AI1014" s="167"/>
      <c r="AJ1014" s="167"/>
      <c r="AK1014" s="167"/>
      <c r="AL1014" s="167"/>
    </row>
    <row r="1015" spans="1:38" ht="15.75" customHeight="1">
      <c r="A1015" s="167"/>
      <c r="B1015" s="167"/>
      <c r="C1015" s="167"/>
      <c r="D1015" s="167"/>
      <c r="E1015" s="167"/>
      <c r="F1015" s="167"/>
      <c r="G1015" s="167"/>
      <c r="H1015" s="167"/>
      <c r="I1015" s="167"/>
      <c r="J1015" s="167"/>
      <c r="K1015" s="167"/>
      <c r="L1015" s="167"/>
      <c r="M1015" s="167"/>
      <c r="N1015" s="167"/>
      <c r="O1015" s="167"/>
      <c r="P1015" s="167"/>
      <c r="Q1015" s="167"/>
      <c r="R1015" s="167"/>
      <c r="S1015" s="167"/>
      <c r="T1015" s="167"/>
      <c r="U1015" s="167"/>
      <c r="V1015" s="167"/>
      <c r="W1015" s="167"/>
      <c r="X1015" s="167"/>
      <c r="Y1015" s="167"/>
      <c r="Z1015" s="167"/>
      <c r="AA1015" s="167"/>
      <c r="AB1015" s="167"/>
      <c r="AC1015" s="167"/>
      <c r="AD1015" s="167"/>
      <c r="AE1015" s="167"/>
      <c r="AF1015" s="167"/>
      <c r="AG1015" s="167"/>
      <c r="AH1015" s="167"/>
      <c r="AI1015" s="167"/>
      <c r="AJ1015" s="167"/>
      <c r="AK1015" s="167"/>
      <c r="AL1015" s="167"/>
    </row>
    <row r="1016" spans="1:38" ht="15.75" customHeight="1">
      <c r="A1016" s="167"/>
      <c r="B1016" s="167"/>
      <c r="C1016" s="167"/>
      <c r="D1016" s="167"/>
      <c r="E1016" s="167"/>
      <c r="F1016" s="167"/>
      <c r="G1016" s="167"/>
      <c r="H1016" s="167"/>
      <c r="I1016" s="167"/>
      <c r="J1016" s="167"/>
      <c r="K1016" s="167"/>
      <c r="L1016" s="167"/>
      <c r="M1016" s="167"/>
      <c r="N1016" s="167"/>
      <c r="O1016" s="167"/>
      <c r="P1016" s="167"/>
      <c r="Q1016" s="167"/>
      <c r="R1016" s="167"/>
      <c r="S1016" s="167"/>
      <c r="T1016" s="167"/>
      <c r="U1016" s="167"/>
      <c r="V1016" s="167"/>
      <c r="W1016" s="167"/>
      <c r="X1016" s="167"/>
      <c r="Y1016" s="167"/>
      <c r="Z1016" s="167"/>
      <c r="AA1016" s="167"/>
      <c r="AB1016" s="167"/>
      <c r="AC1016" s="167"/>
      <c r="AD1016" s="167"/>
      <c r="AE1016" s="167"/>
      <c r="AF1016" s="167"/>
      <c r="AG1016" s="167"/>
      <c r="AH1016" s="167"/>
      <c r="AI1016" s="167"/>
      <c r="AJ1016" s="167"/>
      <c r="AK1016" s="167"/>
      <c r="AL1016" s="167"/>
    </row>
    <row r="1017" spans="1:38" ht="15.75" customHeight="1">
      <c r="A1017" s="167"/>
      <c r="B1017" s="167"/>
      <c r="C1017" s="167"/>
      <c r="D1017" s="167"/>
      <c r="E1017" s="167"/>
      <c r="F1017" s="167"/>
      <c r="G1017" s="167"/>
      <c r="H1017" s="167"/>
      <c r="I1017" s="167"/>
      <c r="J1017" s="167"/>
      <c r="K1017" s="167"/>
      <c r="L1017" s="167"/>
      <c r="M1017" s="167"/>
      <c r="N1017" s="167"/>
      <c r="O1017" s="167"/>
      <c r="P1017" s="167"/>
      <c r="Q1017" s="167"/>
      <c r="R1017" s="167"/>
      <c r="S1017" s="167"/>
      <c r="T1017" s="167"/>
      <c r="U1017" s="167"/>
      <c r="V1017" s="167"/>
      <c r="W1017" s="167"/>
      <c r="X1017" s="167"/>
      <c r="Y1017" s="167"/>
      <c r="Z1017" s="167"/>
      <c r="AA1017" s="167"/>
      <c r="AB1017" s="167"/>
      <c r="AC1017" s="167"/>
      <c r="AD1017" s="167"/>
      <c r="AE1017" s="167"/>
      <c r="AF1017" s="167"/>
      <c r="AG1017" s="167"/>
      <c r="AH1017" s="167"/>
      <c r="AI1017" s="167"/>
      <c r="AJ1017" s="167"/>
      <c r="AK1017" s="167"/>
      <c r="AL1017" s="167"/>
    </row>
    <row r="1018" spans="1:38" ht="15.75" customHeight="1">
      <c r="A1018" s="167"/>
      <c r="B1018" s="167"/>
      <c r="C1018" s="167"/>
      <c r="D1018" s="167"/>
      <c r="E1018" s="167"/>
      <c r="F1018" s="167"/>
      <c r="G1018" s="167"/>
      <c r="H1018" s="167"/>
      <c r="I1018" s="167"/>
      <c r="J1018" s="167"/>
      <c r="K1018" s="167"/>
      <c r="L1018" s="167"/>
      <c r="M1018" s="167"/>
      <c r="N1018" s="167"/>
      <c r="O1018" s="167"/>
      <c r="P1018" s="167"/>
      <c r="Q1018" s="167"/>
      <c r="R1018" s="167"/>
      <c r="S1018" s="167"/>
      <c r="T1018" s="167"/>
      <c r="U1018" s="167"/>
      <c r="V1018" s="167"/>
      <c r="W1018" s="167"/>
      <c r="X1018" s="167"/>
      <c r="Y1018" s="167"/>
      <c r="Z1018" s="167"/>
      <c r="AA1018" s="167"/>
      <c r="AB1018" s="167"/>
      <c r="AC1018" s="167"/>
      <c r="AD1018" s="167"/>
      <c r="AE1018" s="167"/>
      <c r="AF1018" s="167"/>
      <c r="AG1018" s="167"/>
      <c r="AH1018" s="167"/>
      <c r="AI1018" s="167"/>
      <c r="AJ1018" s="167"/>
      <c r="AK1018" s="167"/>
      <c r="AL1018" s="167"/>
    </row>
    <row r="1019" spans="1:38" ht="15.75" customHeight="1">
      <c r="A1019" s="167"/>
      <c r="B1019" s="167"/>
      <c r="C1019" s="167"/>
      <c r="D1019" s="167"/>
      <c r="E1019" s="167"/>
      <c r="F1019" s="167"/>
      <c r="G1019" s="167"/>
      <c r="H1019" s="167"/>
      <c r="I1019" s="167"/>
      <c r="J1019" s="167"/>
      <c r="K1019" s="167"/>
      <c r="L1019" s="167"/>
      <c r="M1019" s="167"/>
      <c r="N1019" s="167"/>
      <c r="O1019" s="167"/>
      <c r="P1019" s="167"/>
      <c r="Q1019" s="167"/>
      <c r="R1019" s="167"/>
      <c r="S1019" s="167"/>
      <c r="T1019" s="167"/>
      <c r="U1019" s="167"/>
      <c r="V1019" s="167"/>
      <c r="W1019" s="167"/>
      <c r="X1019" s="167"/>
      <c r="Y1019" s="167"/>
      <c r="Z1019" s="167"/>
      <c r="AA1019" s="167"/>
      <c r="AB1019" s="167"/>
      <c r="AC1019" s="167"/>
      <c r="AD1019" s="167"/>
      <c r="AE1019" s="167"/>
      <c r="AF1019" s="167"/>
      <c r="AG1019" s="167"/>
      <c r="AH1019" s="167"/>
      <c r="AI1019" s="167"/>
      <c r="AJ1019" s="167"/>
      <c r="AK1019" s="167"/>
      <c r="AL1019" s="167"/>
    </row>
    <row r="1020" spans="1:38" ht="15.75" customHeight="1">
      <c r="A1020" s="167"/>
      <c r="B1020" s="167"/>
      <c r="C1020" s="167"/>
      <c r="D1020" s="167"/>
      <c r="E1020" s="167"/>
      <c r="F1020" s="167"/>
      <c r="G1020" s="167"/>
      <c r="H1020" s="167"/>
      <c r="I1020" s="167"/>
      <c r="J1020" s="167"/>
      <c r="K1020" s="167"/>
      <c r="L1020" s="167"/>
      <c r="M1020" s="167"/>
      <c r="N1020" s="167"/>
      <c r="O1020" s="167"/>
      <c r="P1020" s="167"/>
      <c r="Q1020" s="167"/>
      <c r="R1020" s="167"/>
      <c r="S1020" s="167"/>
      <c r="T1020" s="167"/>
      <c r="U1020" s="167"/>
      <c r="V1020" s="167"/>
      <c r="W1020" s="167"/>
      <c r="X1020" s="167"/>
      <c r="Y1020" s="167"/>
      <c r="Z1020" s="167"/>
      <c r="AA1020" s="167"/>
      <c r="AB1020" s="167"/>
      <c r="AC1020" s="167"/>
      <c r="AD1020" s="167"/>
      <c r="AE1020" s="167"/>
      <c r="AF1020" s="167"/>
      <c r="AG1020" s="167"/>
      <c r="AH1020" s="167"/>
      <c r="AI1020" s="167"/>
      <c r="AJ1020" s="167"/>
      <c r="AK1020" s="167"/>
      <c r="AL1020" s="167"/>
    </row>
    <row r="1021" spans="1:38" ht="15.75" customHeight="1">
      <c r="A1021" s="167"/>
      <c r="B1021" s="167"/>
      <c r="C1021" s="167"/>
      <c r="D1021" s="167"/>
      <c r="E1021" s="167"/>
      <c r="F1021" s="167"/>
      <c r="G1021" s="167"/>
      <c r="H1021" s="167"/>
      <c r="I1021" s="167"/>
      <c r="J1021" s="167"/>
      <c r="K1021" s="167"/>
      <c r="L1021" s="167"/>
      <c r="M1021" s="167"/>
      <c r="N1021" s="167"/>
      <c r="O1021" s="167"/>
      <c r="P1021" s="167"/>
      <c r="Q1021" s="167"/>
      <c r="R1021" s="167"/>
      <c r="S1021" s="167"/>
      <c r="T1021" s="167"/>
      <c r="U1021" s="167"/>
      <c r="V1021" s="167"/>
      <c r="W1021" s="167"/>
      <c r="X1021" s="167"/>
      <c r="Y1021" s="167"/>
      <c r="Z1021" s="167"/>
      <c r="AA1021" s="167"/>
      <c r="AB1021" s="167"/>
      <c r="AC1021" s="167"/>
      <c r="AD1021" s="167"/>
      <c r="AE1021" s="167"/>
      <c r="AF1021" s="167"/>
      <c r="AG1021" s="167"/>
      <c r="AH1021" s="167"/>
      <c r="AI1021" s="167"/>
      <c r="AJ1021" s="167"/>
      <c r="AK1021" s="167"/>
      <c r="AL1021" s="167"/>
    </row>
    <row r="1022" spans="1:38" ht="15.75" customHeight="1">
      <c r="A1022" s="167"/>
      <c r="B1022" s="167"/>
      <c r="C1022" s="167"/>
      <c r="D1022" s="167"/>
      <c r="E1022" s="167"/>
      <c r="F1022" s="167"/>
      <c r="G1022" s="167"/>
      <c r="H1022" s="167"/>
      <c r="I1022" s="167"/>
      <c r="J1022" s="167"/>
      <c r="K1022" s="167"/>
      <c r="L1022" s="167"/>
      <c r="M1022" s="167"/>
      <c r="N1022" s="167"/>
      <c r="O1022" s="167"/>
      <c r="P1022" s="167"/>
      <c r="Q1022" s="167"/>
      <c r="R1022" s="167"/>
      <c r="S1022" s="167"/>
      <c r="T1022" s="167"/>
      <c r="U1022" s="167"/>
      <c r="V1022" s="167"/>
      <c r="W1022" s="167"/>
      <c r="X1022" s="167"/>
      <c r="Y1022" s="167"/>
      <c r="Z1022" s="167"/>
      <c r="AA1022" s="167"/>
      <c r="AB1022" s="167"/>
      <c r="AC1022" s="167"/>
      <c r="AD1022" s="167"/>
      <c r="AE1022" s="167"/>
      <c r="AF1022" s="167"/>
      <c r="AG1022" s="167"/>
      <c r="AH1022" s="167"/>
      <c r="AI1022" s="167"/>
      <c r="AJ1022" s="167"/>
      <c r="AK1022" s="167"/>
      <c r="AL1022" s="167"/>
    </row>
    <row r="1023" spans="1:38" ht="15.75" customHeight="1">
      <c r="A1023" s="167"/>
      <c r="B1023" s="167"/>
      <c r="C1023" s="167"/>
      <c r="D1023" s="167"/>
      <c r="E1023" s="167"/>
      <c r="F1023" s="167"/>
      <c r="G1023" s="167"/>
      <c r="H1023" s="167"/>
      <c r="I1023" s="167"/>
      <c r="J1023" s="167"/>
      <c r="K1023" s="167"/>
      <c r="L1023" s="167"/>
      <c r="M1023" s="167"/>
      <c r="N1023" s="167"/>
      <c r="O1023" s="167"/>
      <c r="P1023" s="167"/>
      <c r="Q1023" s="167"/>
      <c r="R1023" s="167"/>
      <c r="S1023" s="167"/>
      <c r="T1023" s="167"/>
      <c r="U1023" s="167"/>
      <c r="V1023" s="167"/>
      <c r="W1023" s="167"/>
      <c r="X1023" s="167"/>
      <c r="Y1023" s="167"/>
      <c r="Z1023" s="167"/>
      <c r="AA1023" s="167"/>
      <c r="AB1023" s="167"/>
      <c r="AC1023" s="167"/>
      <c r="AD1023" s="167"/>
      <c r="AE1023" s="167"/>
      <c r="AF1023" s="167"/>
      <c r="AG1023" s="167"/>
      <c r="AH1023" s="167"/>
      <c r="AI1023" s="167"/>
      <c r="AJ1023" s="167"/>
      <c r="AK1023" s="167"/>
      <c r="AL1023" s="167"/>
    </row>
    <row r="1024" spans="1:38" ht="15.75" customHeight="1">
      <c r="A1024" s="167"/>
      <c r="B1024" s="167"/>
      <c r="C1024" s="167"/>
      <c r="D1024" s="167"/>
      <c r="E1024" s="167"/>
      <c r="F1024" s="167"/>
      <c r="G1024" s="167"/>
      <c r="H1024" s="167"/>
      <c r="I1024" s="167"/>
      <c r="J1024" s="167"/>
      <c r="K1024" s="167"/>
      <c r="L1024" s="167"/>
      <c r="M1024" s="167"/>
      <c r="N1024" s="167"/>
      <c r="O1024" s="167"/>
      <c r="P1024" s="167"/>
      <c r="Q1024" s="167"/>
      <c r="R1024" s="167"/>
      <c r="S1024" s="167"/>
      <c r="T1024" s="167"/>
      <c r="U1024" s="167"/>
      <c r="V1024" s="167"/>
      <c r="W1024" s="167"/>
      <c r="X1024" s="167"/>
      <c r="Y1024" s="167"/>
      <c r="Z1024" s="167"/>
      <c r="AA1024" s="167"/>
      <c r="AB1024" s="167"/>
      <c r="AC1024" s="167"/>
      <c r="AD1024" s="167"/>
      <c r="AE1024" s="167"/>
      <c r="AF1024" s="167"/>
      <c r="AG1024" s="167"/>
      <c r="AH1024" s="167"/>
      <c r="AI1024" s="167"/>
      <c r="AJ1024" s="167"/>
      <c r="AK1024" s="167"/>
      <c r="AL1024" s="167"/>
    </row>
    <row r="1025" spans="1:38" ht="15.75" customHeight="1">
      <c r="A1025" s="167"/>
      <c r="B1025" s="167"/>
      <c r="C1025" s="167"/>
      <c r="D1025" s="167"/>
      <c r="E1025" s="167"/>
      <c r="F1025" s="167"/>
      <c r="G1025" s="167"/>
      <c r="H1025" s="167"/>
      <c r="I1025" s="167"/>
      <c r="J1025" s="167"/>
      <c r="K1025" s="167"/>
      <c r="L1025" s="167"/>
      <c r="M1025" s="167"/>
      <c r="N1025" s="167"/>
      <c r="O1025" s="167"/>
      <c r="P1025" s="167"/>
      <c r="Q1025" s="167"/>
      <c r="R1025" s="167"/>
      <c r="S1025" s="167"/>
      <c r="T1025" s="167"/>
      <c r="U1025" s="167"/>
      <c r="V1025" s="167"/>
      <c r="W1025" s="167"/>
      <c r="X1025" s="167"/>
      <c r="Y1025" s="167"/>
      <c r="Z1025" s="167"/>
      <c r="AA1025" s="167"/>
      <c r="AB1025" s="167"/>
      <c r="AC1025" s="167"/>
      <c r="AD1025" s="167"/>
      <c r="AE1025" s="167"/>
      <c r="AF1025" s="167"/>
      <c r="AG1025" s="167"/>
      <c r="AH1025" s="167"/>
      <c r="AI1025" s="167"/>
      <c r="AJ1025" s="167"/>
      <c r="AK1025" s="167"/>
      <c r="AL1025" s="167"/>
    </row>
    <row r="1026" spans="1:38" ht="15.75" customHeight="1">
      <c r="A1026" s="167"/>
      <c r="B1026" s="167"/>
      <c r="C1026" s="167"/>
      <c r="D1026" s="167"/>
      <c r="E1026" s="167"/>
      <c r="F1026" s="167"/>
      <c r="G1026" s="167"/>
      <c r="H1026" s="167"/>
      <c r="I1026" s="167"/>
      <c r="J1026" s="167"/>
      <c r="K1026" s="167"/>
      <c r="L1026" s="167"/>
      <c r="M1026" s="167"/>
      <c r="N1026" s="167"/>
      <c r="O1026" s="167"/>
      <c r="P1026" s="167"/>
      <c r="Q1026" s="167"/>
      <c r="R1026" s="167"/>
      <c r="S1026" s="167"/>
      <c r="T1026" s="167"/>
      <c r="U1026" s="167"/>
      <c r="V1026" s="167"/>
      <c r="W1026" s="167"/>
      <c r="X1026" s="167"/>
      <c r="Y1026" s="167"/>
      <c r="Z1026" s="167"/>
      <c r="AA1026" s="167"/>
      <c r="AB1026" s="167"/>
      <c r="AC1026" s="167"/>
      <c r="AD1026" s="167"/>
      <c r="AE1026" s="167"/>
      <c r="AF1026" s="167"/>
      <c r="AG1026" s="167"/>
      <c r="AH1026" s="167"/>
      <c r="AI1026" s="167"/>
      <c r="AJ1026" s="167"/>
      <c r="AK1026" s="167"/>
      <c r="AL1026" s="167"/>
    </row>
    <row r="1027" spans="1:38" ht="15.75" customHeight="1">
      <c r="A1027" s="167"/>
      <c r="B1027" s="167"/>
      <c r="C1027" s="167"/>
      <c r="D1027" s="167"/>
      <c r="E1027" s="167"/>
      <c r="F1027" s="167"/>
      <c r="G1027" s="167"/>
      <c r="H1027" s="167"/>
      <c r="I1027" s="167"/>
      <c r="J1027" s="167"/>
      <c r="K1027" s="167"/>
      <c r="L1027" s="167"/>
      <c r="M1027" s="167"/>
      <c r="N1027" s="167"/>
      <c r="O1027" s="167"/>
      <c r="P1027" s="167"/>
      <c r="Q1027" s="167"/>
      <c r="R1027" s="167"/>
      <c r="S1027" s="167"/>
      <c r="T1027" s="167"/>
      <c r="U1027" s="167"/>
      <c r="V1027" s="167"/>
      <c r="W1027" s="167"/>
      <c r="X1027" s="167"/>
      <c r="Y1027" s="167"/>
      <c r="Z1027" s="167"/>
      <c r="AA1027" s="167"/>
      <c r="AB1027" s="167"/>
      <c r="AC1027" s="167"/>
      <c r="AD1027" s="167"/>
      <c r="AE1027" s="167"/>
      <c r="AF1027" s="167"/>
      <c r="AG1027" s="167"/>
      <c r="AH1027" s="167"/>
      <c r="AI1027" s="167"/>
      <c r="AJ1027" s="167"/>
      <c r="AK1027" s="167"/>
      <c r="AL1027" s="167"/>
    </row>
    <row r="1028" spans="1:38" ht="15.75" customHeight="1">
      <c r="A1028" s="167"/>
      <c r="B1028" s="167"/>
      <c r="C1028" s="167"/>
      <c r="D1028" s="167"/>
      <c r="E1028" s="167"/>
      <c r="F1028" s="167"/>
      <c r="G1028" s="167"/>
      <c r="H1028" s="167"/>
      <c r="I1028" s="167"/>
      <c r="J1028" s="167"/>
      <c r="K1028" s="167"/>
      <c r="L1028" s="167"/>
      <c r="M1028" s="167"/>
      <c r="N1028" s="167"/>
      <c r="O1028" s="167"/>
      <c r="P1028" s="167"/>
      <c r="Q1028" s="167"/>
      <c r="R1028" s="167"/>
      <c r="S1028" s="167"/>
      <c r="T1028" s="167"/>
      <c r="U1028" s="167"/>
      <c r="V1028" s="167"/>
      <c r="W1028" s="167"/>
      <c r="X1028" s="167"/>
      <c r="Y1028" s="167"/>
      <c r="Z1028" s="167"/>
      <c r="AA1028" s="167"/>
      <c r="AB1028" s="167"/>
      <c r="AC1028" s="167"/>
      <c r="AD1028" s="167"/>
      <c r="AE1028" s="167"/>
      <c r="AF1028" s="167"/>
      <c r="AG1028" s="167"/>
      <c r="AH1028" s="167"/>
      <c r="AI1028" s="167"/>
      <c r="AJ1028" s="167"/>
      <c r="AK1028" s="167"/>
      <c r="AL1028" s="167"/>
    </row>
    <row r="1029" spans="1:38" ht="15.75" customHeight="1">
      <c r="A1029" s="167"/>
      <c r="B1029" s="167"/>
      <c r="C1029" s="167"/>
      <c r="D1029" s="167"/>
      <c r="E1029" s="167"/>
      <c r="F1029" s="167"/>
      <c r="G1029" s="167"/>
      <c r="H1029" s="167"/>
      <c r="I1029" s="167"/>
      <c r="J1029" s="167"/>
      <c r="K1029" s="167"/>
      <c r="L1029" s="167"/>
      <c r="M1029" s="167"/>
      <c r="N1029" s="167"/>
      <c r="O1029" s="167"/>
      <c r="P1029" s="167"/>
      <c r="Q1029" s="167"/>
      <c r="R1029" s="167"/>
      <c r="S1029" s="167"/>
      <c r="T1029" s="167"/>
      <c r="U1029" s="167"/>
      <c r="V1029" s="167"/>
      <c r="W1029" s="167"/>
      <c r="X1029" s="167"/>
      <c r="Y1029" s="167"/>
      <c r="Z1029" s="167"/>
      <c r="AA1029" s="167"/>
      <c r="AB1029" s="167"/>
      <c r="AC1029" s="167"/>
      <c r="AD1029" s="167"/>
      <c r="AE1029" s="167"/>
      <c r="AF1029" s="167"/>
      <c r="AG1029" s="167"/>
      <c r="AH1029" s="167"/>
      <c r="AI1029" s="167"/>
      <c r="AJ1029" s="167"/>
      <c r="AK1029" s="167"/>
      <c r="AL1029" s="167"/>
    </row>
    <row r="1030" spans="1:38" ht="15.75" customHeight="1">
      <c r="A1030" s="167"/>
      <c r="B1030" s="167"/>
      <c r="C1030" s="167"/>
      <c r="D1030" s="167"/>
      <c r="E1030" s="167"/>
      <c r="F1030" s="167"/>
      <c r="G1030" s="167"/>
      <c r="H1030" s="167"/>
      <c r="I1030" s="167"/>
      <c r="J1030" s="167"/>
      <c r="K1030" s="167"/>
      <c r="L1030" s="167"/>
      <c r="M1030" s="167"/>
      <c r="N1030" s="167"/>
      <c r="O1030" s="167"/>
      <c r="P1030" s="167"/>
      <c r="Q1030" s="167"/>
      <c r="R1030" s="167"/>
      <c r="S1030" s="167"/>
      <c r="T1030" s="167"/>
      <c r="U1030" s="167"/>
      <c r="V1030" s="167"/>
      <c r="W1030" s="167"/>
      <c r="X1030" s="167"/>
      <c r="Y1030" s="167"/>
      <c r="Z1030" s="167"/>
      <c r="AA1030" s="167"/>
      <c r="AB1030" s="167"/>
      <c r="AC1030" s="167"/>
      <c r="AD1030" s="167"/>
      <c r="AE1030" s="167"/>
      <c r="AF1030" s="167"/>
      <c r="AG1030" s="167"/>
      <c r="AH1030" s="167"/>
      <c r="AI1030" s="167"/>
      <c r="AJ1030" s="167"/>
      <c r="AK1030" s="167"/>
      <c r="AL1030" s="167"/>
    </row>
    <row r="1031" spans="1:38" ht="15.75" customHeight="1">
      <c r="A1031" s="167"/>
      <c r="B1031" s="167"/>
      <c r="C1031" s="167"/>
      <c r="D1031" s="167"/>
      <c r="E1031" s="167"/>
      <c r="F1031" s="167"/>
      <c r="G1031" s="167"/>
      <c r="H1031" s="167"/>
      <c r="I1031" s="167"/>
      <c r="J1031" s="167"/>
      <c r="K1031" s="167"/>
      <c r="L1031" s="167"/>
      <c r="M1031" s="167"/>
      <c r="N1031" s="167"/>
      <c r="O1031" s="167"/>
      <c r="P1031" s="167"/>
      <c r="Q1031" s="167"/>
      <c r="R1031" s="167"/>
      <c r="S1031" s="167"/>
      <c r="T1031" s="167"/>
      <c r="U1031" s="167"/>
      <c r="V1031" s="167"/>
      <c r="W1031" s="167"/>
      <c r="X1031" s="167"/>
      <c r="Y1031" s="167"/>
      <c r="Z1031" s="167"/>
      <c r="AA1031" s="167"/>
      <c r="AB1031" s="167"/>
      <c r="AC1031" s="167"/>
      <c r="AD1031" s="167"/>
      <c r="AE1031" s="167"/>
      <c r="AF1031" s="167"/>
      <c r="AG1031" s="167"/>
      <c r="AH1031" s="167"/>
      <c r="AI1031" s="167"/>
      <c r="AJ1031" s="167"/>
      <c r="AK1031" s="167"/>
      <c r="AL1031" s="167"/>
    </row>
    <row r="1032" spans="1:38" ht="15.75" customHeight="1">
      <c r="A1032" s="167"/>
      <c r="B1032" s="167"/>
      <c r="C1032" s="167"/>
      <c r="D1032" s="167"/>
      <c r="E1032" s="167"/>
      <c r="F1032" s="167"/>
      <c r="G1032" s="167"/>
      <c r="H1032" s="167"/>
      <c r="I1032" s="167"/>
      <c r="J1032" s="167"/>
      <c r="K1032" s="167"/>
      <c r="L1032" s="167"/>
      <c r="M1032" s="167"/>
      <c r="N1032" s="167"/>
      <c r="O1032" s="167"/>
      <c r="P1032" s="167"/>
      <c r="Q1032" s="167"/>
      <c r="R1032" s="167"/>
      <c r="S1032" s="167"/>
      <c r="T1032" s="167"/>
      <c r="U1032" s="167"/>
      <c r="V1032" s="167"/>
      <c r="W1032" s="167"/>
      <c r="X1032" s="167"/>
      <c r="Y1032" s="167"/>
      <c r="Z1032" s="167"/>
      <c r="AA1032" s="167"/>
      <c r="AB1032" s="167"/>
      <c r="AC1032" s="167"/>
      <c r="AD1032" s="167"/>
      <c r="AE1032" s="167"/>
      <c r="AF1032" s="167"/>
      <c r="AG1032" s="167"/>
      <c r="AH1032" s="167"/>
      <c r="AI1032" s="167"/>
      <c r="AJ1032" s="167"/>
      <c r="AK1032" s="167"/>
      <c r="AL1032" s="167"/>
    </row>
    <row r="1033" spans="1:38" ht="15.75" customHeight="1">
      <c r="A1033" s="167"/>
      <c r="B1033" s="167"/>
      <c r="C1033" s="167"/>
      <c r="D1033" s="167"/>
      <c r="E1033" s="167"/>
      <c r="F1033" s="167"/>
      <c r="G1033" s="167"/>
      <c r="H1033" s="167"/>
      <c r="I1033" s="167"/>
      <c r="J1033" s="167"/>
      <c r="K1033" s="167"/>
      <c r="L1033" s="167"/>
      <c r="M1033" s="167"/>
      <c r="N1033" s="167"/>
      <c r="O1033" s="167"/>
      <c r="P1033" s="167"/>
      <c r="Q1033" s="167"/>
      <c r="R1033" s="167"/>
      <c r="S1033" s="167"/>
      <c r="T1033" s="167"/>
      <c r="U1033" s="167"/>
      <c r="V1033" s="167"/>
      <c r="W1033" s="167"/>
      <c r="X1033" s="167"/>
      <c r="Y1033" s="167"/>
      <c r="Z1033" s="167"/>
      <c r="AA1033" s="167"/>
      <c r="AB1033" s="167"/>
      <c r="AC1033" s="167"/>
      <c r="AD1033" s="167"/>
      <c r="AE1033" s="167"/>
      <c r="AF1033" s="167"/>
      <c r="AG1033" s="167"/>
      <c r="AH1033" s="167"/>
      <c r="AI1033" s="167"/>
      <c r="AJ1033" s="167"/>
      <c r="AK1033" s="167"/>
      <c r="AL1033" s="167"/>
    </row>
    <row r="1034" spans="1:38" ht="15.75" customHeight="1">
      <c r="A1034" s="167"/>
      <c r="B1034" s="167"/>
      <c r="C1034" s="167"/>
      <c r="D1034" s="167"/>
      <c r="E1034" s="167"/>
      <c r="F1034" s="167"/>
      <c r="G1034" s="167"/>
      <c r="H1034" s="167"/>
      <c r="I1034" s="167"/>
      <c r="J1034" s="167"/>
      <c r="K1034" s="167"/>
      <c r="L1034" s="167"/>
      <c r="M1034" s="167"/>
      <c r="N1034" s="167"/>
      <c r="O1034" s="167"/>
      <c r="P1034" s="167"/>
      <c r="Q1034" s="167"/>
      <c r="R1034" s="167"/>
      <c r="S1034" s="167"/>
      <c r="T1034" s="167"/>
      <c r="U1034" s="167"/>
      <c r="V1034" s="167"/>
      <c r="W1034" s="167"/>
      <c r="X1034" s="167"/>
      <c r="Y1034" s="167"/>
      <c r="Z1034" s="167"/>
      <c r="AA1034" s="167"/>
      <c r="AB1034" s="167"/>
      <c r="AC1034" s="167"/>
      <c r="AD1034" s="167"/>
      <c r="AE1034" s="167"/>
      <c r="AF1034" s="167"/>
      <c r="AG1034" s="167"/>
      <c r="AH1034" s="167"/>
      <c r="AI1034" s="167"/>
      <c r="AJ1034" s="167"/>
      <c r="AK1034" s="167"/>
      <c r="AL1034" s="167"/>
    </row>
    <row r="1035" spans="1:38" ht="15.75" customHeight="1">
      <c r="A1035" s="167"/>
      <c r="B1035" s="167"/>
      <c r="C1035" s="167"/>
      <c r="D1035" s="167"/>
      <c r="E1035" s="167"/>
      <c r="F1035" s="167"/>
      <c r="G1035" s="167"/>
      <c r="H1035" s="167"/>
      <c r="I1035" s="167"/>
      <c r="J1035" s="167"/>
      <c r="K1035" s="167"/>
      <c r="L1035" s="167"/>
      <c r="M1035" s="167"/>
      <c r="N1035" s="167"/>
      <c r="O1035" s="167"/>
      <c r="P1035" s="167"/>
      <c r="Q1035" s="167"/>
      <c r="R1035" s="167"/>
      <c r="S1035" s="167"/>
      <c r="T1035" s="167"/>
      <c r="U1035" s="167"/>
      <c r="V1035" s="167"/>
      <c r="W1035" s="167"/>
      <c r="X1035" s="167"/>
      <c r="Y1035" s="167"/>
      <c r="Z1035" s="167"/>
      <c r="AA1035" s="167"/>
      <c r="AB1035" s="167"/>
      <c r="AC1035" s="167"/>
      <c r="AD1035" s="167"/>
      <c r="AE1035" s="167"/>
      <c r="AF1035" s="167"/>
      <c r="AG1035" s="167"/>
      <c r="AH1035" s="167"/>
      <c r="AI1035" s="167"/>
      <c r="AJ1035" s="167"/>
      <c r="AK1035" s="167"/>
      <c r="AL1035" s="167"/>
    </row>
    <row r="1036" spans="1:38" ht="15.75" customHeight="1">
      <c r="A1036" s="167"/>
      <c r="B1036" s="167"/>
      <c r="C1036" s="167"/>
      <c r="D1036" s="167"/>
      <c r="E1036" s="167"/>
      <c r="F1036" s="167"/>
      <c r="G1036" s="167"/>
      <c r="H1036" s="167"/>
      <c r="I1036" s="167"/>
      <c r="J1036" s="167"/>
      <c r="K1036" s="167"/>
      <c r="L1036" s="167"/>
      <c r="M1036" s="167"/>
      <c r="N1036" s="167"/>
      <c r="O1036" s="167"/>
      <c r="P1036" s="167"/>
      <c r="Q1036" s="167"/>
      <c r="R1036" s="167"/>
      <c r="S1036" s="167"/>
      <c r="T1036" s="167"/>
      <c r="U1036" s="167"/>
      <c r="V1036" s="167"/>
      <c r="W1036" s="167"/>
      <c r="X1036" s="167"/>
      <c r="Y1036" s="167"/>
      <c r="Z1036" s="167"/>
      <c r="AA1036" s="167"/>
      <c r="AB1036" s="167"/>
      <c r="AC1036" s="167"/>
      <c r="AD1036" s="167"/>
      <c r="AE1036" s="167"/>
      <c r="AF1036" s="167"/>
      <c r="AG1036" s="167"/>
      <c r="AH1036" s="167"/>
      <c r="AI1036" s="167"/>
      <c r="AJ1036" s="167"/>
      <c r="AK1036" s="167"/>
      <c r="AL1036" s="167"/>
    </row>
    <row r="1037" spans="1:38" ht="15.75" customHeight="1">
      <c r="A1037" s="167"/>
      <c r="B1037" s="167"/>
      <c r="C1037" s="167"/>
      <c r="D1037" s="167"/>
      <c r="E1037" s="167"/>
      <c r="F1037" s="167"/>
      <c r="G1037" s="167"/>
      <c r="H1037" s="167"/>
      <c r="I1037" s="167"/>
      <c r="J1037" s="167"/>
      <c r="K1037" s="167"/>
      <c r="L1037" s="167"/>
      <c r="M1037" s="167"/>
      <c r="N1037" s="167"/>
      <c r="O1037" s="167"/>
      <c r="P1037" s="167"/>
      <c r="Q1037" s="167"/>
      <c r="R1037" s="167"/>
      <c r="S1037" s="167"/>
      <c r="T1037" s="167"/>
      <c r="U1037" s="167"/>
      <c r="V1037" s="167"/>
      <c r="W1037" s="167"/>
      <c r="X1037" s="167"/>
      <c r="Y1037" s="167"/>
      <c r="Z1037" s="167"/>
      <c r="AA1037" s="167"/>
      <c r="AB1037" s="167"/>
      <c r="AC1037" s="167"/>
      <c r="AD1037" s="167"/>
      <c r="AE1037" s="167"/>
      <c r="AF1037" s="167"/>
      <c r="AG1037" s="167"/>
      <c r="AH1037" s="167"/>
      <c r="AI1037" s="167"/>
      <c r="AJ1037" s="167"/>
      <c r="AK1037" s="167"/>
      <c r="AL1037" s="167"/>
    </row>
    <row r="1038" spans="1:38" ht="15.75" customHeight="1">
      <c r="A1038" s="167"/>
      <c r="B1038" s="167"/>
      <c r="C1038" s="167"/>
      <c r="D1038" s="167"/>
      <c r="E1038" s="167"/>
      <c r="F1038" s="167"/>
      <c r="G1038" s="167"/>
      <c r="H1038" s="167"/>
      <c r="I1038" s="167"/>
      <c r="J1038" s="167"/>
      <c r="K1038" s="167"/>
      <c r="L1038" s="167"/>
      <c r="M1038" s="167"/>
      <c r="N1038" s="167"/>
      <c r="O1038" s="167"/>
      <c r="P1038" s="167"/>
      <c r="Q1038" s="167"/>
      <c r="R1038" s="167"/>
      <c r="S1038" s="167"/>
      <c r="T1038" s="167"/>
      <c r="U1038" s="167"/>
      <c r="V1038" s="167"/>
      <c r="W1038" s="167"/>
      <c r="X1038" s="167"/>
      <c r="Y1038" s="167"/>
      <c r="Z1038" s="167"/>
      <c r="AA1038" s="167"/>
      <c r="AB1038" s="167"/>
      <c r="AC1038" s="167"/>
      <c r="AD1038" s="167"/>
      <c r="AE1038" s="167"/>
      <c r="AF1038" s="167"/>
      <c r="AG1038" s="167"/>
      <c r="AH1038" s="167"/>
      <c r="AI1038" s="167"/>
      <c r="AJ1038" s="167"/>
      <c r="AK1038" s="167"/>
      <c r="AL1038" s="167"/>
    </row>
    <row r="1039" spans="1:38" ht="15.75" customHeight="1">
      <c r="A1039" s="167"/>
      <c r="B1039" s="167"/>
      <c r="C1039" s="167"/>
      <c r="D1039" s="167"/>
      <c r="E1039" s="167"/>
      <c r="F1039" s="167"/>
      <c r="G1039" s="167"/>
      <c r="H1039" s="167"/>
      <c r="I1039" s="167"/>
      <c r="J1039" s="167"/>
      <c r="K1039" s="167"/>
      <c r="L1039" s="167"/>
      <c r="M1039" s="167"/>
      <c r="N1039" s="167"/>
      <c r="O1039" s="167"/>
      <c r="P1039" s="167"/>
      <c r="Q1039" s="167"/>
      <c r="R1039" s="167"/>
      <c r="S1039" s="167"/>
      <c r="T1039" s="167"/>
      <c r="U1039" s="167"/>
      <c r="V1039" s="167"/>
      <c r="W1039" s="167"/>
      <c r="X1039" s="167"/>
      <c r="Y1039" s="167"/>
      <c r="Z1039" s="167"/>
      <c r="AA1039" s="167"/>
      <c r="AB1039" s="167"/>
      <c r="AC1039" s="167"/>
      <c r="AD1039" s="167"/>
      <c r="AE1039" s="167"/>
      <c r="AF1039" s="167"/>
      <c r="AG1039" s="167"/>
      <c r="AH1039" s="167"/>
      <c r="AI1039" s="167"/>
      <c r="AJ1039" s="167"/>
      <c r="AK1039" s="167"/>
      <c r="AL1039" s="167"/>
    </row>
    <row r="1040" spans="1:38" ht="15.75" customHeight="1">
      <c r="A1040" s="167"/>
      <c r="B1040" s="167"/>
      <c r="C1040" s="167"/>
      <c r="D1040" s="167"/>
      <c r="E1040" s="167"/>
      <c r="F1040" s="167"/>
      <c r="G1040" s="167"/>
      <c r="H1040" s="167"/>
      <c r="I1040" s="167"/>
      <c r="J1040" s="167"/>
      <c r="K1040" s="167"/>
      <c r="L1040" s="167"/>
      <c r="M1040" s="167"/>
      <c r="N1040" s="167"/>
      <c r="O1040" s="167"/>
      <c r="P1040" s="167"/>
      <c r="Q1040" s="167"/>
      <c r="R1040" s="167"/>
      <c r="S1040" s="167"/>
      <c r="T1040" s="167"/>
      <c r="U1040" s="167"/>
      <c r="V1040" s="167"/>
      <c r="W1040" s="167"/>
      <c r="X1040" s="167"/>
      <c r="Y1040" s="167"/>
      <c r="Z1040" s="167"/>
      <c r="AA1040" s="167"/>
      <c r="AB1040" s="167"/>
      <c r="AC1040" s="167"/>
      <c r="AD1040" s="167"/>
      <c r="AE1040" s="167"/>
      <c r="AF1040" s="167"/>
      <c r="AG1040" s="167"/>
      <c r="AH1040" s="167"/>
      <c r="AI1040" s="167"/>
      <c r="AJ1040" s="167"/>
      <c r="AK1040" s="167"/>
      <c r="AL1040" s="167"/>
    </row>
    <row r="1041" spans="1:38" ht="15.75" customHeight="1">
      <c r="A1041" s="167"/>
      <c r="B1041" s="167"/>
      <c r="C1041" s="167"/>
      <c r="D1041" s="167"/>
      <c r="E1041" s="167"/>
      <c r="F1041" s="167"/>
      <c r="G1041" s="167"/>
      <c r="H1041" s="167"/>
      <c r="I1041" s="167"/>
      <c r="J1041" s="167"/>
      <c r="K1041" s="167"/>
      <c r="L1041" s="167"/>
      <c r="M1041" s="167"/>
      <c r="N1041" s="167"/>
      <c r="O1041" s="167"/>
      <c r="P1041" s="167"/>
      <c r="Q1041" s="167"/>
      <c r="R1041" s="167"/>
      <c r="S1041" s="167"/>
      <c r="T1041" s="167"/>
      <c r="U1041" s="167"/>
      <c r="V1041" s="167"/>
      <c r="W1041" s="167"/>
      <c r="X1041" s="167"/>
      <c r="Y1041" s="167"/>
      <c r="Z1041" s="167"/>
      <c r="AA1041" s="167"/>
      <c r="AB1041" s="167"/>
      <c r="AC1041" s="167"/>
      <c r="AD1041" s="167"/>
      <c r="AE1041" s="167"/>
      <c r="AF1041" s="167"/>
      <c r="AG1041" s="167"/>
      <c r="AH1041" s="167"/>
      <c r="AI1041" s="167"/>
      <c r="AJ1041" s="167"/>
      <c r="AK1041" s="167"/>
      <c r="AL1041" s="167"/>
    </row>
    <row r="1042" spans="1:38" ht="15.75" customHeight="1">
      <c r="A1042" s="167"/>
      <c r="B1042" s="167"/>
      <c r="C1042" s="167"/>
      <c r="D1042" s="167"/>
      <c r="E1042" s="167"/>
      <c r="F1042" s="167"/>
      <c r="G1042" s="167"/>
      <c r="H1042" s="167"/>
      <c r="I1042" s="167"/>
      <c r="J1042" s="167"/>
      <c r="K1042" s="167"/>
      <c r="L1042" s="167"/>
      <c r="M1042" s="167"/>
      <c r="N1042" s="167"/>
      <c r="O1042" s="167"/>
      <c r="P1042" s="167"/>
      <c r="Q1042" s="167"/>
      <c r="R1042" s="167"/>
      <c r="S1042" s="167"/>
      <c r="T1042" s="167"/>
      <c r="U1042" s="167"/>
      <c r="V1042" s="167"/>
      <c r="W1042" s="167"/>
      <c r="X1042" s="167"/>
      <c r="Y1042" s="167"/>
      <c r="Z1042" s="167"/>
      <c r="AA1042" s="167"/>
      <c r="AB1042" s="167"/>
      <c r="AC1042" s="167"/>
      <c r="AD1042" s="167"/>
      <c r="AE1042" s="167"/>
      <c r="AF1042" s="167"/>
      <c r="AG1042" s="167"/>
      <c r="AH1042" s="167"/>
      <c r="AI1042" s="167"/>
      <c r="AJ1042" s="167"/>
      <c r="AK1042" s="167"/>
      <c r="AL1042" s="167"/>
    </row>
    <row r="1043" spans="1:38" ht="15.75" customHeight="1">
      <c r="A1043" s="167"/>
      <c r="B1043" s="167"/>
      <c r="C1043" s="167"/>
      <c r="D1043" s="167"/>
      <c r="E1043" s="167"/>
      <c r="F1043" s="167"/>
      <c r="G1043" s="167"/>
      <c r="H1043" s="167"/>
      <c r="I1043" s="167"/>
      <c r="J1043" s="167"/>
      <c r="K1043" s="167"/>
      <c r="L1043" s="167"/>
      <c r="M1043" s="167"/>
      <c r="N1043" s="167"/>
      <c r="O1043" s="167"/>
      <c r="P1043" s="167"/>
      <c r="Q1043" s="167"/>
      <c r="R1043" s="167"/>
      <c r="S1043" s="167"/>
      <c r="T1043" s="167"/>
      <c r="U1043" s="167"/>
      <c r="V1043" s="167"/>
      <c r="W1043" s="167"/>
      <c r="X1043" s="167"/>
      <c r="Y1043" s="167"/>
      <c r="Z1043" s="167"/>
      <c r="AA1043" s="167"/>
      <c r="AB1043" s="167"/>
      <c r="AC1043" s="167"/>
      <c r="AD1043" s="167"/>
      <c r="AE1043" s="167"/>
      <c r="AF1043" s="167"/>
      <c r="AG1043" s="167"/>
      <c r="AH1043" s="167"/>
      <c r="AI1043" s="167"/>
      <c r="AJ1043" s="167"/>
      <c r="AK1043" s="167"/>
      <c r="AL1043" s="167"/>
    </row>
    <row r="1044" spans="1:38" ht="15.75" customHeight="1">
      <c r="A1044" s="167"/>
      <c r="B1044" s="167"/>
      <c r="C1044" s="167"/>
      <c r="D1044" s="167"/>
      <c r="E1044" s="167"/>
      <c r="F1044" s="167"/>
      <c r="G1044" s="167"/>
      <c r="H1044" s="167"/>
      <c r="I1044" s="167"/>
      <c r="J1044" s="167"/>
      <c r="K1044" s="167"/>
      <c r="L1044" s="167"/>
      <c r="M1044" s="167"/>
      <c r="N1044" s="167"/>
      <c r="O1044" s="167"/>
      <c r="P1044" s="167"/>
      <c r="Q1044" s="167"/>
      <c r="R1044" s="167"/>
      <c r="S1044" s="167"/>
      <c r="T1044" s="167"/>
      <c r="U1044" s="167"/>
      <c r="V1044" s="167"/>
      <c r="W1044" s="167"/>
      <c r="X1044" s="167"/>
      <c r="Y1044" s="167"/>
      <c r="Z1044" s="167"/>
      <c r="AA1044" s="167"/>
      <c r="AB1044" s="167"/>
      <c r="AC1044" s="167"/>
      <c r="AD1044" s="167"/>
      <c r="AE1044" s="167"/>
      <c r="AF1044" s="167"/>
      <c r="AG1044" s="167"/>
      <c r="AH1044" s="167"/>
      <c r="AI1044" s="167"/>
      <c r="AJ1044" s="167"/>
      <c r="AK1044" s="167"/>
      <c r="AL1044" s="167"/>
    </row>
    <row r="1045" spans="1:38" ht="15.75" customHeight="1">
      <c r="A1045" s="167"/>
      <c r="B1045" s="167"/>
      <c r="C1045" s="167"/>
      <c r="D1045" s="167"/>
      <c r="E1045" s="167"/>
      <c r="F1045" s="167"/>
      <c r="G1045" s="167"/>
      <c r="H1045" s="167"/>
      <c r="I1045" s="167"/>
      <c r="J1045" s="167"/>
      <c r="K1045" s="167"/>
      <c r="L1045" s="167"/>
      <c r="M1045" s="167"/>
      <c r="N1045" s="167"/>
      <c r="O1045" s="167"/>
      <c r="P1045" s="167"/>
      <c r="Q1045" s="167"/>
      <c r="R1045" s="167"/>
      <c r="S1045" s="167"/>
      <c r="T1045" s="167"/>
      <c r="U1045" s="167"/>
      <c r="V1045" s="167"/>
      <c r="W1045" s="167"/>
      <c r="X1045" s="167"/>
      <c r="Y1045" s="167"/>
      <c r="Z1045" s="167"/>
      <c r="AA1045" s="167"/>
      <c r="AB1045" s="167"/>
      <c r="AC1045" s="167"/>
      <c r="AD1045" s="167"/>
      <c r="AE1045" s="167"/>
      <c r="AF1045" s="167"/>
      <c r="AG1045" s="167"/>
      <c r="AH1045" s="167"/>
      <c r="AI1045" s="167"/>
      <c r="AJ1045" s="167"/>
      <c r="AK1045" s="167"/>
      <c r="AL1045" s="167"/>
    </row>
    <row r="1046" spans="1:38" ht="15.75" customHeight="1">
      <c r="A1046" s="167"/>
      <c r="B1046" s="167"/>
      <c r="C1046" s="167"/>
      <c r="D1046" s="167"/>
      <c r="E1046" s="167"/>
      <c r="F1046" s="167"/>
      <c r="G1046" s="167"/>
      <c r="H1046" s="167"/>
      <c r="I1046" s="167"/>
      <c r="J1046" s="167"/>
      <c r="K1046" s="167"/>
      <c r="L1046" s="167"/>
      <c r="M1046" s="167"/>
      <c r="N1046" s="167"/>
      <c r="O1046" s="167"/>
      <c r="P1046" s="167"/>
      <c r="Q1046" s="167"/>
      <c r="R1046" s="167"/>
      <c r="S1046" s="167"/>
      <c r="T1046" s="167"/>
      <c r="U1046" s="167"/>
      <c r="V1046" s="167"/>
      <c r="W1046" s="167"/>
      <c r="X1046" s="167"/>
      <c r="Y1046" s="167"/>
      <c r="Z1046" s="167"/>
      <c r="AA1046" s="167"/>
      <c r="AB1046" s="167"/>
      <c r="AC1046" s="167"/>
      <c r="AD1046" s="167"/>
      <c r="AE1046" s="167"/>
      <c r="AF1046" s="167"/>
      <c r="AG1046" s="167"/>
      <c r="AH1046" s="167"/>
      <c r="AI1046" s="167"/>
      <c r="AJ1046" s="167"/>
      <c r="AK1046" s="167"/>
      <c r="AL1046" s="167"/>
    </row>
    <row r="1047" spans="1:38" ht="15.75" customHeight="1">
      <c r="A1047" s="167"/>
      <c r="B1047" s="167"/>
      <c r="C1047" s="167"/>
      <c r="D1047" s="167"/>
      <c r="E1047" s="167"/>
      <c r="F1047" s="167"/>
      <c r="G1047" s="167"/>
      <c r="H1047" s="167"/>
      <c r="I1047" s="167"/>
      <c r="J1047" s="167"/>
      <c r="K1047" s="167"/>
      <c r="L1047" s="167"/>
      <c r="M1047" s="167"/>
      <c r="N1047" s="167"/>
      <c r="O1047" s="167"/>
      <c r="P1047" s="167"/>
      <c r="Q1047" s="167"/>
      <c r="R1047" s="167"/>
      <c r="S1047" s="167"/>
      <c r="T1047" s="167"/>
      <c r="U1047" s="167"/>
      <c r="V1047" s="167"/>
      <c r="W1047" s="167"/>
      <c r="X1047" s="167"/>
      <c r="Y1047" s="167"/>
      <c r="Z1047" s="167"/>
      <c r="AA1047" s="167"/>
      <c r="AB1047" s="167"/>
      <c r="AC1047" s="167"/>
      <c r="AD1047" s="167"/>
      <c r="AE1047" s="167"/>
      <c r="AF1047" s="167"/>
      <c r="AG1047" s="167"/>
      <c r="AH1047" s="167"/>
      <c r="AI1047" s="167"/>
      <c r="AJ1047" s="167"/>
      <c r="AK1047" s="167"/>
      <c r="AL1047" s="167"/>
    </row>
    <row r="1048" spans="1:38" ht="15.75" customHeight="1">
      <c r="A1048" s="167"/>
      <c r="B1048" s="167"/>
      <c r="C1048" s="167"/>
      <c r="D1048" s="167"/>
      <c r="E1048" s="167"/>
      <c r="F1048" s="167"/>
      <c r="G1048" s="167"/>
      <c r="H1048" s="167"/>
      <c r="I1048" s="167"/>
      <c r="J1048" s="167"/>
      <c r="K1048" s="167"/>
      <c r="L1048" s="167"/>
      <c r="M1048" s="167"/>
      <c r="N1048" s="167"/>
      <c r="O1048" s="167"/>
      <c r="P1048" s="167"/>
      <c r="Q1048" s="167"/>
      <c r="R1048" s="167"/>
      <c r="S1048" s="167"/>
      <c r="T1048" s="167"/>
      <c r="U1048" s="167"/>
      <c r="V1048" s="167"/>
      <c r="W1048" s="167"/>
      <c r="X1048" s="167"/>
      <c r="Y1048" s="167"/>
      <c r="Z1048" s="167"/>
      <c r="AA1048" s="167"/>
      <c r="AB1048" s="167"/>
      <c r="AC1048" s="167"/>
      <c r="AD1048" s="167"/>
      <c r="AE1048" s="167"/>
      <c r="AF1048" s="167"/>
      <c r="AG1048" s="167"/>
      <c r="AH1048" s="167"/>
      <c r="AI1048" s="167"/>
      <c r="AJ1048" s="167"/>
      <c r="AK1048" s="167"/>
      <c r="AL1048" s="167"/>
    </row>
    <row r="1049" spans="1:38" ht="15.75" customHeight="1">
      <c r="A1049" s="167"/>
      <c r="B1049" s="167"/>
      <c r="C1049" s="167"/>
      <c r="D1049" s="167"/>
      <c r="E1049" s="167"/>
      <c r="F1049" s="167"/>
      <c r="G1049" s="167"/>
      <c r="H1049" s="167"/>
      <c r="I1049" s="167"/>
      <c r="J1049" s="167"/>
      <c r="K1049" s="167"/>
      <c r="L1049" s="167"/>
      <c r="M1049" s="167"/>
      <c r="N1049" s="167"/>
      <c r="O1049" s="167"/>
      <c r="P1049" s="167"/>
      <c r="Q1049" s="167"/>
      <c r="R1049" s="167"/>
      <c r="S1049" s="167"/>
      <c r="T1049" s="167"/>
      <c r="U1049" s="167"/>
      <c r="V1049" s="167"/>
      <c r="W1049" s="167"/>
      <c r="X1049" s="167"/>
      <c r="Y1049" s="167"/>
      <c r="Z1049" s="167"/>
      <c r="AA1049" s="167"/>
      <c r="AB1049" s="167"/>
      <c r="AC1049" s="167"/>
      <c r="AD1049" s="167"/>
      <c r="AE1049" s="167"/>
      <c r="AF1049" s="167"/>
      <c r="AG1049" s="167"/>
      <c r="AH1049" s="167"/>
      <c r="AI1049" s="167"/>
      <c r="AJ1049" s="167"/>
      <c r="AK1049" s="167"/>
      <c r="AL1049" s="167"/>
    </row>
    <row r="1050" spans="1:38" ht="15.75" customHeight="1">
      <c r="A1050" s="167"/>
      <c r="B1050" s="167"/>
      <c r="C1050" s="167"/>
      <c r="D1050" s="167"/>
      <c r="E1050" s="167"/>
      <c r="F1050" s="167"/>
      <c r="G1050" s="167"/>
      <c r="H1050" s="167"/>
      <c r="I1050" s="167"/>
      <c r="J1050" s="167"/>
      <c r="K1050" s="167"/>
      <c r="L1050" s="167"/>
      <c r="M1050" s="167"/>
      <c r="N1050" s="167"/>
      <c r="O1050" s="167"/>
      <c r="P1050" s="167"/>
      <c r="Q1050" s="167"/>
      <c r="R1050" s="167"/>
      <c r="S1050" s="167"/>
      <c r="T1050" s="167"/>
      <c r="U1050" s="167"/>
      <c r="V1050" s="167"/>
      <c r="W1050" s="167"/>
      <c r="X1050" s="167"/>
      <c r="Y1050" s="167"/>
      <c r="Z1050" s="167"/>
      <c r="AA1050" s="167"/>
      <c r="AB1050" s="167"/>
      <c r="AC1050" s="167"/>
      <c r="AD1050" s="167"/>
      <c r="AE1050" s="167"/>
      <c r="AF1050" s="167"/>
      <c r="AG1050" s="167"/>
      <c r="AH1050" s="167"/>
      <c r="AI1050" s="167"/>
      <c r="AJ1050" s="167"/>
      <c r="AK1050" s="167"/>
      <c r="AL1050" s="167"/>
    </row>
    <row r="1051" spans="1:38" ht="15.75" customHeight="1">
      <c r="A1051" s="167"/>
      <c r="B1051" s="167"/>
      <c r="C1051" s="167"/>
      <c r="D1051" s="167"/>
      <c r="E1051" s="167"/>
      <c r="F1051" s="167"/>
      <c r="G1051" s="167"/>
      <c r="H1051" s="167"/>
      <c r="I1051" s="167"/>
      <c r="J1051" s="167"/>
      <c r="K1051" s="167"/>
      <c r="L1051" s="167"/>
      <c r="M1051" s="167"/>
      <c r="N1051" s="167"/>
      <c r="O1051" s="167"/>
      <c r="P1051" s="167"/>
      <c r="Q1051" s="167"/>
      <c r="R1051" s="167"/>
      <c r="S1051" s="167"/>
      <c r="T1051" s="167"/>
      <c r="U1051" s="167"/>
      <c r="V1051" s="167"/>
      <c r="W1051" s="167"/>
      <c r="X1051" s="167"/>
      <c r="Y1051" s="167"/>
      <c r="Z1051" s="167"/>
      <c r="AA1051" s="167"/>
      <c r="AB1051" s="167"/>
      <c r="AC1051" s="167"/>
      <c r="AD1051" s="167"/>
      <c r="AE1051" s="167"/>
      <c r="AF1051" s="167"/>
      <c r="AG1051" s="167"/>
      <c r="AH1051" s="167"/>
      <c r="AI1051" s="167"/>
      <c r="AJ1051" s="167"/>
      <c r="AK1051" s="167"/>
      <c r="AL1051" s="167"/>
    </row>
    <row r="1052" spans="1:38" ht="15.75" customHeight="1">
      <c r="A1052" s="167"/>
      <c r="B1052" s="167"/>
      <c r="C1052" s="167"/>
      <c r="D1052" s="167"/>
      <c r="E1052" s="167"/>
      <c r="F1052" s="167"/>
      <c r="G1052" s="167"/>
      <c r="H1052" s="167"/>
      <c r="I1052" s="167"/>
      <c r="J1052" s="167"/>
      <c r="K1052" s="167"/>
      <c r="L1052" s="167"/>
      <c r="M1052" s="167"/>
      <c r="N1052" s="167"/>
      <c r="O1052" s="167"/>
      <c r="P1052" s="167"/>
      <c r="Q1052" s="167"/>
      <c r="R1052" s="167"/>
      <c r="S1052" s="167"/>
      <c r="T1052" s="167"/>
      <c r="U1052" s="167"/>
      <c r="V1052" s="167"/>
      <c r="W1052" s="167"/>
      <c r="X1052" s="167"/>
      <c r="Y1052" s="167"/>
      <c r="Z1052" s="167"/>
      <c r="AA1052" s="167"/>
      <c r="AB1052" s="167"/>
      <c r="AC1052" s="167"/>
      <c r="AD1052" s="167"/>
      <c r="AE1052" s="167"/>
      <c r="AF1052" s="167"/>
      <c r="AG1052" s="167"/>
      <c r="AH1052" s="167"/>
      <c r="AI1052" s="167"/>
      <c r="AJ1052" s="167"/>
      <c r="AK1052" s="167"/>
      <c r="AL1052" s="167"/>
    </row>
    <row r="1053" spans="1:38" ht="15.75" customHeight="1">
      <c r="A1053" s="167"/>
      <c r="B1053" s="167"/>
      <c r="C1053" s="167"/>
      <c r="D1053" s="167"/>
      <c r="E1053" s="167"/>
      <c r="F1053" s="167"/>
      <c r="G1053" s="167"/>
      <c r="H1053" s="167"/>
      <c r="I1053" s="167"/>
      <c r="J1053" s="167"/>
      <c r="K1053" s="167"/>
      <c r="L1053" s="167"/>
      <c r="M1053" s="167"/>
      <c r="N1053" s="167"/>
      <c r="O1053" s="167"/>
      <c r="P1053" s="167"/>
      <c r="Q1053" s="167"/>
      <c r="R1053" s="167"/>
      <c r="S1053" s="167"/>
      <c r="T1053" s="167"/>
      <c r="U1053" s="167"/>
      <c r="V1053" s="167"/>
      <c r="W1053" s="167"/>
      <c r="X1053" s="167"/>
      <c r="Y1053" s="167"/>
      <c r="Z1053" s="167"/>
      <c r="AA1053" s="167"/>
      <c r="AB1053" s="167"/>
      <c r="AC1053" s="167"/>
      <c r="AD1053" s="167"/>
      <c r="AE1053" s="167"/>
      <c r="AF1053" s="167"/>
      <c r="AG1053" s="167"/>
      <c r="AH1053" s="167"/>
      <c r="AI1053" s="167"/>
      <c r="AJ1053" s="167"/>
      <c r="AK1053" s="167"/>
      <c r="AL1053" s="167"/>
    </row>
    <row r="1054" spans="1:38" ht="15.75" customHeight="1">
      <c r="A1054" s="167"/>
      <c r="B1054" s="167"/>
      <c r="C1054" s="167"/>
      <c r="D1054" s="167"/>
      <c r="E1054" s="167"/>
      <c r="F1054" s="167"/>
      <c r="G1054" s="167"/>
      <c r="H1054" s="167"/>
      <c r="I1054" s="167"/>
      <c r="J1054" s="167"/>
      <c r="K1054" s="167"/>
      <c r="L1054" s="167"/>
      <c r="M1054" s="167"/>
      <c r="N1054" s="167"/>
      <c r="O1054" s="167"/>
      <c r="P1054" s="167"/>
      <c r="Q1054" s="167"/>
      <c r="R1054" s="167"/>
      <c r="S1054" s="167"/>
      <c r="T1054" s="167"/>
      <c r="U1054" s="167"/>
      <c r="V1054" s="167"/>
      <c r="W1054" s="167"/>
      <c r="X1054" s="167"/>
      <c r="Y1054" s="167"/>
      <c r="Z1054" s="167"/>
      <c r="AA1054" s="167"/>
      <c r="AB1054" s="167"/>
      <c r="AC1054" s="167"/>
      <c r="AD1054" s="167"/>
      <c r="AE1054" s="167"/>
      <c r="AF1054" s="167"/>
      <c r="AG1054" s="167"/>
      <c r="AH1054" s="167"/>
      <c r="AI1054" s="167"/>
      <c r="AJ1054" s="167"/>
      <c r="AK1054" s="167"/>
      <c r="AL1054" s="167"/>
    </row>
    <row r="1055" spans="1:38" ht="15.75" customHeight="1">
      <c r="A1055" s="167"/>
      <c r="B1055" s="167"/>
      <c r="C1055" s="167"/>
      <c r="D1055" s="167"/>
      <c r="E1055" s="167"/>
      <c r="F1055" s="167"/>
      <c r="G1055" s="167"/>
      <c r="H1055" s="167"/>
      <c r="I1055" s="167"/>
      <c r="J1055" s="167"/>
      <c r="K1055" s="167"/>
      <c r="L1055" s="167"/>
      <c r="M1055" s="167"/>
      <c r="N1055" s="167"/>
      <c r="O1055" s="167"/>
      <c r="P1055" s="167"/>
      <c r="Q1055" s="167"/>
      <c r="R1055" s="167"/>
      <c r="S1055" s="167"/>
      <c r="T1055" s="167"/>
      <c r="U1055" s="167"/>
      <c r="V1055" s="167"/>
      <c r="W1055" s="167"/>
      <c r="X1055" s="167"/>
      <c r="Y1055" s="167"/>
      <c r="Z1055" s="167"/>
      <c r="AA1055" s="167"/>
      <c r="AB1055" s="167"/>
      <c r="AC1055" s="167"/>
      <c r="AD1055" s="167"/>
      <c r="AE1055" s="167"/>
      <c r="AF1055" s="167"/>
      <c r="AG1055" s="167"/>
      <c r="AH1055" s="167"/>
      <c r="AI1055" s="167"/>
      <c r="AJ1055" s="167"/>
      <c r="AK1055" s="167"/>
      <c r="AL1055" s="167"/>
    </row>
    <row r="1056" spans="1:38" ht="15.75" customHeight="1">
      <c r="A1056" s="167"/>
      <c r="B1056" s="167"/>
      <c r="C1056" s="167"/>
      <c r="D1056" s="167"/>
      <c r="E1056" s="167"/>
      <c r="F1056" s="167"/>
      <c r="G1056" s="167"/>
      <c r="H1056" s="167"/>
      <c r="I1056" s="167"/>
      <c r="J1056" s="167"/>
      <c r="K1056" s="167"/>
      <c r="L1056" s="167"/>
      <c r="M1056" s="167"/>
      <c r="N1056" s="167"/>
      <c r="O1056" s="167"/>
      <c r="P1056" s="167"/>
      <c r="Q1056" s="167"/>
      <c r="R1056" s="167"/>
      <c r="S1056" s="167"/>
      <c r="T1056" s="167"/>
      <c r="U1056" s="167"/>
      <c r="V1056" s="167"/>
      <c r="W1056" s="167"/>
      <c r="X1056" s="167"/>
      <c r="Y1056" s="167"/>
      <c r="Z1056" s="167"/>
      <c r="AA1056" s="167"/>
      <c r="AB1056" s="167"/>
      <c r="AC1056" s="167"/>
      <c r="AD1056" s="167"/>
      <c r="AE1056" s="167"/>
      <c r="AF1056" s="167"/>
      <c r="AG1056" s="167"/>
      <c r="AH1056" s="167"/>
      <c r="AI1056" s="167"/>
      <c r="AJ1056" s="167"/>
      <c r="AK1056" s="167"/>
      <c r="AL1056" s="167"/>
    </row>
    <row r="1057" spans="1:38" ht="15.75" customHeight="1">
      <c r="A1057" s="167"/>
      <c r="B1057" s="167"/>
      <c r="C1057" s="167"/>
      <c r="D1057" s="167"/>
      <c r="E1057" s="167"/>
      <c r="F1057" s="167"/>
      <c r="G1057" s="167"/>
      <c r="H1057" s="167"/>
      <c r="I1057" s="167"/>
      <c r="J1057" s="167"/>
      <c r="K1057" s="167"/>
      <c r="L1057" s="167"/>
      <c r="M1057" s="167"/>
      <c r="N1057" s="167"/>
      <c r="O1057" s="167"/>
      <c r="P1057" s="167"/>
      <c r="Q1057" s="167"/>
      <c r="R1057" s="167"/>
      <c r="S1057" s="167"/>
      <c r="T1057" s="167"/>
      <c r="U1057" s="167"/>
      <c r="V1057" s="167"/>
      <c r="W1057" s="167"/>
      <c r="X1057" s="167"/>
      <c r="Y1057" s="167"/>
      <c r="Z1057" s="167"/>
      <c r="AA1057" s="167"/>
      <c r="AB1057" s="167"/>
      <c r="AC1057" s="167"/>
      <c r="AD1057" s="167"/>
      <c r="AE1057" s="167"/>
      <c r="AF1057" s="167"/>
      <c r="AG1057" s="167"/>
      <c r="AH1057" s="167"/>
      <c r="AI1057" s="167"/>
      <c r="AJ1057" s="167"/>
      <c r="AK1057" s="167"/>
      <c r="AL1057" s="167"/>
    </row>
    <row r="1058" spans="1:38" ht="15.75" customHeight="1">
      <c r="A1058" s="167"/>
      <c r="B1058" s="167"/>
      <c r="C1058" s="167"/>
      <c r="D1058" s="167"/>
      <c r="E1058" s="167"/>
      <c r="F1058" s="167"/>
      <c r="G1058" s="167"/>
      <c r="H1058" s="167"/>
      <c r="I1058" s="167"/>
      <c r="J1058" s="167"/>
      <c r="K1058" s="167"/>
      <c r="L1058" s="167"/>
      <c r="M1058" s="167"/>
      <c r="N1058" s="167"/>
      <c r="O1058" s="167"/>
      <c r="P1058" s="167"/>
      <c r="Q1058" s="167"/>
      <c r="R1058" s="167"/>
      <c r="S1058" s="167"/>
      <c r="T1058" s="167"/>
      <c r="U1058" s="167"/>
      <c r="V1058" s="167"/>
      <c r="W1058" s="167"/>
      <c r="X1058" s="167"/>
      <c r="Y1058" s="167"/>
      <c r="Z1058" s="167"/>
      <c r="AA1058" s="167"/>
      <c r="AB1058" s="167"/>
      <c r="AC1058" s="167"/>
      <c r="AD1058" s="167"/>
      <c r="AE1058" s="167"/>
      <c r="AF1058" s="167"/>
      <c r="AG1058" s="167"/>
      <c r="AH1058" s="167"/>
      <c r="AI1058" s="167"/>
      <c r="AJ1058" s="167"/>
      <c r="AK1058" s="167"/>
      <c r="AL1058" s="167"/>
    </row>
    <row r="1059" spans="1:38" ht="15.75" customHeight="1">
      <c r="A1059" s="167"/>
      <c r="B1059" s="167"/>
      <c r="C1059" s="167"/>
      <c r="D1059" s="167"/>
      <c r="E1059" s="167"/>
      <c r="F1059" s="167"/>
      <c r="G1059" s="167"/>
      <c r="H1059" s="167"/>
      <c r="I1059" s="167"/>
      <c r="J1059" s="167"/>
      <c r="K1059" s="167"/>
      <c r="L1059" s="167"/>
      <c r="M1059" s="167"/>
      <c r="N1059" s="167"/>
      <c r="O1059" s="167"/>
      <c r="P1059" s="167"/>
      <c r="Q1059" s="167"/>
      <c r="R1059" s="167"/>
      <c r="S1059" s="167"/>
      <c r="T1059" s="167"/>
      <c r="U1059" s="167"/>
      <c r="V1059" s="167"/>
      <c r="W1059" s="167"/>
      <c r="X1059" s="167"/>
      <c r="Y1059" s="167"/>
      <c r="Z1059" s="167"/>
      <c r="AA1059" s="167"/>
      <c r="AB1059" s="167"/>
      <c r="AC1059" s="167"/>
      <c r="AD1059" s="167"/>
      <c r="AE1059" s="167"/>
      <c r="AF1059" s="167"/>
      <c r="AG1059" s="167"/>
      <c r="AH1059" s="167"/>
      <c r="AI1059" s="167"/>
      <c r="AJ1059" s="167"/>
      <c r="AK1059" s="167"/>
      <c r="AL1059" s="167"/>
    </row>
    <row r="1060" spans="1:38" ht="15.75" customHeight="1">
      <c r="A1060" s="167"/>
      <c r="B1060" s="167"/>
      <c r="C1060" s="167"/>
      <c r="D1060" s="167"/>
      <c r="E1060" s="167"/>
      <c r="F1060" s="167"/>
      <c r="G1060" s="167"/>
      <c r="H1060" s="167"/>
      <c r="I1060" s="167"/>
      <c r="J1060" s="167"/>
      <c r="K1060" s="167"/>
      <c r="L1060" s="167"/>
      <c r="M1060" s="167"/>
      <c r="N1060" s="167"/>
      <c r="O1060" s="167"/>
      <c r="P1060" s="167"/>
      <c r="Q1060" s="167"/>
      <c r="R1060" s="167"/>
      <c r="S1060" s="167"/>
      <c r="T1060" s="167"/>
      <c r="U1060" s="167"/>
      <c r="V1060" s="167"/>
      <c r="W1060" s="167"/>
      <c r="X1060" s="167"/>
      <c r="Y1060" s="167"/>
      <c r="Z1060" s="167"/>
      <c r="AA1060" s="167"/>
      <c r="AB1060" s="167"/>
      <c r="AC1060" s="167"/>
      <c r="AD1060" s="167"/>
      <c r="AE1060" s="167"/>
      <c r="AF1060" s="167"/>
      <c r="AG1060" s="167"/>
      <c r="AH1060" s="167"/>
      <c r="AI1060" s="167"/>
      <c r="AJ1060" s="167"/>
      <c r="AK1060" s="167"/>
      <c r="AL1060" s="167"/>
    </row>
    <row r="1061" spans="1:38" ht="15.75" customHeight="1">
      <c r="A1061" s="167"/>
      <c r="B1061" s="167"/>
      <c r="C1061" s="167"/>
      <c r="D1061" s="167"/>
      <c r="E1061" s="167"/>
      <c r="F1061" s="167"/>
      <c r="G1061" s="167"/>
      <c r="H1061" s="167"/>
      <c r="I1061" s="167"/>
      <c r="J1061" s="167"/>
      <c r="K1061" s="167"/>
      <c r="L1061" s="167"/>
      <c r="M1061" s="167"/>
      <c r="N1061" s="167"/>
      <c r="O1061" s="167"/>
      <c r="P1061" s="167"/>
      <c r="Q1061" s="167"/>
      <c r="R1061" s="167"/>
      <c r="S1061" s="167"/>
      <c r="T1061" s="167"/>
      <c r="U1061" s="167"/>
      <c r="V1061" s="167"/>
      <c r="W1061" s="167"/>
      <c r="X1061" s="167"/>
      <c r="Y1061" s="167"/>
      <c r="Z1061" s="167"/>
      <c r="AA1061" s="167"/>
      <c r="AB1061" s="167"/>
      <c r="AC1061" s="167"/>
      <c r="AD1061" s="167"/>
      <c r="AE1061" s="167"/>
      <c r="AF1061" s="167"/>
      <c r="AG1061" s="167"/>
      <c r="AH1061" s="167"/>
      <c r="AI1061" s="167"/>
      <c r="AJ1061" s="167"/>
      <c r="AK1061" s="167"/>
      <c r="AL1061" s="167"/>
    </row>
    <row r="1062" spans="1:38" ht="15.75" customHeight="1">
      <c r="A1062" s="167"/>
      <c r="B1062" s="167"/>
      <c r="C1062" s="167"/>
      <c r="D1062" s="167"/>
      <c r="E1062" s="167"/>
      <c r="F1062" s="167"/>
      <c r="G1062" s="167"/>
      <c r="H1062" s="167"/>
      <c r="I1062" s="167"/>
      <c r="J1062" s="167"/>
      <c r="K1062" s="167"/>
      <c r="L1062" s="167"/>
      <c r="M1062" s="167"/>
      <c r="N1062" s="167"/>
      <c r="O1062" s="167"/>
      <c r="P1062" s="167"/>
      <c r="Q1062" s="167"/>
      <c r="R1062" s="167"/>
      <c r="S1062" s="167"/>
      <c r="T1062" s="167"/>
      <c r="U1062" s="167"/>
      <c r="V1062" s="167"/>
      <c r="W1062" s="167"/>
      <c r="X1062" s="167"/>
      <c r="Y1062" s="167"/>
      <c r="Z1062" s="167"/>
      <c r="AA1062" s="167"/>
      <c r="AB1062" s="167"/>
      <c r="AC1062" s="167"/>
      <c r="AD1062" s="167"/>
      <c r="AE1062" s="167"/>
      <c r="AF1062" s="167"/>
      <c r="AG1062" s="167"/>
      <c r="AH1062" s="167"/>
      <c r="AI1062" s="167"/>
      <c r="AJ1062" s="167"/>
      <c r="AK1062" s="167"/>
      <c r="AL1062" s="167"/>
    </row>
    <row r="1063" spans="1:38" ht="15.75" customHeight="1">
      <c r="A1063" s="167"/>
      <c r="B1063" s="167"/>
      <c r="C1063" s="167"/>
      <c r="D1063" s="167"/>
      <c r="E1063" s="167"/>
      <c r="F1063" s="167"/>
      <c r="G1063" s="167"/>
      <c r="H1063" s="167"/>
      <c r="I1063" s="167"/>
      <c r="J1063" s="167"/>
      <c r="K1063" s="167"/>
      <c r="L1063" s="167"/>
      <c r="M1063" s="167"/>
      <c r="N1063" s="167"/>
      <c r="O1063" s="167"/>
      <c r="P1063" s="167"/>
      <c r="Q1063" s="167"/>
      <c r="R1063" s="167"/>
      <c r="S1063" s="167"/>
      <c r="T1063" s="167"/>
      <c r="U1063" s="167"/>
      <c r="V1063" s="167"/>
      <c r="W1063" s="167"/>
      <c r="X1063" s="167"/>
      <c r="Y1063" s="167"/>
      <c r="Z1063" s="167"/>
      <c r="AA1063" s="167"/>
      <c r="AB1063" s="167"/>
      <c r="AC1063" s="167"/>
      <c r="AD1063" s="167"/>
      <c r="AE1063" s="167"/>
      <c r="AF1063" s="167"/>
      <c r="AG1063" s="167"/>
      <c r="AH1063" s="167"/>
      <c r="AI1063" s="167"/>
      <c r="AJ1063" s="167"/>
      <c r="AK1063" s="167"/>
      <c r="AL1063" s="167"/>
    </row>
    <row r="1064" spans="1:38" ht="15.75" customHeight="1">
      <c r="A1064" s="167"/>
      <c r="B1064" s="167"/>
      <c r="C1064" s="167"/>
      <c r="D1064" s="167"/>
      <c r="E1064" s="167"/>
      <c r="F1064" s="167"/>
      <c r="G1064" s="167"/>
      <c r="H1064" s="167"/>
      <c r="I1064" s="167"/>
      <c r="J1064" s="167"/>
      <c r="K1064" s="167"/>
      <c r="L1064" s="167"/>
      <c r="M1064" s="167"/>
      <c r="N1064" s="167"/>
      <c r="O1064" s="167"/>
      <c r="P1064" s="167"/>
      <c r="Q1064" s="167"/>
      <c r="R1064" s="167"/>
      <c r="S1064" s="167"/>
      <c r="T1064" s="167"/>
      <c r="U1064" s="167"/>
      <c r="V1064" s="167"/>
      <c r="W1064" s="167"/>
      <c r="X1064" s="167"/>
      <c r="Y1064" s="167"/>
      <c r="Z1064" s="167"/>
      <c r="AA1064" s="167"/>
      <c r="AB1064" s="167"/>
      <c r="AC1064" s="167"/>
      <c r="AD1064" s="167"/>
      <c r="AE1064" s="167"/>
      <c r="AF1064" s="167"/>
      <c r="AG1064" s="167"/>
      <c r="AH1064" s="167"/>
      <c r="AI1064" s="167"/>
      <c r="AJ1064" s="167"/>
      <c r="AK1064" s="167"/>
      <c r="AL1064" s="167"/>
    </row>
    <row r="1065" spans="1:38" ht="15.75" customHeight="1">
      <c r="A1065" s="167"/>
      <c r="B1065" s="167"/>
      <c r="C1065" s="167"/>
      <c r="D1065" s="167"/>
      <c r="E1065" s="167"/>
      <c r="F1065" s="167"/>
      <c r="G1065" s="167"/>
      <c r="H1065" s="167"/>
      <c r="I1065" s="167"/>
      <c r="J1065" s="167"/>
      <c r="K1065" s="167"/>
      <c r="L1065" s="167"/>
      <c r="M1065" s="167"/>
      <c r="N1065" s="167"/>
      <c r="O1065" s="167"/>
      <c r="P1065" s="167"/>
      <c r="Q1065" s="167"/>
      <c r="R1065" s="167"/>
      <c r="S1065" s="167"/>
      <c r="T1065" s="167"/>
      <c r="U1065" s="167"/>
      <c r="V1065" s="167"/>
      <c r="W1065" s="167"/>
      <c r="X1065" s="167"/>
      <c r="Y1065" s="167"/>
      <c r="Z1065" s="167"/>
      <c r="AA1065" s="167"/>
      <c r="AB1065" s="167"/>
      <c r="AC1065" s="167"/>
      <c r="AD1065" s="167"/>
      <c r="AE1065" s="167"/>
      <c r="AF1065" s="167"/>
      <c r="AG1065" s="167"/>
      <c r="AH1065" s="167"/>
      <c r="AI1065" s="167"/>
      <c r="AJ1065" s="167"/>
      <c r="AK1065" s="167"/>
      <c r="AL1065" s="167"/>
    </row>
    <row r="1066" spans="1:38" ht="15.75" customHeight="1">
      <c r="A1066" s="167"/>
      <c r="B1066" s="167"/>
      <c r="C1066" s="167"/>
      <c r="D1066" s="167"/>
      <c r="E1066" s="167"/>
      <c r="F1066" s="167"/>
      <c r="G1066" s="167"/>
      <c r="H1066" s="167"/>
      <c r="I1066" s="167"/>
      <c r="J1066" s="167"/>
      <c r="K1066" s="167"/>
      <c r="L1066" s="167"/>
      <c r="M1066" s="167"/>
      <c r="N1066" s="167"/>
      <c r="O1066" s="167"/>
      <c r="P1066" s="167"/>
      <c r="Q1066" s="167"/>
      <c r="R1066" s="167"/>
      <c r="S1066" s="167"/>
      <c r="T1066" s="167"/>
      <c r="U1066" s="167"/>
      <c r="V1066" s="167"/>
      <c r="W1066" s="167"/>
      <c r="X1066" s="167"/>
      <c r="Y1066" s="167"/>
      <c r="Z1066" s="167"/>
      <c r="AA1066" s="167"/>
      <c r="AB1066" s="167"/>
      <c r="AC1066" s="167"/>
      <c r="AD1066" s="167"/>
      <c r="AE1066" s="167"/>
      <c r="AF1066" s="167"/>
      <c r="AG1066" s="167"/>
      <c r="AH1066" s="167"/>
      <c r="AI1066" s="167"/>
      <c r="AJ1066" s="167"/>
      <c r="AK1066" s="167"/>
      <c r="AL1066" s="167"/>
    </row>
    <row r="1067" spans="1:38" ht="15.75" customHeight="1">
      <c r="A1067" s="167"/>
      <c r="B1067" s="167"/>
      <c r="C1067" s="167"/>
      <c r="D1067" s="167"/>
      <c r="E1067" s="167"/>
      <c r="F1067" s="167"/>
      <c r="G1067" s="167"/>
      <c r="H1067" s="167"/>
      <c r="I1067" s="167"/>
      <c r="J1067" s="167"/>
      <c r="K1067" s="167"/>
      <c r="L1067" s="167"/>
      <c r="M1067" s="167"/>
      <c r="N1067" s="167"/>
      <c r="O1067" s="167"/>
      <c r="P1067" s="167"/>
      <c r="Q1067" s="167"/>
      <c r="R1067" s="167"/>
      <c r="S1067" s="167"/>
      <c r="T1067" s="167"/>
      <c r="U1067" s="167"/>
      <c r="V1067" s="167"/>
      <c r="W1067" s="167"/>
      <c r="X1067" s="167"/>
      <c r="Y1067" s="167"/>
      <c r="Z1067" s="167"/>
      <c r="AA1067" s="167"/>
      <c r="AB1067" s="167"/>
      <c r="AC1067" s="167"/>
      <c r="AD1067" s="167"/>
      <c r="AE1067" s="167"/>
      <c r="AF1067" s="167"/>
      <c r="AG1067" s="167"/>
      <c r="AH1067" s="167"/>
      <c r="AI1067" s="167"/>
      <c r="AJ1067" s="167"/>
      <c r="AK1067" s="167"/>
      <c r="AL1067" s="167"/>
    </row>
    <row r="1068" spans="1:38" ht="15.75" customHeight="1">
      <c r="A1068" s="167"/>
      <c r="B1068" s="167"/>
      <c r="C1068" s="167"/>
      <c r="D1068" s="167"/>
      <c r="E1068" s="167"/>
      <c r="F1068" s="167"/>
      <c r="G1068" s="167"/>
      <c r="H1068" s="167"/>
      <c r="I1068" s="167"/>
      <c r="J1068" s="167"/>
      <c r="K1068" s="167"/>
      <c r="L1068" s="167"/>
      <c r="M1068" s="167"/>
      <c r="N1068" s="167"/>
      <c r="O1068" s="167"/>
      <c r="P1068" s="167"/>
      <c r="Q1068" s="167"/>
      <c r="R1068" s="167"/>
      <c r="S1068" s="167"/>
      <c r="T1068" s="167"/>
      <c r="U1068" s="167"/>
      <c r="V1068" s="167"/>
      <c r="W1068" s="167"/>
      <c r="X1068" s="167"/>
      <c r="Y1068" s="167"/>
      <c r="Z1068" s="167"/>
      <c r="AA1068" s="167"/>
      <c r="AB1068" s="167"/>
      <c r="AC1068" s="167"/>
      <c r="AD1068" s="167"/>
      <c r="AE1068" s="167"/>
      <c r="AF1068" s="167"/>
      <c r="AG1068" s="167"/>
      <c r="AH1068" s="167"/>
      <c r="AI1068" s="167"/>
      <c r="AJ1068" s="167"/>
      <c r="AK1068" s="167"/>
      <c r="AL1068" s="167"/>
    </row>
    <row r="1069" spans="1:38" ht="15.75" customHeight="1">
      <c r="A1069" s="167"/>
      <c r="B1069" s="167"/>
      <c r="C1069" s="167"/>
      <c r="D1069" s="167"/>
      <c r="E1069" s="167"/>
      <c r="F1069" s="167"/>
      <c r="G1069" s="167"/>
      <c r="H1069" s="167"/>
      <c r="I1069" s="167"/>
      <c r="J1069" s="167"/>
      <c r="K1069" s="167"/>
      <c r="L1069" s="167"/>
      <c r="M1069" s="167"/>
      <c r="N1069" s="167"/>
      <c r="O1069" s="167"/>
      <c r="P1069" s="167"/>
      <c r="Q1069" s="167"/>
      <c r="R1069" s="167"/>
      <c r="S1069" s="167"/>
      <c r="T1069" s="167"/>
      <c r="U1069" s="167"/>
      <c r="V1069" s="167"/>
      <c r="W1069" s="167"/>
      <c r="X1069" s="167"/>
      <c r="Y1069" s="167"/>
      <c r="Z1069" s="167"/>
      <c r="AA1069" s="167"/>
      <c r="AB1069" s="167"/>
      <c r="AC1069" s="167"/>
      <c r="AD1069" s="167"/>
      <c r="AE1069" s="167"/>
      <c r="AF1069" s="167"/>
      <c r="AG1069" s="167"/>
      <c r="AH1069" s="167"/>
      <c r="AI1069" s="167"/>
      <c r="AJ1069" s="167"/>
      <c r="AK1069" s="167"/>
      <c r="AL1069" s="167"/>
    </row>
    <row r="1070" spans="1:38" ht="15.75" customHeight="1">
      <c r="A1070" s="167"/>
      <c r="B1070" s="167"/>
      <c r="C1070" s="167"/>
      <c r="D1070" s="167"/>
      <c r="E1070" s="167"/>
      <c r="F1070" s="167"/>
      <c r="G1070" s="167"/>
      <c r="H1070" s="167"/>
      <c r="I1070" s="167"/>
      <c r="J1070" s="167"/>
      <c r="K1070" s="167"/>
      <c r="L1070" s="167"/>
      <c r="M1070" s="167"/>
      <c r="N1070" s="167"/>
      <c r="O1070" s="167"/>
      <c r="P1070" s="167"/>
      <c r="Q1070" s="167"/>
      <c r="R1070" s="167"/>
      <c r="S1070" s="167"/>
      <c r="T1070" s="167"/>
      <c r="U1070" s="167"/>
      <c r="V1070" s="167"/>
      <c r="W1070" s="167"/>
      <c r="X1070" s="167"/>
      <c r="Y1070" s="167"/>
      <c r="Z1070" s="167"/>
      <c r="AA1070" s="167"/>
      <c r="AB1070" s="167"/>
      <c r="AC1070" s="167"/>
      <c r="AD1070" s="167"/>
      <c r="AE1070" s="167"/>
      <c r="AF1070" s="167"/>
      <c r="AG1070" s="167"/>
      <c r="AH1070" s="167"/>
      <c r="AI1070" s="167"/>
      <c r="AJ1070" s="167"/>
      <c r="AK1070" s="167"/>
      <c r="AL1070" s="167"/>
    </row>
    <row r="1071" spans="1:38" ht="15.75" customHeight="1">
      <c r="A1071" s="167"/>
      <c r="B1071" s="167"/>
      <c r="C1071" s="167"/>
      <c r="D1071" s="167"/>
      <c r="E1071" s="167"/>
      <c r="F1071" s="167"/>
      <c r="G1071" s="167"/>
      <c r="H1071" s="167"/>
      <c r="I1071" s="167"/>
      <c r="J1071" s="167"/>
      <c r="K1071" s="167"/>
      <c r="L1071" s="167"/>
      <c r="M1071" s="167"/>
      <c r="N1071" s="167"/>
      <c r="O1071" s="167"/>
      <c r="P1071" s="167"/>
      <c r="Q1071" s="167"/>
      <c r="R1071" s="167"/>
      <c r="S1071" s="167"/>
      <c r="T1071" s="167"/>
      <c r="U1071" s="167"/>
      <c r="V1071" s="167"/>
      <c r="W1071" s="167"/>
      <c r="X1071" s="167"/>
      <c r="Y1071" s="167"/>
      <c r="Z1071" s="167"/>
      <c r="AA1071" s="167"/>
      <c r="AB1071" s="167"/>
      <c r="AC1071" s="167"/>
      <c r="AD1071" s="167"/>
      <c r="AE1071" s="167"/>
      <c r="AF1071" s="167"/>
      <c r="AG1071" s="167"/>
      <c r="AH1071" s="167"/>
      <c r="AI1071" s="167"/>
      <c r="AJ1071" s="167"/>
      <c r="AK1071" s="167"/>
      <c r="AL1071" s="167"/>
    </row>
    <row r="1072" spans="1:38" ht="15.75" customHeight="1">
      <c r="A1072" s="167"/>
      <c r="B1072" s="167"/>
      <c r="C1072" s="167"/>
      <c r="D1072" s="167"/>
      <c r="E1072" s="167"/>
      <c r="F1072" s="167"/>
      <c r="G1072" s="167"/>
      <c r="H1072" s="167"/>
      <c r="I1072" s="167"/>
      <c r="J1072" s="167"/>
      <c r="K1072" s="167"/>
      <c r="L1072" s="167"/>
      <c r="M1072" s="167"/>
      <c r="N1072" s="167"/>
      <c r="O1072" s="167"/>
      <c r="P1072" s="167"/>
      <c r="Q1072" s="167"/>
      <c r="R1072" s="167"/>
      <c r="S1072" s="167"/>
      <c r="T1072" s="167"/>
      <c r="U1072" s="167"/>
      <c r="V1072" s="167"/>
      <c r="W1072" s="167"/>
      <c r="X1072" s="167"/>
      <c r="Y1072" s="167"/>
      <c r="Z1072" s="167"/>
      <c r="AA1072" s="167"/>
      <c r="AB1072" s="167"/>
      <c r="AC1072" s="167"/>
      <c r="AD1072" s="167"/>
      <c r="AE1072" s="167"/>
      <c r="AF1072" s="167"/>
      <c r="AG1072" s="167"/>
      <c r="AH1072" s="167"/>
      <c r="AI1072" s="167"/>
      <c r="AJ1072" s="167"/>
      <c r="AK1072" s="167"/>
      <c r="AL1072" s="167"/>
    </row>
    <row r="1073" spans="1:38" ht="15.75" customHeight="1">
      <c r="A1073" s="167"/>
      <c r="B1073" s="167"/>
      <c r="C1073" s="167"/>
      <c r="D1073" s="167"/>
      <c r="E1073" s="167"/>
      <c r="F1073" s="167"/>
      <c r="G1073" s="167"/>
      <c r="H1073" s="167"/>
      <c r="I1073" s="167"/>
      <c r="J1073" s="167"/>
      <c r="K1073" s="167"/>
      <c r="L1073" s="167"/>
      <c r="M1073" s="167"/>
      <c r="N1073" s="167"/>
      <c r="O1073" s="167"/>
      <c r="P1073" s="167"/>
      <c r="Q1073" s="167"/>
      <c r="R1073" s="167"/>
      <c r="S1073" s="167"/>
      <c r="T1073" s="167"/>
      <c r="U1073" s="167"/>
      <c r="V1073" s="167"/>
      <c r="W1073" s="167"/>
      <c r="X1073" s="167"/>
      <c r="Y1073" s="167"/>
      <c r="Z1073" s="167"/>
      <c r="AA1073" s="167"/>
      <c r="AB1073" s="167"/>
      <c r="AC1073" s="167"/>
      <c r="AD1073" s="167"/>
      <c r="AE1073" s="167"/>
      <c r="AF1073" s="167"/>
      <c r="AG1073" s="167"/>
      <c r="AH1073" s="167"/>
      <c r="AI1073" s="167"/>
      <c r="AJ1073" s="167"/>
      <c r="AK1073" s="167"/>
      <c r="AL1073" s="167"/>
    </row>
    <row r="1074" spans="1:38" ht="15.75" customHeight="1">
      <c r="A1074" s="167"/>
      <c r="B1074" s="167"/>
      <c r="C1074" s="167"/>
      <c r="D1074" s="167"/>
      <c r="E1074" s="167"/>
      <c r="F1074" s="167"/>
      <c r="G1074" s="167"/>
      <c r="H1074" s="167"/>
      <c r="I1074" s="167"/>
      <c r="J1074" s="167"/>
      <c r="K1074" s="167"/>
      <c r="L1074" s="167"/>
      <c r="M1074" s="167"/>
      <c r="N1074" s="167"/>
      <c r="O1074" s="167"/>
      <c r="P1074" s="167"/>
      <c r="Q1074" s="167"/>
      <c r="R1074" s="167"/>
      <c r="S1074" s="167"/>
      <c r="T1074" s="167"/>
      <c r="U1074" s="167"/>
      <c r="V1074" s="167"/>
      <c r="W1074" s="167"/>
      <c r="X1074" s="167"/>
      <c r="Y1074" s="167"/>
      <c r="Z1074" s="167"/>
      <c r="AA1074" s="167"/>
      <c r="AB1074" s="167"/>
      <c r="AC1074" s="167"/>
      <c r="AD1074" s="167"/>
      <c r="AE1074" s="167"/>
      <c r="AF1074" s="167"/>
      <c r="AG1074" s="167"/>
      <c r="AH1074" s="167"/>
      <c r="AI1074" s="167"/>
      <c r="AJ1074" s="167"/>
      <c r="AK1074" s="167"/>
      <c r="AL1074" s="167"/>
    </row>
    <row r="1075" spans="1:38" ht="15.75" customHeight="1">
      <c r="A1075" s="167"/>
      <c r="B1075" s="167"/>
      <c r="C1075" s="167"/>
      <c r="D1075" s="167"/>
      <c r="E1075" s="167"/>
      <c r="F1075" s="167"/>
      <c r="G1075" s="167"/>
      <c r="H1075" s="167"/>
      <c r="I1075" s="167"/>
      <c r="J1075" s="167"/>
      <c r="K1075" s="167"/>
      <c r="L1075" s="167"/>
      <c r="M1075" s="167"/>
      <c r="N1075" s="167"/>
      <c r="O1075" s="167"/>
      <c r="P1075" s="167"/>
      <c r="Q1075" s="167"/>
      <c r="R1075" s="167"/>
      <c r="S1075" s="167"/>
      <c r="T1075" s="167"/>
      <c r="U1075" s="167"/>
      <c r="V1075" s="167"/>
      <c r="W1075" s="167"/>
      <c r="X1075" s="167"/>
      <c r="Y1075" s="167"/>
      <c r="Z1075" s="167"/>
      <c r="AA1075" s="167"/>
      <c r="AB1075" s="167"/>
      <c r="AC1075" s="167"/>
      <c r="AD1075" s="167"/>
      <c r="AE1075" s="167"/>
      <c r="AF1075" s="167"/>
      <c r="AG1075" s="167"/>
      <c r="AH1075" s="167"/>
      <c r="AI1075" s="167"/>
      <c r="AJ1075" s="167"/>
      <c r="AK1075" s="167"/>
      <c r="AL1075" s="167"/>
    </row>
    <row r="1076" spans="1:38" ht="15.75" customHeight="1">
      <c r="A1076" s="167"/>
      <c r="B1076" s="167"/>
      <c r="C1076" s="167"/>
      <c r="D1076" s="167"/>
      <c r="E1076" s="167"/>
      <c r="F1076" s="167"/>
      <c r="G1076" s="167"/>
      <c r="H1076" s="167"/>
      <c r="I1076" s="167"/>
      <c r="J1076" s="167"/>
      <c r="K1076" s="167"/>
      <c r="L1076" s="167"/>
      <c r="M1076" s="167"/>
      <c r="N1076" s="167"/>
      <c r="O1076" s="167"/>
      <c r="P1076" s="167"/>
      <c r="Q1076" s="167"/>
      <c r="R1076" s="167"/>
      <c r="S1076" s="167"/>
      <c r="T1076" s="167"/>
      <c r="U1076" s="167"/>
      <c r="V1076" s="167"/>
      <c r="W1076" s="167"/>
      <c r="X1076" s="167"/>
      <c r="Y1076" s="167"/>
      <c r="Z1076" s="167"/>
      <c r="AA1076" s="167"/>
      <c r="AB1076" s="167"/>
      <c r="AC1076" s="167"/>
      <c r="AD1076" s="167"/>
      <c r="AE1076" s="167"/>
      <c r="AF1076" s="167"/>
      <c r="AG1076" s="167"/>
      <c r="AH1076" s="167"/>
      <c r="AI1076" s="167"/>
      <c r="AJ1076" s="167"/>
      <c r="AK1076" s="167"/>
      <c r="AL1076" s="167"/>
    </row>
    <row r="1077" spans="1:38" ht="15.75" customHeight="1">
      <c r="A1077" s="167"/>
      <c r="B1077" s="167"/>
      <c r="C1077" s="167"/>
      <c r="D1077" s="167"/>
      <c r="E1077" s="167"/>
      <c r="F1077" s="167"/>
      <c r="G1077" s="167"/>
      <c r="H1077" s="167"/>
      <c r="I1077" s="167"/>
      <c r="J1077" s="167"/>
      <c r="K1077" s="167"/>
      <c r="L1077" s="167"/>
      <c r="M1077" s="167"/>
      <c r="N1077" s="167"/>
      <c r="O1077" s="167"/>
      <c r="P1077" s="167"/>
      <c r="Q1077" s="167"/>
      <c r="R1077" s="167"/>
      <c r="S1077" s="167"/>
      <c r="T1077" s="167"/>
      <c r="U1077" s="167"/>
      <c r="V1077" s="167"/>
      <c r="W1077" s="167"/>
      <c r="X1077" s="167"/>
      <c r="Y1077" s="167"/>
      <c r="Z1077" s="167"/>
      <c r="AA1077" s="167"/>
      <c r="AB1077" s="167"/>
      <c r="AC1077" s="167"/>
      <c r="AD1077" s="167"/>
      <c r="AE1077" s="167"/>
      <c r="AF1077" s="167"/>
      <c r="AG1077" s="167"/>
      <c r="AH1077" s="167"/>
      <c r="AI1077" s="167"/>
      <c r="AJ1077" s="167"/>
      <c r="AK1077" s="167"/>
      <c r="AL1077" s="167"/>
    </row>
    <row r="1078" spans="1:38" ht="15.75" customHeight="1">
      <c r="A1078" s="167"/>
      <c r="B1078" s="167"/>
      <c r="C1078" s="167"/>
      <c r="D1078" s="167"/>
      <c r="E1078" s="167"/>
      <c r="F1078" s="167"/>
      <c r="G1078" s="167"/>
      <c r="H1078" s="167"/>
      <c r="I1078" s="167"/>
      <c r="J1078" s="167"/>
      <c r="K1078" s="167"/>
      <c r="L1078" s="167"/>
      <c r="M1078" s="167"/>
      <c r="N1078" s="167"/>
      <c r="O1078" s="167"/>
      <c r="P1078" s="167"/>
      <c r="Q1078" s="167"/>
      <c r="R1078" s="167"/>
      <c r="S1078" s="167"/>
      <c r="T1078" s="167"/>
      <c r="U1078" s="167"/>
      <c r="V1078" s="167"/>
      <c r="W1078" s="167"/>
      <c r="X1078" s="167"/>
      <c r="Y1078" s="167"/>
      <c r="Z1078" s="167"/>
      <c r="AA1078" s="167"/>
      <c r="AB1078" s="167"/>
      <c r="AC1078" s="167"/>
      <c r="AD1078" s="167"/>
      <c r="AE1078" s="167"/>
      <c r="AF1078" s="167"/>
      <c r="AG1078" s="167"/>
      <c r="AH1078" s="167"/>
      <c r="AI1078" s="167"/>
      <c r="AJ1078" s="167"/>
      <c r="AK1078" s="167"/>
      <c r="AL1078" s="167"/>
    </row>
    <row r="1079" spans="1:38" ht="15.75" customHeight="1">
      <c r="A1079" s="167"/>
      <c r="B1079" s="167"/>
      <c r="C1079" s="167"/>
      <c r="D1079" s="167"/>
      <c r="E1079" s="167"/>
      <c r="F1079" s="167"/>
      <c r="G1079" s="167"/>
      <c r="H1079" s="167"/>
      <c r="I1079" s="167"/>
      <c r="J1079" s="167"/>
      <c r="K1079" s="167"/>
      <c r="L1079" s="167"/>
      <c r="M1079" s="167"/>
      <c r="N1079" s="167"/>
      <c r="O1079" s="167"/>
      <c r="P1079" s="167"/>
      <c r="Q1079" s="167"/>
      <c r="R1079" s="167"/>
      <c r="S1079" s="167"/>
      <c r="T1079" s="167"/>
      <c r="U1079" s="167"/>
      <c r="V1079" s="167"/>
      <c r="W1079" s="167"/>
      <c r="X1079" s="167"/>
      <c r="Y1079" s="167"/>
      <c r="Z1079" s="167"/>
      <c r="AA1079" s="167"/>
      <c r="AB1079" s="167"/>
      <c r="AC1079" s="167"/>
      <c r="AD1079" s="167"/>
      <c r="AE1079" s="167"/>
      <c r="AF1079" s="167"/>
      <c r="AG1079" s="167"/>
      <c r="AH1079" s="167"/>
      <c r="AI1079" s="167"/>
      <c r="AJ1079" s="167"/>
      <c r="AK1079" s="167"/>
      <c r="AL1079" s="167"/>
    </row>
    <row r="1080" spans="1:38" ht="15.75" customHeight="1">
      <c r="A1080" s="167"/>
      <c r="B1080" s="167"/>
      <c r="C1080" s="167"/>
      <c r="D1080" s="167"/>
      <c r="E1080" s="167"/>
      <c r="F1080" s="167"/>
      <c r="G1080" s="167"/>
      <c r="H1080" s="167"/>
      <c r="I1080" s="167"/>
      <c r="J1080" s="167"/>
      <c r="K1080" s="167"/>
      <c r="L1080" s="167"/>
      <c r="M1080" s="167"/>
      <c r="N1080" s="167"/>
      <c r="O1080" s="167"/>
      <c r="P1080" s="167"/>
      <c r="Q1080" s="167"/>
      <c r="R1080" s="167"/>
      <c r="S1080" s="167"/>
      <c r="T1080" s="167"/>
      <c r="U1080" s="167"/>
      <c r="V1080" s="167"/>
      <c r="W1080" s="167"/>
      <c r="X1080" s="167"/>
      <c r="Y1080" s="167"/>
      <c r="Z1080" s="167"/>
      <c r="AA1080" s="167"/>
      <c r="AB1080" s="167"/>
      <c r="AC1080" s="167"/>
      <c r="AD1080" s="167"/>
      <c r="AE1080" s="167"/>
      <c r="AF1080" s="167"/>
      <c r="AG1080" s="167"/>
      <c r="AH1080" s="167"/>
      <c r="AI1080" s="167"/>
      <c r="AJ1080" s="167"/>
      <c r="AK1080" s="167"/>
      <c r="AL1080" s="167"/>
    </row>
    <row r="1081" spans="1:38" ht="15.75" customHeight="1">
      <c r="A1081" s="167"/>
      <c r="B1081" s="167"/>
      <c r="C1081" s="167"/>
      <c r="D1081" s="167"/>
      <c r="E1081" s="167"/>
      <c r="F1081" s="167"/>
      <c r="G1081" s="167"/>
      <c r="H1081" s="167"/>
      <c r="I1081" s="167"/>
      <c r="J1081" s="167"/>
      <c r="K1081" s="167"/>
      <c r="L1081" s="167"/>
      <c r="M1081" s="167"/>
      <c r="N1081" s="167"/>
      <c r="O1081" s="167"/>
      <c r="P1081" s="167"/>
      <c r="Q1081" s="167"/>
      <c r="R1081" s="167"/>
      <c r="S1081" s="167"/>
      <c r="T1081" s="167"/>
      <c r="U1081" s="167"/>
      <c r="V1081" s="167"/>
      <c r="W1081" s="167"/>
      <c r="X1081" s="167"/>
      <c r="Y1081" s="167"/>
      <c r="Z1081" s="167"/>
      <c r="AA1081" s="167"/>
      <c r="AB1081" s="167"/>
      <c r="AC1081" s="167"/>
      <c r="AD1081" s="167"/>
      <c r="AE1081" s="167"/>
      <c r="AF1081" s="167"/>
      <c r="AG1081" s="167"/>
      <c r="AH1081" s="167"/>
      <c r="AI1081" s="167"/>
      <c r="AJ1081" s="167"/>
      <c r="AK1081" s="167"/>
      <c r="AL1081" s="167"/>
    </row>
    <row r="1082" spans="1:38" ht="15.75" customHeight="1">
      <c r="A1082" s="167"/>
      <c r="B1082" s="167"/>
      <c r="C1082" s="167"/>
      <c r="D1082" s="167"/>
      <c r="E1082" s="167"/>
      <c r="F1082" s="167"/>
      <c r="G1082" s="167"/>
      <c r="H1082" s="167"/>
      <c r="I1082" s="167"/>
      <c r="J1082" s="167"/>
      <c r="K1082" s="167"/>
      <c r="L1082" s="167"/>
      <c r="M1082" s="167"/>
      <c r="N1082" s="167"/>
      <c r="O1082" s="167"/>
      <c r="P1082" s="167"/>
      <c r="Q1082" s="167"/>
      <c r="R1082" s="167"/>
      <c r="S1082" s="167"/>
      <c r="T1082" s="167"/>
      <c r="U1082" s="167"/>
      <c r="V1082" s="167"/>
      <c r="W1082" s="167"/>
      <c r="X1082" s="167"/>
      <c r="Y1082" s="167"/>
      <c r="Z1082" s="167"/>
      <c r="AA1082" s="167"/>
      <c r="AB1082" s="167"/>
      <c r="AC1082" s="167"/>
      <c r="AD1082" s="167"/>
      <c r="AE1082" s="167"/>
      <c r="AF1082" s="167"/>
      <c r="AG1082" s="167"/>
      <c r="AH1082" s="167"/>
      <c r="AI1082" s="167"/>
      <c r="AJ1082" s="167"/>
      <c r="AK1082" s="167"/>
      <c r="AL1082" s="167"/>
    </row>
    <row r="1083" spans="1:38" ht="15.75" customHeight="1">
      <c r="A1083" s="167"/>
      <c r="B1083" s="167"/>
      <c r="C1083" s="167"/>
      <c r="D1083" s="167"/>
      <c r="E1083" s="167"/>
      <c r="F1083" s="167"/>
      <c r="G1083" s="167"/>
      <c r="H1083" s="167"/>
      <c r="I1083" s="167"/>
      <c r="J1083" s="167"/>
      <c r="K1083" s="167"/>
      <c r="L1083" s="167"/>
      <c r="M1083" s="167"/>
      <c r="N1083" s="167"/>
      <c r="O1083" s="167"/>
      <c r="P1083" s="167"/>
      <c r="Q1083" s="167"/>
      <c r="R1083" s="167"/>
      <c r="S1083" s="167"/>
      <c r="T1083" s="167"/>
      <c r="U1083" s="167"/>
      <c r="V1083" s="167"/>
      <c r="W1083" s="167"/>
      <c r="X1083" s="167"/>
      <c r="Y1083" s="167"/>
      <c r="Z1083" s="167"/>
      <c r="AA1083" s="167"/>
      <c r="AB1083" s="167"/>
      <c r="AC1083" s="167"/>
      <c r="AD1083" s="167"/>
      <c r="AE1083" s="167"/>
      <c r="AF1083" s="167"/>
      <c r="AG1083" s="167"/>
      <c r="AH1083" s="167"/>
      <c r="AI1083" s="167"/>
      <c r="AJ1083" s="167"/>
      <c r="AK1083" s="167"/>
      <c r="AL1083" s="167"/>
    </row>
    <row r="1084" spans="1:38" ht="15.75" customHeight="1">
      <c r="A1084" s="167"/>
      <c r="B1084" s="167"/>
      <c r="C1084" s="167"/>
      <c r="D1084" s="167"/>
      <c r="E1084" s="167"/>
      <c r="F1084" s="167"/>
      <c r="G1084" s="167"/>
      <c r="H1084" s="167"/>
      <c r="I1084" s="167"/>
      <c r="J1084" s="167"/>
      <c r="K1084" s="167"/>
      <c r="L1084" s="167"/>
      <c r="M1084" s="167"/>
      <c r="N1084" s="167"/>
      <c r="O1084" s="167"/>
      <c r="P1084" s="167"/>
      <c r="Q1084" s="167"/>
      <c r="R1084" s="167"/>
      <c r="S1084" s="167"/>
      <c r="T1084" s="167"/>
      <c r="U1084" s="167"/>
      <c r="V1084" s="167"/>
      <c r="W1084" s="167"/>
      <c r="X1084" s="167"/>
      <c r="Y1084" s="167"/>
      <c r="Z1084" s="167"/>
      <c r="AA1084" s="167"/>
      <c r="AB1084" s="167"/>
      <c r="AC1084" s="167"/>
      <c r="AD1084" s="167"/>
      <c r="AE1084" s="167"/>
      <c r="AF1084" s="167"/>
      <c r="AG1084" s="167"/>
      <c r="AH1084" s="167"/>
      <c r="AI1084" s="167"/>
      <c r="AJ1084" s="167"/>
      <c r="AK1084" s="167"/>
      <c r="AL1084" s="167"/>
    </row>
    <row r="1085" spans="1:38" ht="15.75" customHeight="1">
      <c r="A1085" s="167"/>
      <c r="B1085" s="167"/>
      <c r="C1085" s="167"/>
      <c r="D1085" s="167"/>
      <c r="E1085" s="167"/>
      <c r="F1085" s="167"/>
      <c r="G1085" s="167"/>
      <c r="H1085" s="167"/>
      <c r="I1085" s="167"/>
      <c r="J1085" s="167"/>
      <c r="K1085" s="167"/>
      <c r="L1085" s="167"/>
      <c r="M1085" s="167"/>
      <c r="N1085" s="167"/>
      <c r="O1085" s="167"/>
      <c r="P1085" s="167"/>
      <c r="Q1085" s="167"/>
      <c r="R1085" s="167"/>
      <c r="S1085" s="167"/>
      <c r="T1085" s="167"/>
      <c r="U1085" s="167"/>
      <c r="V1085" s="167"/>
      <c r="W1085" s="167"/>
      <c r="X1085" s="167"/>
      <c r="Y1085" s="167"/>
      <c r="Z1085" s="167"/>
      <c r="AA1085" s="167"/>
      <c r="AB1085" s="167"/>
      <c r="AC1085" s="167"/>
      <c r="AD1085" s="167"/>
      <c r="AE1085" s="167"/>
      <c r="AF1085" s="167"/>
      <c r="AG1085" s="167"/>
      <c r="AH1085" s="167"/>
      <c r="AI1085" s="167"/>
      <c r="AJ1085" s="167"/>
      <c r="AK1085" s="167"/>
      <c r="AL1085" s="167"/>
    </row>
    <row r="1086" spans="1:38" ht="15.75" customHeight="1">
      <c r="A1086" s="167"/>
      <c r="B1086" s="167"/>
      <c r="C1086" s="167"/>
      <c r="D1086" s="167"/>
      <c r="E1086" s="167"/>
      <c r="F1086" s="167"/>
      <c r="G1086" s="167"/>
      <c r="H1086" s="167"/>
      <c r="I1086" s="167"/>
      <c r="J1086" s="167"/>
      <c r="K1086" s="167"/>
      <c r="L1086" s="167"/>
      <c r="M1086" s="167"/>
      <c r="N1086" s="167"/>
      <c r="O1086" s="167"/>
      <c r="P1086" s="167"/>
      <c r="Q1086" s="167"/>
      <c r="R1086" s="167"/>
      <c r="S1086" s="167"/>
      <c r="T1086" s="167"/>
      <c r="U1086" s="167"/>
      <c r="V1086" s="167"/>
      <c r="W1086" s="167"/>
      <c r="X1086" s="167"/>
      <c r="Y1086" s="167"/>
      <c r="Z1086" s="167"/>
      <c r="AA1086" s="167"/>
      <c r="AB1086" s="167"/>
      <c r="AC1086" s="167"/>
      <c r="AD1086" s="167"/>
      <c r="AE1086" s="167"/>
      <c r="AF1086" s="167"/>
      <c r="AG1086" s="167"/>
      <c r="AH1086" s="167"/>
      <c r="AI1086" s="167"/>
      <c r="AJ1086" s="167"/>
      <c r="AK1086" s="167"/>
      <c r="AL1086" s="167"/>
    </row>
    <row r="1087" spans="1:38" ht="15.75" customHeight="1">
      <c r="A1087" s="167"/>
      <c r="B1087" s="167"/>
      <c r="C1087" s="167"/>
      <c r="D1087" s="167"/>
      <c r="E1087" s="167"/>
      <c r="F1087" s="167"/>
      <c r="G1087" s="167"/>
      <c r="H1087" s="167"/>
      <c r="I1087" s="167"/>
      <c r="J1087" s="167"/>
      <c r="K1087" s="167"/>
      <c r="L1087" s="167"/>
      <c r="M1087" s="167"/>
      <c r="N1087" s="167"/>
      <c r="O1087" s="167"/>
      <c r="P1087" s="167"/>
      <c r="Q1087" s="167"/>
      <c r="R1087" s="167"/>
      <c r="S1087" s="167"/>
      <c r="T1087" s="167"/>
      <c r="U1087" s="167"/>
      <c r="V1087" s="167"/>
      <c r="W1087" s="167"/>
      <c r="X1087" s="167"/>
      <c r="Y1087" s="167"/>
      <c r="Z1087" s="167"/>
      <c r="AA1087" s="167"/>
      <c r="AB1087" s="167"/>
      <c r="AC1087" s="167"/>
      <c r="AD1087" s="167"/>
      <c r="AE1087" s="167"/>
      <c r="AF1087" s="167"/>
      <c r="AG1087" s="167"/>
      <c r="AH1087" s="167"/>
      <c r="AI1087" s="167"/>
      <c r="AJ1087" s="167"/>
      <c r="AK1087" s="167"/>
      <c r="AL1087" s="167"/>
    </row>
    <row r="1088" spans="1:38" ht="15.75" customHeight="1">
      <c r="A1088" s="167"/>
      <c r="B1088" s="167"/>
      <c r="C1088" s="167"/>
      <c r="D1088" s="167"/>
      <c r="E1088" s="167"/>
      <c r="F1088" s="167"/>
      <c r="G1088" s="167"/>
      <c r="H1088" s="167"/>
      <c r="I1088" s="167"/>
      <c r="J1088" s="167"/>
      <c r="K1088" s="167"/>
      <c r="L1088" s="167"/>
      <c r="M1088" s="167"/>
      <c r="N1088" s="167"/>
      <c r="O1088" s="167"/>
      <c r="P1088" s="167"/>
      <c r="Q1088" s="167"/>
      <c r="R1088" s="167"/>
      <c r="S1088" s="167"/>
      <c r="T1088" s="167"/>
      <c r="U1088" s="167"/>
      <c r="V1088" s="167"/>
      <c r="W1088" s="167"/>
      <c r="X1088" s="167"/>
      <c r="Y1088" s="167"/>
      <c r="Z1088" s="167"/>
      <c r="AA1088" s="167"/>
      <c r="AB1088" s="167"/>
      <c r="AC1088" s="167"/>
      <c r="AD1088" s="167"/>
      <c r="AE1088" s="167"/>
      <c r="AF1088" s="167"/>
      <c r="AG1088" s="167"/>
      <c r="AH1088" s="167"/>
      <c r="AI1088" s="167"/>
      <c r="AJ1088" s="167"/>
      <c r="AK1088" s="167"/>
      <c r="AL1088" s="167"/>
    </row>
    <row r="1089" spans="1:38" ht="15.75" customHeight="1">
      <c r="A1089" s="167"/>
      <c r="B1089" s="167"/>
      <c r="C1089" s="167"/>
      <c r="D1089" s="167"/>
      <c r="E1089" s="167"/>
      <c r="F1089" s="167"/>
      <c r="G1089" s="167"/>
      <c r="H1089" s="167"/>
      <c r="I1089" s="167"/>
      <c r="J1089" s="167"/>
      <c r="K1089" s="167"/>
      <c r="L1089" s="167"/>
      <c r="M1089" s="167"/>
      <c r="N1089" s="167"/>
      <c r="O1089" s="167"/>
      <c r="P1089" s="167"/>
      <c r="Q1089" s="167"/>
      <c r="R1089" s="167"/>
      <c r="S1089" s="167"/>
      <c r="T1089" s="167"/>
      <c r="U1089" s="167"/>
      <c r="V1089" s="167"/>
      <c r="W1089" s="167"/>
      <c r="X1089" s="167"/>
      <c r="Y1089" s="167"/>
      <c r="Z1089" s="167"/>
      <c r="AA1089" s="167"/>
      <c r="AB1089" s="167"/>
      <c r="AC1089" s="167"/>
      <c r="AD1089" s="167"/>
      <c r="AE1089" s="167"/>
      <c r="AF1089" s="167"/>
      <c r="AG1089" s="167"/>
      <c r="AH1089" s="167"/>
      <c r="AI1089" s="167"/>
      <c r="AJ1089" s="167"/>
      <c r="AK1089" s="167"/>
      <c r="AL1089" s="167"/>
    </row>
    <row r="1090" spans="1:38" ht="15.75" customHeight="1">
      <c r="A1090" s="167"/>
      <c r="B1090" s="167"/>
      <c r="C1090" s="167"/>
      <c r="D1090" s="167"/>
      <c r="E1090" s="167"/>
      <c r="F1090" s="167"/>
      <c r="G1090" s="167"/>
      <c r="H1090" s="167"/>
      <c r="I1090" s="167"/>
      <c r="J1090" s="167"/>
      <c r="K1090" s="167"/>
      <c r="L1090" s="167"/>
      <c r="M1090" s="167"/>
      <c r="N1090" s="167"/>
      <c r="O1090" s="167"/>
      <c r="P1090" s="167"/>
      <c r="Q1090" s="167"/>
      <c r="R1090" s="167"/>
      <c r="S1090" s="167"/>
      <c r="T1090" s="167"/>
      <c r="U1090" s="167"/>
      <c r="V1090" s="167"/>
      <c r="W1090" s="167"/>
      <c r="X1090" s="167"/>
      <c r="Y1090" s="167"/>
      <c r="Z1090" s="167"/>
      <c r="AA1090" s="167"/>
      <c r="AB1090" s="167"/>
      <c r="AC1090" s="167"/>
      <c r="AD1090" s="167"/>
      <c r="AE1090" s="167"/>
      <c r="AF1090" s="167"/>
      <c r="AG1090" s="167"/>
      <c r="AH1090" s="167"/>
      <c r="AI1090" s="167"/>
      <c r="AJ1090" s="167"/>
      <c r="AK1090" s="167"/>
      <c r="AL1090" s="167"/>
    </row>
    <row r="1091" spans="1:38" ht="15.75" customHeight="1">
      <c r="A1091" s="167"/>
      <c r="B1091" s="167"/>
      <c r="C1091" s="167"/>
      <c r="D1091" s="167"/>
      <c r="E1091" s="167"/>
      <c r="F1091" s="167"/>
      <c r="G1091" s="167"/>
      <c r="H1091" s="167"/>
      <c r="I1091" s="167"/>
      <c r="J1091" s="167"/>
      <c r="K1091" s="167"/>
      <c r="L1091" s="167"/>
      <c r="M1091" s="167"/>
      <c r="N1091" s="167"/>
      <c r="O1091" s="167"/>
      <c r="P1091" s="167"/>
      <c r="Q1091" s="167"/>
      <c r="R1091" s="167"/>
      <c r="S1091" s="167"/>
      <c r="T1091" s="167"/>
      <c r="U1091" s="167"/>
      <c r="V1091" s="167"/>
      <c r="W1091" s="167"/>
      <c r="X1091" s="167"/>
      <c r="Y1091" s="167"/>
      <c r="Z1091" s="167"/>
      <c r="AA1091" s="167"/>
      <c r="AB1091" s="167"/>
      <c r="AC1091" s="167"/>
      <c r="AD1091" s="167"/>
      <c r="AE1091" s="167"/>
      <c r="AF1091" s="167"/>
      <c r="AG1091" s="167"/>
      <c r="AH1091" s="167"/>
      <c r="AI1091" s="167"/>
      <c r="AJ1091" s="167"/>
      <c r="AK1091" s="167"/>
      <c r="AL1091" s="167"/>
    </row>
    <row r="1092" spans="1:38" ht="15.75" customHeight="1">
      <c r="A1092" s="167"/>
      <c r="B1092" s="167"/>
      <c r="C1092" s="167"/>
      <c r="D1092" s="167"/>
      <c r="E1092" s="167"/>
      <c r="F1092" s="167"/>
      <c r="G1092" s="167"/>
      <c r="H1092" s="167"/>
      <c r="I1092" s="167"/>
      <c r="J1092" s="167"/>
      <c r="K1092" s="167"/>
      <c r="L1092" s="167"/>
      <c r="M1092" s="167"/>
      <c r="N1092" s="167"/>
      <c r="O1092" s="167"/>
      <c r="P1092" s="167"/>
      <c r="Q1092" s="167"/>
      <c r="R1092" s="167"/>
      <c r="S1092" s="167"/>
      <c r="T1092" s="167"/>
      <c r="U1092" s="167"/>
      <c r="V1092" s="167"/>
      <c r="W1092" s="167"/>
      <c r="X1092" s="167"/>
      <c r="Y1092" s="167"/>
      <c r="Z1092" s="167"/>
      <c r="AA1092" s="167"/>
      <c r="AB1092" s="167"/>
      <c r="AC1092" s="167"/>
      <c r="AD1092" s="167"/>
      <c r="AE1092" s="167"/>
      <c r="AF1092" s="167"/>
      <c r="AG1092" s="167"/>
      <c r="AH1092" s="167"/>
      <c r="AI1092" s="167"/>
      <c r="AJ1092" s="167"/>
      <c r="AK1092" s="167"/>
      <c r="AL1092" s="167"/>
    </row>
    <row r="1093" spans="1:38" ht="15.75" customHeight="1">
      <c r="A1093" s="167"/>
      <c r="B1093" s="167"/>
      <c r="C1093" s="167"/>
      <c r="D1093" s="167"/>
      <c r="E1093" s="167"/>
      <c r="F1093" s="167"/>
      <c r="G1093" s="167"/>
      <c r="H1093" s="167"/>
      <c r="I1093" s="167"/>
      <c r="J1093" s="167"/>
      <c r="K1093" s="167"/>
      <c r="L1093" s="167"/>
      <c r="M1093" s="167"/>
      <c r="N1093" s="167"/>
      <c r="O1093" s="167"/>
      <c r="P1093" s="167"/>
      <c r="Q1093" s="167"/>
      <c r="R1093" s="167"/>
      <c r="S1093" s="167"/>
      <c r="T1093" s="167"/>
      <c r="U1093" s="167"/>
      <c r="V1093" s="167"/>
      <c r="W1093" s="167"/>
      <c r="X1093" s="167"/>
      <c r="Y1093" s="167"/>
      <c r="Z1093" s="167"/>
      <c r="AA1093" s="167"/>
      <c r="AB1093" s="167"/>
      <c r="AC1093" s="167"/>
      <c r="AD1093" s="167"/>
      <c r="AE1093" s="167"/>
      <c r="AF1093" s="167"/>
      <c r="AG1093" s="167"/>
      <c r="AH1093" s="167"/>
      <c r="AI1093" s="167"/>
      <c r="AJ1093" s="167"/>
      <c r="AK1093" s="167"/>
      <c r="AL1093" s="167"/>
    </row>
    <row r="1094" spans="1:38" ht="15.75" customHeight="1">
      <c r="A1094" s="167"/>
      <c r="B1094" s="167"/>
      <c r="C1094" s="167"/>
      <c r="D1094" s="167"/>
      <c r="E1094" s="167"/>
      <c r="F1094" s="167"/>
      <c r="G1094" s="167"/>
      <c r="H1094" s="167"/>
      <c r="I1094" s="167"/>
      <c r="J1094" s="167"/>
      <c r="K1094" s="167"/>
      <c r="L1094" s="167"/>
      <c r="M1094" s="167"/>
      <c r="N1094" s="167"/>
      <c r="O1094" s="167"/>
      <c r="P1094" s="167"/>
      <c r="Q1094" s="167"/>
      <c r="R1094" s="167"/>
      <c r="S1094" s="167"/>
      <c r="T1094" s="167"/>
      <c r="U1094" s="167"/>
      <c r="V1094" s="167"/>
      <c r="W1094" s="167"/>
      <c r="X1094" s="167"/>
      <c r="Y1094" s="167"/>
      <c r="Z1094" s="167"/>
      <c r="AA1094" s="167"/>
      <c r="AB1094" s="167"/>
      <c r="AC1094" s="167"/>
      <c r="AD1094" s="167"/>
      <c r="AE1094" s="167"/>
      <c r="AF1094" s="167"/>
      <c r="AG1094" s="167"/>
      <c r="AH1094" s="167"/>
      <c r="AI1094" s="167"/>
      <c r="AJ1094" s="167"/>
      <c r="AK1094" s="167"/>
      <c r="AL1094" s="167"/>
    </row>
    <row r="1095" spans="1:38" ht="15.75" customHeight="1">
      <c r="A1095" s="167"/>
      <c r="B1095" s="167"/>
      <c r="C1095" s="167"/>
      <c r="D1095" s="167"/>
      <c r="E1095" s="167"/>
      <c r="F1095" s="167"/>
      <c r="G1095" s="167"/>
      <c r="H1095" s="167"/>
      <c r="I1095" s="167"/>
      <c r="J1095" s="167"/>
      <c r="K1095" s="167"/>
      <c r="L1095" s="167"/>
      <c r="M1095" s="167"/>
      <c r="N1095" s="167"/>
      <c r="O1095" s="167"/>
      <c r="P1095" s="167"/>
      <c r="Q1095" s="167"/>
      <c r="R1095" s="167"/>
      <c r="S1095" s="167"/>
      <c r="T1095" s="167"/>
      <c r="U1095" s="167"/>
      <c r="V1095" s="167"/>
      <c r="W1095" s="167"/>
      <c r="X1095" s="167"/>
      <c r="Y1095" s="167"/>
      <c r="Z1095" s="167"/>
      <c r="AA1095" s="167"/>
      <c r="AB1095" s="167"/>
      <c r="AC1095" s="167"/>
      <c r="AD1095" s="167"/>
      <c r="AE1095" s="167"/>
      <c r="AF1095" s="167"/>
      <c r="AG1095" s="167"/>
      <c r="AH1095" s="167"/>
      <c r="AI1095" s="167"/>
      <c r="AJ1095" s="167"/>
      <c r="AK1095" s="167"/>
      <c r="AL1095" s="167"/>
    </row>
    <row r="1096" spans="1:38" ht="15.75" customHeight="1">
      <c r="A1096" s="167"/>
      <c r="B1096" s="167"/>
      <c r="C1096" s="167"/>
      <c r="D1096" s="167"/>
      <c r="E1096" s="167"/>
      <c r="F1096" s="167"/>
      <c r="G1096" s="167"/>
      <c r="H1096" s="167"/>
      <c r="I1096" s="167"/>
      <c r="J1096" s="167"/>
      <c r="K1096" s="167"/>
      <c r="L1096" s="167"/>
      <c r="M1096" s="167"/>
      <c r="N1096" s="167"/>
      <c r="O1096" s="167"/>
      <c r="P1096" s="167"/>
      <c r="Q1096" s="167"/>
      <c r="R1096" s="167"/>
      <c r="S1096" s="167"/>
      <c r="T1096" s="167"/>
      <c r="U1096" s="167"/>
      <c r="V1096" s="167"/>
      <c r="W1096" s="167"/>
      <c r="X1096" s="167"/>
      <c r="Y1096" s="167"/>
      <c r="Z1096" s="167"/>
      <c r="AA1096" s="167"/>
      <c r="AB1096" s="167"/>
      <c r="AC1096" s="167"/>
      <c r="AD1096" s="167"/>
      <c r="AE1096" s="167"/>
      <c r="AF1096" s="167"/>
      <c r="AG1096" s="167"/>
      <c r="AH1096" s="167"/>
      <c r="AI1096" s="167"/>
      <c r="AJ1096" s="167"/>
      <c r="AK1096" s="167"/>
      <c r="AL1096" s="167"/>
    </row>
    <row r="1097" spans="1:38" ht="15.75" customHeight="1">
      <c r="A1097" s="167"/>
      <c r="B1097" s="167"/>
      <c r="C1097" s="167"/>
      <c r="D1097" s="167"/>
      <c r="E1097" s="167"/>
      <c r="F1097" s="167"/>
      <c r="G1097" s="167"/>
      <c r="H1097" s="167"/>
      <c r="I1097" s="167"/>
      <c r="J1097" s="167"/>
      <c r="K1097" s="167"/>
      <c r="L1097" s="167"/>
      <c r="M1097" s="167"/>
      <c r="N1097" s="167"/>
      <c r="O1097" s="167"/>
      <c r="P1097" s="167"/>
      <c r="Q1097" s="167"/>
      <c r="R1097" s="167"/>
      <c r="S1097" s="167"/>
      <c r="T1097" s="167"/>
      <c r="U1097" s="167"/>
      <c r="V1097" s="167"/>
      <c r="W1097" s="167"/>
      <c r="X1097" s="167"/>
      <c r="Y1097" s="167"/>
      <c r="Z1097" s="167"/>
      <c r="AA1097" s="167"/>
      <c r="AB1097" s="167"/>
      <c r="AC1097" s="167"/>
      <c r="AD1097" s="167"/>
      <c r="AE1097" s="167"/>
      <c r="AF1097" s="167"/>
      <c r="AG1097" s="167"/>
      <c r="AH1097" s="167"/>
      <c r="AI1097" s="167"/>
      <c r="AJ1097" s="167"/>
      <c r="AK1097" s="167"/>
      <c r="AL1097" s="167"/>
    </row>
    <row r="1098" spans="1:38" ht="15.75" customHeight="1">
      <c r="A1098" s="167"/>
      <c r="B1098" s="167"/>
      <c r="C1098" s="167"/>
      <c r="D1098" s="167"/>
      <c r="E1098" s="167"/>
      <c r="F1098" s="167"/>
      <c r="G1098" s="167"/>
      <c r="H1098" s="167"/>
      <c r="I1098" s="167"/>
      <c r="J1098" s="167"/>
      <c r="K1098" s="167"/>
      <c r="L1098" s="167"/>
      <c r="M1098" s="167"/>
      <c r="N1098" s="167"/>
      <c r="O1098" s="167"/>
      <c r="P1098" s="167"/>
      <c r="Q1098" s="167"/>
      <c r="R1098" s="167"/>
      <c r="S1098" s="167"/>
      <c r="T1098" s="167"/>
      <c r="U1098" s="167"/>
      <c r="V1098" s="167"/>
      <c r="W1098" s="167"/>
      <c r="X1098" s="167"/>
      <c r="Y1098" s="167"/>
      <c r="Z1098" s="167"/>
      <c r="AA1098" s="167"/>
      <c r="AB1098" s="167"/>
      <c r="AC1098" s="167"/>
      <c r="AD1098" s="167"/>
      <c r="AE1098" s="167"/>
      <c r="AF1098" s="167"/>
      <c r="AG1098" s="167"/>
      <c r="AH1098" s="167"/>
      <c r="AI1098" s="167"/>
      <c r="AJ1098" s="167"/>
      <c r="AK1098" s="167"/>
      <c r="AL1098" s="167"/>
    </row>
    <row r="1099" spans="1:38" ht="15.75" customHeight="1">
      <c r="A1099" s="167"/>
      <c r="B1099" s="167"/>
      <c r="C1099" s="167"/>
      <c r="D1099" s="167"/>
      <c r="E1099" s="167"/>
      <c r="F1099" s="167"/>
      <c r="G1099" s="167"/>
      <c r="H1099" s="167"/>
      <c r="I1099" s="167"/>
      <c r="J1099" s="167"/>
      <c r="K1099" s="167"/>
      <c r="L1099" s="167"/>
      <c r="M1099" s="167"/>
      <c r="N1099" s="167"/>
      <c r="O1099" s="167"/>
      <c r="P1099" s="167"/>
      <c r="Q1099" s="167"/>
      <c r="R1099" s="167"/>
      <c r="S1099" s="167"/>
      <c r="T1099" s="167"/>
      <c r="U1099" s="167"/>
      <c r="V1099" s="167"/>
      <c r="W1099" s="167"/>
      <c r="X1099" s="167"/>
      <c r="Y1099" s="167"/>
      <c r="Z1099" s="167"/>
      <c r="AA1099" s="167"/>
      <c r="AB1099" s="167"/>
      <c r="AC1099" s="167"/>
      <c r="AD1099" s="167"/>
      <c r="AE1099" s="167"/>
      <c r="AF1099" s="167"/>
      <c r="AG1099" s="167"/>
      <c r="AH1099" s="167"/>
      <c r="AI1099" s="167"/>
      <c r="AJ1099" s="167"/>
      <c r="AK1099" s="167"/>
      <c r="AL1099" s="167"/>
    </row>
    <row r="1100" spans="1:38" ht="15.75" customHeight="1">
      <c r="A1100" s="167"/>
      <c r="B1100" s="167"/>
      <c r="C1100" s="167"/>
      <c r="D1100" s="167"/>
      <c r="E1100" s="167"/>
      <c r="F1100" s="167"/>
      <c r="G1100" s="167"/>
      <c r="H1100" s="167"/>
      <c r="I1100" s="167"/>
      <c r="J1100" s="167"/>
      <c r="K1100" s="167"/>
      <c r="L1100" s="167"/>
      <c r="M1100" s="167"/>
      <c r="N1100" s="167"/>
      <c r="O1100" s="167"/>
      <c r="P1100" s="167"/>
      <c r="Q1100" s="167"/>
      <c r="R1100" s="167"/>
      <c r="S1100" s="167"/>
      <c r="T1100" s="167"/>
      <c r="U1100" s="167"/>
      <c r="V1100" s="167"/>
      <c r="W1100" s="167"/>
      <c r="X1100" s="167"/>
      <c r="Y1100" s="167"/>
      <c r="Z1100" s="167"/>
      <c r="AA1100" s="167"/>
      <c r="AB1100" s="167"/>
      <c r="AC1100" s="167"/>
      <c r="AD1100" s="167"/>
      <c r="AE1100" s="167"/>
      <c r="AF1100" s="167"/>
      <c r="AG1100" s="167"/>
      <c r="AH1100" s="167"/>
      <c r="AI1100" s="167"/>
      <c r="AJ1100" s="167"/>
      <c r="AK1100" s="167"/>
      <c r="AL1100" s="167"/>
    </row>
    <row r="1101" spans="1:38" ht="15.75" customHeight="1">
      <c r="A1101" s="167"/>
      <c r="B1101" s="167"/>
      <c r="C1101" s="167"/>
      <c r="D1101" s="167"/>
      <c r="E1101" s="167"/>
      <c r="F1101" s="167"/>
      <c r="G1101" s="167"/>
      <c r="H1101" s="167"/>
      <c r="I1101" s="167"/>
      <c r="J1101" s="167"/>
      <c r="K1101" s="167"/>
      <c r="L1101" s="167"/>
      <c r="M1101" s="167"/>
      <c r="N1101" s="167"/>
      <c r="O1101" s="167"/>
      <c r="P1101" s="167"/>
      <c r="Q1101" s="167"/>
      <c r="R1101" s="167"/>
      <c r="S1101" s="167"/>
      <c r="T1101" s="167"/>
      <c r="U1101" s="167"/>
      <c r="V1101" s="167"/>
      <c r="W1101" s="167"/>
      <c r="X1101" s="167"/>
      <c r="Y1101" s="167"/>
      <c r="Z1101" s="167"/>
      <c r="AA1101" s="167"/>
      <c r="AB1101" s="167"/>
      <c r="AC1101" s="167"/>
      <c r="AD1101" s="167"/>
      <c r="AE1101" s="167"/>
      <c r="AF1101" s="167"/>
      <c r="AG1101" s="167"/>
      <c r="AH1101" s="167"/>
      <c r="AI1101" s="167"/>
      <c r="AJ1101" s="167"/>
      <c r="AK1101" s="167"/>
      <c r="AL1101" s="167"/>
    </row>
    <row r="1102" spans="1:38" ht="15.75" customHeight="1">
      <c r="A1102" s="167"/>
      <c r="B1102" s="167"/>
      <c r="C1102" s="167"/>
      <c r="D1102" s="167"/>
      <c r="E1102" s="167"/>
      <c r="F1102" s="167"/>
      <c r="G1102" s="167"/>
      <c r="H1102" s="167"/>
      <c r="I1102" s="167"/>
      <c r="J1102" s="167"/>
      <c r="K1102" s="167"/>
      <c r="L1102" s="167"/>
      <c r="M1102" s="167"/>
      <c r="N1102" s="167"/>
      <c r="O1102" s="167"/>
      <c r="P1102" s="167"/>
      <c r="Q1102" s="167"/>
      <c r="R1102" s="167"/>
      <c r="S1102" s="167"/>
      <c r="T1102" s="167"/>
      <c r="U1102" s="167"/>
      <c r="V1102" s="167"/>
      <c r="W1102" s="167"/>
      <c r="X1102" s="167"/>
      <c r="Y1102" s="167"/>
      <c r="Z1102" s="167"/>
      <c r="AA1102" s="167"/>
      <c r="AB1102" s="167"/>
      <c r="AC1102" s="167"/>
      <c r="AD1102" s="167"/>
      <c r="AE1102" s="167"/>
      <c r="AF1102" s="167"/>
      <c r="AG1102" s="167"/>
      <c r="AH1102" s="167"/>
      <c r="AI1102" s="167"/>
      <c r="AJ1102" s="167"/>
      <c r="AK1102" s="167"/>
      <c r="AL1102" s="167"/>
    </row>
    <row r="1103" spans="1:38" ht="15.75" customHeight="1">
      <c r="A1103" s="167"/>
      <c r="B1103" s="167"/>
      <c r="C1103" s="167"/>
      <c r="D1103" s="167"/>
      <c r="E1103" s="167"/>
      <c r="F1103" s="167"/>
      <c r="G1103" s="167"/>
      <c r="H1103" s="167"/>
      <c r="I1103" s="167"/>
      <c r="J1103" s="167"/>
      <c r="K1103" s="167"/>
      <c r="L1103" s="167"/>
      <c r="M1103" s="167"/>
      <c r="N1103" s="167"/>
      <c r="O1103" s="167"/>
      <c r="P1103" s="167"/>
      <c r="Q1103" s="167"/>
      <c r="R1103" s="167"/>
      <c r="S1103" s="167"/>
      <c r="T1103" s="167"/>
      <c r="U1103" s="167"/>
      <c r="V1103" s="167"/>
      <c r="W1103" s="167"/>
      <c r="X1103" s="167"/>
      <c r="Y1103" s="167"/>
      <c r="Z1103" s="167"/>
      <c r="AA1103" s="167"/>
      <c r="AB1103" s="167"/>
      <c r="AC1103" s="167"/>
      <c r="AD1103" s="167"/>
      <c r="AE1103" s="167"/>
      <c r="AF1103" s="167"/>
      <c r="AG1103" s="167"/>
      <c r="AH1103" s="167"/>
      <c r="AI1103" s="167"/>
      <c r="AJ1103" s="167"/>
      <c r="AK1103" s="167"/>
      <c r="AL1103" s="167"/>
    </row>
    <row r="1104" spans="1:38" ht="15.75" customHeight="1">
      <c r="A1104" s="167"/>
      <c r="B1104" s="167"/>
      <c r="C1104" s="167"/>
      <c r="D1104" s="167"/>
      <c r="E1104" s="167"/>
      <c r="F1104" s="167"/>
      <c r="G1104" s="167"/>
      <c r="H1104" s="167"/>
      <c r="I1104" s="167"/>
      <c r="J1104" s="167"/>
      <c r="K1104" s="167"/>
      <c r="L1104" s="167"/>
      <c r="M1104" s="167"/>
      <c r="N1104" s="167"/>
      <c r="O1104" s="167"/>
      <c r="P1104" s="167"/>
      <c r="Q1104" s="167"/>
      <c r="R1104" s="167"/>
      <c r="S1104" s="167"/>
      <c r="T1104" s="167"/>
      <c r="U1104" s="167"/>
      <c r="V1104" s="167"/>
      <c r="W1104" s="167"/>
      <c r="X1104" s="167"/>
      <c r="Y1104" s="167"/>
      <c r="Z1104" s="167"/>
      <c r="AA1104" s="167"/>
      <c r="AB1104" s="167"/>
      <c r="AC1104" s="167"/>
      <c r="AD1104" s="167"/>
      <c r="AE1104" s="167"/>
      <c r="AF1104" s="167"/>
      <c r="AG1104" s="167"/>
      <c r="AH1104" s="167"/>
      <c r="AI1104" s="167"/>
      <c r="AJ1104" s="167"/>
      <c r="AK1104" s="167"/>
      <c r="AL1104" s="167"/>
    </row>
    <row r="1105" spans="1:38" ht="15.75" customHeight="1">
      <c r="A1105" s="167"/>
      <c r="B1105" s="167"/>
      <c r="C1105" s="167"/>
      <c r="D1105" s="167"/>
      <c r="E1105" s="167"/>
      <c r="F1105" s="167"/>
      <c r="G1105" s="167"/>
      <c r="H1105" s="167"/>
      <c r="I1105" s="167"/>
      <c r="J1105" s="167"/>
      <c r="K1105" s="167"/>
      <c r="L1105" s="167"/>
      <c r="M1105" s="167"/>
      <c r="N1105" s="167"/>
      <c r="O1105" s="167"/>
      <c r="P1105" s="167"/>
      <c r="Q1105" s="167"/>
      <c r="R1105" s="167"/>
      <c r="S1105" s="167"/>
      <c r="T1105" s="167"/>
      <c r="U1105" s="167"/>
      <c r="V1105" s="167"/>
      <c r="W1105" s="167"/>
      <c r="X1105" s="167"/>
      <c r="Y1105" s="167"/>
      <c r="Z1105" s="167"/>
      <c r="AA1105" s="167"/>
      <c r="AB1105" s="167"/>
      <c r="AC1105" s="167"/>
      <c r="AD1105" s="167"/>
      <c r="AE1105" s="167"/>
      <c r="AF1105" s="167"/>
      <c r="AG1105" s="167"/>
      <c r="AH1105" s="167"/>
      <c r="AI1105" s="167"/>
      <c r="AJ1105" s="167"/>
      <c r="AK1105" s="167"/>
      <c r="AL1105" s="167"/>
    </row>
    <row r="1106" spans="1:38" ht="15.75" customHeight="1">
      <c r="A1106" s="167"/>
      <c r="B1106" s="167"/>
      <c r="C1106" s="167"/>
      <c r="D1106" s="167"/>
      <c r="E1106" s="167"/>
      <c r="F1106" s="167"/>
      <c r="G1106" s="167"/>
      <c r="H1106" s="167"/>
      <c r="I1106" s="167"/>
      <c r="J1106" s="167"/>
      <c r="K1106" s="167"/>
      <c r="L1106" s="167"/>
      <c r="M1106" s="167"/>
      <c r="N1106" s="167"/>
      <c r="O1106" s="167"/>
      <c r="P1106" s="167"/>
      <c r="Q1106" s="167"/>
      <c r="R1106" s="167"/>
      <c r="S1106" s="167"/>
      <c r="T1106" s="167"/>
      <c r="U1106" s="167"/>
      <c r="V1106" s="167"/>
      <c r="W1106" s="167"/>
      <c r="X1106" s="167"/>
      <c r="Y1106" s="167"/>
      <c r="Z1106" s="167"/>
      <c r="AA1106" s="167"/>
      <c r="AB1106" s="167"/>
      <c r="AC1106" s="167"/>
      <c r="AD1106" s="167"/>
      <c r="AE1106" s="167"/>
      <c r="AF1106" s="167"/>
      <c r="AG1106" s="167"/>
      <c r="AH1106" s="167"/>
      <c r="AI1106" s="167"/>
      <c r="AJ1106" s="167"/>
      <c r="AK1106" s="167"/>
      <c r="AL1106" s="167"/>
    </row>
    <row r="1107" spans="1:38" ht="15.75" customHeight="1">
      <c r="A1107" s="167"/>
      <c r="B1107" s="167"/>
      <c r="C1107" s="167"/>
      <c r="D1107" s="167"/>
      <c r="E1107" s="167"/>
      <c r="F1107" s="167"/>
      <c r="G1107" s="167"/>
      <c r="H1107" s="167"/>
      <c r="I1107" s="167"/>
      <c r="J1107" s="167"/>
      <c r="K1107" s="167"/>
      <c r="L1107" s="167"/>
      <c r="M1107" s="167"/>
      <c r="N1107" s="167"/>
      <c r="O1107" s="167"/>
      <c r="P1107" s="167"/>
      <c r="Q1107" s="167"/>
      <c r="R1107" s="167"/>
      <c r="S1107" s="167"/>
      <c r="T1107" s="167"/>
      <c r="U1107" s="167"/>
      <c r="V1107" s="167"/>
      <c r="W1107" s="167"/>
      <c r="X1107" s="167"/>
      <c r="Y1107" s="167"/>
      <c r="Z1107" s="167"/>
      <c r="AA1107" s="167"/>
      <c r="AB1107" s="167"/>
      <c r="AC1107" s="167"/>
      <c r="AD1107" s="167"/>
      <c r="AE1107" s="167"/>
      <c r="AF1107" s="167"/>
      <c r="AG1107" s="167"/>
      <c r="AH1107" s="167"/>
      <c r="AI1107" s="167"/>
      <c r="AJ1107" s="167"/>
      <c r="AK1107" s="167"/>
      <c r="AL1107" s="167"/>
    </row>
    <row r="1108" spans="1:38" ht="15.75" customHeight="1">
      <c r="A1108" s="167"/>
      <c r="B1108" s="167"/>
      <c r="C1108" s="167"/>
      <c r="D1108" s="167"/>
      <c r="E1108" s="167"/>
      <c r="F1108" s="167"/>
      <c r="G1108" s="167"/>
      <c r="H1108" s="167"/>
      <c r="I1108" s="167"/>
      <c r="J1108" s="167"/>
      <c r="K1108" s="167"/>
      <c r="L1108" s="167"/>
      <c r="M1108" s="167"/>
      <c r="N1108" s="167"/>
      <c r="O1108" s="167"/>
      <c r="P1108" s="167"/>
      <c r="Q1108" s="167"/>
      <c r="R1108" s="167"/>
      <c r="S1108" s="167"/>
      <c r="T1108" s="167"/>
      <c r="U1108" s="167"/>
      <c r="V1108" s="167"/>
      <c r="W1108" s="167"/>
      <c r="X1108" s="167"/>
      <c r="Y1108" s="167"/>
      <c r="Z1108" s="167"/>
      <c r="AA1108" s="167"/>
      <c r="AB1108" s="167"/>
      <c r="AC1108" s="167"/>
      <c r="AD1108" s="167"/>
      <c r="AE1108" s="167"/>
      <c r="AF1108" s="167"/>
      <c r="AG1108" s="167"/>
      <c r="AH1108" s="167"/>
      <c r="AI1108" s="167"/>
      <c r="AJ1108" s="167"/>
      <c r="AK1108" s="167"/>
      <c r="AL1108" s="167"/>
    </row>
    <row r="1109" spans="1:38" ht="15.75" customHeight="1">
      <c r="A1109" s="167"/>
      <c r="B1109" s="167"/>
      <c r="C1109" s="167"/>
      <c r="D1109" s="167"/>
      <c r="E1109" s="167"/>
      <c r="F1109" s="167"/>
      <c r="G1109" s="167"/>
      <c r="H1109" s="167"/>
      <c r="I1109" s="167"/>
      <c r="J1109" s="167"/>
      <c r="K1109" s="167"/>
      <c r="L1109" s="167"/>
      <c r="M1109" s="167"/>
      <c r="N1109" s="167"/>
      <c r="O1109" s="167"/>
      <c r="P1109" s="167"/>
      <c r="Q1109" s="167"/>
      <c r="R1109" s="167"/>
      <c r="S1109" s="167"/>
      <c r="T1109" s="167"/>
      <c r="U1109" s="167"/>
      <c r="V1109" s="167"/>
      <c r="W1109" s="167"/>
      <c r="X1109" s="167"/>
      <c r="Y1109" s="167"/>
      <c r="Z1109" s="167"/>
      <c r="AA1109" s="167"/>
      <c r="AB1109" s="167"/>
      <c r="AC1109" s="167"/>
      <c r="AD1109" s="167"/>
      <c r="AE1109" s="167"/>
      <c r="AF1109" s="167"/>
      <c r="AG1109" s="167"/>
      <c r="AH1109" s="167"/>
      <c r="AI1109" s="167"/>
      <c r="AJ1109" s="167"/>
      <c r="AK1109" s="167"/>
      <c r="AL1109" s="167"/>
    </row>
    <row r="1110" spans="1:38" ht="15.75" customHeight="1">
      <c r="A1110" s="167"/>
      <c r="B1110" s="167"/>
      <c r="C1110" s="167"/>
      <c r="D1110" s="167"/>
      <c r="E1110" s="167"/>
      <c r="F1110" s="167"/>
      <c r="G1110" s="167"/>
      <c r="H1110" s="167"/>
      <c r="I1110" s="167"/>
      <c r="J1110" s="167"/>
      <c r="K1110" s="167"/>
      <c r="L1110" s="167"/>
      <c r="M1110" s="167"/>
      <c r="N1110" s="167"/>
      <c r="O1110" s="167"/>
      <c r="P1110" s="167"/>
      <c r="Q1110" s="167"/>
      <c r="R1110" s="167"/>
      <c r="S1110" s="167"/>
      <c r="T1110" s="167"/>
      <c r="U1110" s="167"/>
      <c r="V1110" s="167"/>
      <c r="W1110" s="167"/>
      <c r="X1110" s="167"/>
      <c r="Y1110" s="167"/>
      <c r="Z1110" s="167"/>
      <c r="AA1110" s="167"/>
      <c r="AB1110" s="167"/>
      <c r="AC1110" s="167"/>
      <c r="AD1110" s="167"/>
      <c r="AE1110" s="167"/>
      <c r="AF1110" s="167"/>
      <c r="AG1110" s="167"/>
      <c r="AH1110" s="167"/>
      <c r="AI1110" s="167"/>
      <c r="AJ1110" s="167"/>
      <c r="AK1110" s="167"/>
      <c r="AL1110" s="167"/>
    </row>
    <row r="1111" spans="1:38" ht="15.75" customHeight="1">
      <c r="A1111" s="167"/>
      <c r="B1111" s="167"/>
      <c r="C1111" s="167"/>
      <c r="D1111" s="167"/>
      <c r="E1111" s="167"/>
      <c r="F1111" s="167"/>
      <c r="G1111" s="167"/>
      <c r="H1111" s="167"/>
      <c r="I1111" s="167"/>
      <c r="J1111" s="167"/>
      <c r="K1111" s="167"/>
      <c r="L1111" s="167"/>
      <c r="M1111" s="167"/>
      <c r="N1111" s="167"/>
      <c r="O1111" s="167"/>
      <c r="P1111" s="167"/>
      <c r="Q1111" s="167"/>
      <c r="R1111" s="167"/>
      <c r="S1111" s="167"/>
      <c r="T1111" s="167"/>
      <c r="U1111" s="167"/>
      <c r="V1111" s="167"/>
      <c r="W1111" s="167"/>
      <c r="X1111" s="167"/>
      <c r="Y1111" s="167"/>
      <c r="Z1111" s="167"/>
      <c r="AA1111" s="167"/>
      <c r="AB1111" s="167"/>
      <c r="AC1111" s="167"/>
      <c r="AD1111" s="167"/>
      <c r="AE1111" s="167"/>
      <c r="AF1111" s="167"/>
      <c r="AG1111" s="167"/>
      <c r="AH1111" s="167"/>
      <c r="AI1111" s="167"/>
      <c r="AJ1111" s="167"/>
      <c r="AK1111" s="167"/>
      <c r="AL1111" s="167"/>
    </row>
    <row r="1112" spans="1:38" ht="15.75" customHeight="1">
      <c r="A1112" s="167"/>
      <c r="B1112" s="167"/>
      <c r="C1112" s="167"/>
      <c r="D1112" s="167"/>
      <c r="E1112" s="167"/>
      <c r="F1112" s="167"/>
      <c r="G1112" s="167"/>
      <c r="H1112" s="167"/>
      <c r="I1112" s="167"/>
      <c r="J1112" s="167"/>
      <c r="K1112" s="167"/>
      <c r="L1112" s="167"/>
      <c r="M1112" s="167"/>
      <c r="N1112" s="167"/>
      <c r="O1112" s="167"/>
      <c r="P1112" s="167"/>
      <c r="Q1112" s="167"/>
      <c r="R1112" s="167"/>
      <c r="S1112" s="167"/>
      <c r="T1112" s="167"/>
      <c r="U1112" s="167"/>
      <c r="V1112" s="167"/>
      <c r="W1112" s="167"/>
      <c r="X1112" s="167"/>
      <c r="Y1112" s="167"/>
      <c r="Z1112" s="167"/>
      <c r="AA1112" s="167"/>
      <c r="AB1112" s="167"/>
      <c r="AC1112" s="167"/>
      <c r="AD1112" s="167"/>
      <c r="AE1112" s="167"/>
      <c r="AF1112" s="167"/>
      <c r="AG1112" s="167"/>
      <c r="AH1112" s="167"/>
      <c r="AI1112" s="167"/>
      <c r="AJ1112" s="167"/>
      <c r="AK1112" s="167"/>
      <c r="AL1112" s="167"/>
    </row>
    <row r="1113" spans="1:38" ht="15.75" customHeight="1">
      <c r="A1113" s="167"/>
      <c r="B1113" s="167"/>
      <c r="C1113" s="167"/>
      <c r="D1113" s="167"/>
      <c r="E1113" s="167"/>
      <c r="F1113" s="167"/>
      <c r="G1113" s="167"/>
      <c r="H1113" s="167"/>
      <c r="I1113" s="167"/>
      <c r="J1113" s="167"/>
      <c r="K1113" s="167"/>
      <c r="L1113" s="167"/>
      <c r="M1113" s="167"/>
      <c r="N1113" s="167"/>
      <c r="O1113" s="167"/>
      <c r="P1113" s="167"/>
      <c r="Q1113" s="167"/>
      <c r="R1113" s="167"/>
      <c r="S1113" s="167"/>
      <c r="T1113" s="167"/>
      <c r="U1113" s="167"/>
      <c r="V1113" s="167"/>
      <c r="W1113" s="167"/>
      <c r="X1113" s="167"/>
      <c r="Y1113" s="167"/>
      <c r="Z1113" s="167"/>
      <c r="AA1113" s="167"/>
      <c r="AB1113" s="167"/>
      <c r="AC1113" s="167"/>
      <c r="AD1113" s="167"/>
      <c r="AE1113" s="167"/>
      <c r="AF1113" s="167"/>
      <c r="AG1113" s="167"/>
      <c r="AH1113" s="167"/>
      <c r="AI1113" s="167"/>
      <c r="AJ1113" s="167"/>
      <c r="AK1113" s="167"/>
      <c r="AL1113" s="167"/>
    </row>
    <row r="1114" spans="1:38" ht="15.75" customHeight="1">
      <c r="A1114" s="167"/>
      <c r="B1114" s="167"/>
      <c r="C1114" s="167"/>
      <c r="D1114" s="167"/>
      <c r="E1114" s="167"/>
      <c r="F1114" s="167"/>
      <c r="G1114" s="167"/>
      <c r="H1114" s="167"/>
      <c r="I1114" s="167"/>
      <c r="J1114" s="167"/>
      <c r="K1114" s="167"/>
      <c r="L1114" s="167"/>
      <c r="M1114" s="167"/>
      <c r="N1114" s="167"/>
      <c r="O1114" s="167"/>
      <c r="P1114" s="167"/>
      <c r="Q1114" s="167"/>
      <c r="R1114" s="167"/>
      <c r="S1114" s="167"/>
      <c r="T1114" s="167"/>
      <c r="U1114" s="167"/>
      <c r="V1114" s="167"/>
      <c r="W1114" s="167"/>
      <c r="X1114" s="167"/>
      <c r="Y1114" s="167"/>
      <c r="Z1114" s="167"/>
      <c r="AA1114" s="167"/>
      <c r="AB1114" s="167"/>
      <c r="AC1114" s="167"/>
      <c r="AD1114" s="167"/>
      <c r="AE1114" s="167"/>
      <c r="AF1114" s="167"/>
      <c r="AG1114" s="167"/>
      <c r="AH1114" s="167"/>
      <c r="AI1114" s="167"/>
      <c r="AJ1114" s="167"/>
      <c r="AK1114" s="167"/>
      <c r="AL1114" s="167"/>
    </row>
    <row r="1115" spans="1:38" ht="15.75" customHeight="1">
      <c r="A1115" s="167"/>
      <c r="B1115" s="167"/>
      <c r="C1115" s="167"/>
      <c r="D1115" s="167"/>
      <c r="E1115" s="167"/>
      <c r="F1115" s="167"/>
      <c r="G1115" s="167"/>
      <c r="H1115" s="167"/>
      <c r="I1115" s="167"/>
      <c r="J1115" s="167"/>
      <c r="K1115" s="167"/>
      <c r="L1115" s="167"/>
      <c r="M1115" s="167"/>
      <c r="N1115" s="167"/>
      <c r="O1115" s="167"/>
      <c r="P1115" s="167"/>
      <c r="Q1115" s="167"/>
      <c r="R1115" s="167"/>
      <c r="S1115" s="167"/>
      <c r="T1115" s="167"/>
      <c r="U1115" s="167"/>
      <c r="V1115" s="167"/>
      <c r="W1115" s="167"/>
      <c r="X1115" s="167"/>
      <c r="Y1115" s="167"/>
      <c r="Z1115" s="167"/>
      <c r="AA1115" s="167"/>
      <c r="AB1115" s="167"/>
      <c r="AC1115" s="167"/>
      <c r="AD1115" s="167"/>
      <c r="AE1115" s="167"/>
      <c r="AF1115" s="167"/>
      <c r="AG1115" s="167"/>
      <c r="AH1115" s="167"/>
      <c r="AI1115" s="167"/>
      <c r="AJ1115" s="167"/>
      <c r="AK1115" s="167"/>
      <c r="AL1115" s="167"/>
    </row>
    <row r="1116" spans="1:38" ht="15.75" customHeight="1">
      <c r="A1116" s="167"/>
      <c r="B1116" s="167"/>
      <c r="C1116" s="167"/>
      <c r="D1116" s="167"/>
      <c r="E1116" s="167"/>
      <c r="F1116" s="167"/>
      <c r="G1116" s="167"/>
      <c r="H1116" s="167"/>
      <c r="I1116" s="167"/>
      <c r="J1116" s="167"/>
      <c r="K1116" s="167"/>
      <c r="L1116" s="167"/>
      <c r="M1116" s="167"/>
      <c r="N1116" s="167"/>
      <c r="O1116" s="167"/>
      <c r="P1116" s="167"/>
      <c r="Q1116" s="167"/>
      <c r="R1116" s="167"/>
      <c r="S1116" s="167"/>
      <c r="T1116" s="167"/>
      <c r="U1116" s="167"/>
      <c r="V1116" s="167"/>
      <c r="W1116" s="167"/>
      <c r="X1116" s="167"/>
      <c r="Y1116" s="167"/>
      <c r="Z1116" s="167"/>
      <c r="AA1116" s="167"/>
      <c r="AB1116" s="167"/>
      <c r="AC1116" s="167"/>
      <c r="AD1116" s="167"/>
      <c r="AE1116" s="167"/>
      <c r="AF1116" s="167"/>
      <c r="AG1116" s="167"/>
      <c r="AH1116" s="167"/>
      <c r="AI1116" s="167"/>
      <c r="AJ1116" s="167"/>
      <c r="AK1116" s="167"/>
      <c r="AL1116" s="167"/>
    </row>
    <row r="1117" spans="1:38" ht="15.75" customHeight="1">
      <c r="A1117" s="167"/>
      <c r="B1117" s="167"/>
      <c r="C1117" s="167"/>
      <c r="D1117" s="167"/>
      <c r="E1117" s="167"/>
      <c r="F1117" s="167"/>
      <c r="G1117" s="167"/>
      <c r="H1117" s="167"/>
      <c r="I1117" s="167"/>
      <c r="J1117" s="167"/>
      <c r="K1117" s="167"/>
      <c r="L1117" s="167"/>
      <c r="M1117" s="167"/>
      <c r="N1117" s="167"/>
      <c r="O1117" s="167"/>
      <c r="P1117" s="167"/>
      <c r="Q1117" s="167"/>
      <c r="R1117" s="167"/>
      <c r="S1117" s="167"/>
      <c r="T1117" s="167"/>
      <c r="U1117" s="167"/>
      <c r="V1117" s="167"/>
      <c r="W1117" s="167"/>
      <c r="X1117" s="167"/>
      <c r="Y1117" s="167"/>
      <c r="Z1117" s="167"/>
      <c r="AA1117" s="167"/>
      <c r="AB1117" s="167"/>
      <c r="AC1117" s="167"/>
      <c r="AD1117" s="167"/>
      <c r="AE1117" s="167"/>
      <c r="AF1117" s="167"/>
      <c r="AG1117" s="167"/>
      <c r="AH1117" s="167"/>
      <c r="AI1117" s="167"/>
      <c r="AJ1117" s="167"/>
      <c r="AK1117" s="167"/>
      <c r="AL1117" s="167"/>
    </row>
    <row r="1118" spans="1:38" ht="15.75" customHeight="1">
      <c r="A1118" s="167"/>
      <c r="B1118" s="167"/>
      <c r="C1118" s="167"/>
      <c r="D1118" s="167"/>
      <c r="E1118" s="167"/>
      <c r="F1118" s="167"/>
      <c r="G1118" s="167"/>
      <c r="H1118" s="167"/>
      <c r="I1118" s="167"/>
      <c r="J1118" s="167"/>
      <c r="K1118" s="167"/>
      <c r="L1118" s="167"/>
      <c r="M1118" s="167"/>
      <c r="N1118" s="167"/>
      <c r="O1118" s="167"/>
      <c r="P1118" s="167"/>
      <c r="Q1118" s="167"/>
      <c r="R1118" s="167"/>
      <c r="S1118" s="167"/>
      <c r="T1118" s="167"/>
      <c r="U1118" s="167"/>
      <c r="V1118" s="167"/>
      <c r="W1118" s="167"/>
      <c r="X1118" s="167"/>
      <c r="Y1118" s="167"/>
      <c r="Z1118" s="167"/>
      <c r="AA1118" s="167"/>
      <c r="AB1118" s="167"/>
      <c r="AC1118" s="167"/>
      <c r="AD1118" s="167"/>
      <c r="AE1118" s="167"/>
      <c r="AF1118" s="167"/>
      <c r="AG1118" s="167"/>
      <c r="AH1118" s="167"/>
      <c r="AI1118" s="167"/>
      <c r="AJ1118" s="167"/>
      <c r="AK1118" s="167"/>
      <c r="AL1118" s="167"/>
    </row>
    <row r="1119" spans="1:38" ht="15.75" customHeight="1">
      <c r="A1119" s="167"/>
      <c r="B1119" s="167"/>
      <c r="C1119" s="167"/>
      <c r="D1119" s="167"/>
      <c r="E1119" s="167"/>
      <c r="F1119" s="167"/>
      <c r="G1119" s="167"/>
      <c r="H1119" s="167"/>
      <c r="I1119" s="167"/>
      <c r="J1119" s="167"/>
      <c r="K1119" s="167"/>
      <c r="L1119" s="167"/>
      <c r="M1119" s="167"/>
      <c r="N1119" s="167"/>
      <c r="O1119" s="167"/>
      <c r="P1119" s="167"/>
      <c r="Q1119" s="167"/>
      <c r="R1119" s="167"/>
      <c r="S1119" s="167"/>
      <c r="T1119" s="167"/>
      <c r="U1119" s="167"/>
      <c r="V1119" s="167"/>
      <c r="W1119" s="167"/>
      <c r="X1119" s="167"/>
      <c r="Y1119" s="167"/>
      <c r="Z1119" s="167"/>
      <c r="AA1119" s="167"/>
      <c r="AB1119" s="167"/>
      <c r="AC1119" s="167"/>
      <c r="AD1119" s="167"/>
      <c r="AE1119" s="167"/>
      <c r="AF1119" s="167"/>
      <c r="AG1119" s="167"/>
      <c r="AH1119" s="167"/>
      <c r="AI1119" s="167"/>
      <c r="AJ1119" s="167"/>
      <c r="AK1119" s="167"/>
      <c r="AL1119" s="167"/>
    </row>
    <row r="1120" spans="1:38" ht="15.75" customHeight="1">
      <c r="A1120" s="167"/>
      <c r="B1120" s="167"/>
      <c r="C1120" s="167"/>
      <c r="D1120" s="167"/>
      <c r="E1120" s="167"/>
      <c r="F1120" s="167"/>
      <c r="G1120" s="167"/>
      <c r="H1120" s="167"/>
      <c r="I1120" s="167"/>
      <c r="J1120" s="167"/>
      <c r="K1120" s="167"/>
      <c r="L1120" s="167"/>
      <c r="M1120" s="167"/>
      <c r="N1120" s="167"/>
      <c r="O1120" s="167"/>
      <c r="P1120" s="167"/>
      <c r="Q1120" s="167"/>
      <c r="R1120" s="167"/>
      <c r="S1120" s="167"/>
      <c r="T1120" s="167"/>
      <c r="U1120" s="167"/>
      <c r="V1120" s="167"/>
      <c r="W1120" s="167"/>
      <c r="X1120" s="167"/>
      <c r="Y1120" s="167"/>
      <c r="Z1120" s="167"/>
      <c r="AA1120" s="167"/>
      <c r="AB1120" s="167"/>
      <c r="AC1120" s="167"/>
      <c r="AD1120" s="167"/>
      <c r="AE1120" s="167"/>
      <c r="AF1120" s="167"/>
      <c r="AG1120" s="167"/>
      <c r="AH1120" s="167"/>
      <c r="AI1120" s="167"/>
      <c r="AJ1120" s="167"/>
      <c r="AK1120" s="167"/>
      <c r="AL1120" s="167"/>
    </row>
    <row r="1121" spans="1:38" ht="15.75" customHeight="1">
      <c r="A1121" s="167"/>
      <c r="B1121" s="167"/>
      <c r="C1121" s="167"/>
      <c r="D1121" s="167"/>
      <c r="E1121" s="167"/>
      <c r="F1121" s="167"/>
      <c r="G1121" s="167"/>
      <c r="H1121" s="167"/>
      <c r="I1121" s="167"/>
      <c r="J1121" s="167"/>
      <c r="K1121" s="167"/>
      <c r="L1121" s="167"/>
      <c r="M1121" s="167"/>
      <c r="N1121" s="167"/>
      <c r="O1121" s="167"/>
      <c r="P1121" s="167"/>
      <c r="Q1121" s="167"/>
      <c r="R1121" s="167"/>
      <c r="S1121" s="167"/>
      <c r="T1121" s="167"/>
      <c r="U1121" s="167"/>
      <c r="V1121" s="167"/>
      <c r="W1121" s="167"/>
      <c r="X1121" s="167"/>
      <c r="Y1121" s="167"/>
      <c r="Z1121" s="167"/>
      <c r="AA1121" s="167"/>
      <c r="AB1121" s="167"/>
      <c r="AC1121" s="167"/>
      <c r="AD1121" s="167"/>
      <c r="AE1121" s="167"/>
      <c r="AF1121" s="167"/>
      <c r="AG1121" s="167"/>
      <c r="AH1121" s="167"/>
      <c r="AI1121" s="167"/>
      <c r="AJ1121" s="167"/>
      <c r="AK1121" s="167"/>
      <c r="AL1121" s="167"/>
    </row>
    <row r="1122" spans="1:38" ht="15.75" customHeight="1">
      <c r="A1122" s="167"/>
      <c r="B1122" s="167"/>
      <c r="C1122" s="167"/>
      <c r="D1122" s="167"/>
      <c r="E1122" s="167"/>
      <c r="F1122" s="167"/>
      <c r="G1122" s="167"/>
      <c r="H1122" s="167"/>
      <c r="I1122" s="167"/>
      <c r="J1122" s="167"/>
      <c r="K1122" s="167"/>
      <c r="L1122" s="167"/>
      <c r="M1122" s="167"/>
      <c r="N1122" s="167"/>
      <c r="O1122" s="167"/>
      <c r="P1122" s="167"/>
      <c r="Q1122" s="167"/>
      <c r="R1122" s="167"/>
      <c r="S1122" s="167"/>
      <c r="T1122" s="167"/>
      <c r="U1122" s="167"/>
      <c r="V1122" s="167"/>
      <c r="W1122" s="167"/>
      <c r="X1122" s="167"/>
      <c r="Y1122" s="167"/>
      <c r="Z1122" s="167"/>
      <c r="AA1122" s="167"/>
      <c r="AB1122" s="167"/>
      <c r="AC1122" s="167"/>
      <c r="AD1122" s="167"/>
      <c r="AE1122" s="167"/>
      <c r="AF1122" s="167"/>
      <c r="AG1122" s="167"/>
      <c r="AH1122" s="167"/>
      <c r="AI1122" s="167"/>
      <c r="AJ1122" s="167"/>
      <c r="AK1122" s="167"/>
      <c r="AL1122" s="167"/>
    </row>
    <row r="1123" spans="1:38" ht="15.75" customHeight="1">
      <c r="A1123" s="167"/>
      <c r="B1123" s="167"/>
      <c r="C1123" s="167"/>
      <c r="D1123" s="167"/>
      <c r="E1123" s="167"/>
      <c r="F1123" s="167"/>
      <c r="G1123" s="167"/>
      <c r="H1123" s="167"/>
      <c r="I1123" s="167"/>
      <c r="J1123" s="167"/>
      <c r="K1123" s="167"/>
      <c r="L1123" s="167"/>
      <c r="M1123" s="167"/>
      <c r="N1123" s="167"/>
      <c r="O1123" s="167"/>
      <c r="P1123" s="167"/>
      <c r="Q1123" s="167"/>
      <c r="R1123" s="167"/>
      <c r="S1123" s="167"/>
      <c r="T1123" s="167"/>
      <c r="U1123" s="167"/>
      <c r="V1123" s="167"/>
      <c r="W1123" s="167"/>
      <c r="X1123" s="167"/>
      <c r="Y1123" s="167"/>
      <c r="Z1123" s="167"/>
      <c r="AA1123" s="167"/>
      <c r="AB1123" s="167"/>
      <c r="AC1123" s="167"/>
      <c r="AD1123" s="167"/>
      <c r="AE1123" s="167"/>
      <c r="AF1123" s="167"/>
      <c r="AG1123" s="167"/>
      <c r="AH1123" s="167"/>
      <c r="AI1123" s="167"/>
      <c r="AJ1123" s="167"/>
      <c r="AK1123" s="167"/>
      <c r="AL1123" s="167"/>
    </row>
    <row r="1124" spans="1:38" ht="15.75" customHeight="1">
      <c r="A1124" s="167"/>
      <c r="B1124" s="167"/>
      <c r="C1124" s="167"/>
      <c r="D1124" s="167"/>
      <c r="E1124" s="167"/>
      <c r="F1124" s="167"/>
      <c r="G1124" s="167"/>
      <c r="H1124" s="167"/>
      <c r="I1124" s="167"/>
      <c r="J1124" s="167"/>
      <c r="K1124" s="167"/>
      <c r="L1124" s="167"/>
      <c r="M1124" s="167"/>
      <c r="N1124" s="167"/>
      <c r="O1124" s="167"/>
      <c r="P1124" s="167"/>
      <c r="Q1124" s="167"/>
      <c r="R1124" s="167"/>
      <c r="S1124" s="167"/>
      <c r="T1124" s="167"/>
      <c r="U1124" s="167"/>
      <c r="V1124" s="167"/>
      <c r="W1124" s="167"/>
      <c r="X1124" s="167"/>
      <c r="Y1124" s="167"/>
      <c r="Z1124" s="167"/>
      <c r="AA1124" s="167"/>
      <c r="AB1124" s="167"/>
      <c r="AC1124" s="167"/>
      <c r="AD1124" s="167"/>
      <c r="AE1124" s="167"/>
      <c r="AF1124" s="167"/>
      <c r="AG1124" s="167"/>
      <c r="AH1124" s="167"/>
      <c r="AI1124" s="167"/>
      <c r="AJ1124" s="167"/>
      <c r="AK1124" s="167"/>
      <c r="AL1124" s="167"/>
    </row>
    <row r="1125" spans="1:38" ht="15.75" customHeight="1">
      <c r="A1125" s="167"/>
      <c r="B1125" s="167"/>
      <c r="C1125" s="167"/>
      <c r="D1125" s="167"/>
      <c r="E1125" s="167"/>
      <c r="F1125" s="167"/>
      <c r="G1125" s="167"/>
      <c r="H1125" s="167"/>
      <c r="I1125" s="167"/>
      <c r="J1125" s="167"/>
      <c r="K1125" s="167"/>
      <c r="L1125" s="167"/>
      <c r="M1125" s="167"/>
      <c r="N1125" s="167"/>
      <c r="O1125" s="167"/>
      <c r="P1125" s="167"/>
      <c r="Q1125" s="167"/>
      <c r="R1125" s="167"/>
      <c r="S1125" s="167"/>
      <c r="T1125" s="167"/>
      <c r="U1125" s="167"/>
      <c r="V1125" s="167"/>
      <c r="W1125" s="167"/>
      <c r="X1125" s="167"/>
      <c r="Y1125" s="167"/>
      <c r="Z1125" s="167"/>
      <c r="AA1125" s="167"/>
      <c r="AB1125" s="167"/>
      <c r="AC1125" s="167"/>
      <c r="AD1125" s="167"/>
      <c r="AE1125" s="167"/>
      <c r="AF1125" s="167"/>
      <c r="AG1125" s="167"/>
      <c r="AH1125" s="167"/>
      <c r="AI1125" s="167"/>
      <c r="AJ1125" s="167"/>
      <c r="AK1125" s="167"/>
      <c r="AL1125" s="167"/>
    </row>
    <row r="1126" spans="1:38" ht="15.75" customHeight="1">
      <c r="A1126" s="167"/>
      <c r="B1126" s="167"/>
      <c r="C1126" s="167"/>
      <c r="D1126" s="167"/>
      <c r="E1126" s="167"/>
      <c r="F1126" s="167"/>
      <c r="G1126" s="167"/>
      <c r="H1126" s="167"/>
      <c r="I1126" s="167"/>
      <c r="J1126" s="167"/>
      <c r="K1126" s="167"/>
      <c r="L1126" s="167"/>
      <c r="M1126" s="167"/>
      <c r="N1126" s="167"/>
      <c r="O1126" s="167"/>
      <c r="P1126" s="167"/>
      <c r="Q1126" s="167"/>
      <c r="R1126" s="167"/>
      <c r="S1126" s="167"/>
      <c r="T1126" s="167"/>
      <c r="U1126" s="167"/>
      <c r="V1126" s="167"/>
      <c r="W1126" s="167"/>
      <c r="X1126" s="167"/>
      <c r="Y1126" s="167"/>
      <c r="Z1126" s="167"/>
      <c r="AA1126" s="167"/>
      <c r="AB1126" s="167"/>
      <c r="AC1126" s="167"/>
      <c r="AD1126" s="167"/>
      <c r="AE1126" s="167"/>
      <c r="AF1126" s="167"/>
      <c r="AG1126" s="167"/>
      <c r="AH1126" s="167"/>
      <c r="AI1126" s="167"/>
      <c r="AJ1126" s="167"/>
      <c r="AK1126" s="167"/>
      <c r="AL1126" s="167"/>
    </row>
    <row r="1127" spans="1:38" ht="15.75" customHeight="1">
      <c r="A1127" s="167"/>
      <c r="B1127" s="167"/>
      <c r="C1127" s="167"/>
      <c r="D1127" s="167"/>
      <c r="E1127" s="167"/>
      <c r="F1127" s="167"/>
      <c r="G1127" s="167"/>
      <c r="H1127" s="167"/>
      <c r="I1127" s="167"/>
      <c r="J1127" s="167"/>
      <c r="K1127" s="167"/>
      <c r="L1127" s="167"/>
      <c r="M1127" s="167"/>
      <c r="N1127" s="167"/>
      <c r="O1127" s="167"/>
      <c r="P1127" s="167"/>
      <c r="Q1127" s="167"/>
      <c r="R1127" s="167"/>
      <c r="S1127" s="167"/>
      <c r="T1127" s="167"/>
      <c r="U1127" s="167"/>
      <c r="V1127" s="167"/>
      <c r="W1127" s="167"/>
      <c r="X1127" s="167"/>
      <c r="Y1127" s="167"/>
      <c r="Z1127" s="167"/>
      <c r="AA1127" s="167"/>
      <c r="AB1127" s="167"/>
      <c r="AC1127" s="167"/>
      <c r="AD1127" s="167"/>
      <c r="AE1127" s="167"/>
      <c r="AF1127" s="167"/>
      <c r="AG1127" s="167"/>
      <c r="AH1127" s="167"/>
      <c r="AI1127" s="167"/>
      <c r="AJ1127" s="167"/>
      <c r="AK1127" s="167"/>
      <c r="AL1127" s="167"/>
    </row>
    <row r="1128" spans="1:38" ht="15.75" customHeight="1">
      <c r="A1128" s="167"/>
      <c r="B1128" s="167"/>
      <c r="C1128" s="167"/>
      <c r="D1128" s="167"/>
      <c r="E1128" s="167"/>
      <c r="F1128" s="167"/>
      <c r="G1128" s="167"/>
      <c r="H1128" s="167"/>
      <c r="I1128" s="167"/>
      <c r="J1128" s="167"/>
      <c r="K1128" s="167"/>
      <c r="L1128" s="167"/>
      <c r="M1128" s="167"/>
      <c r="N1128" s="167"/>
      <c r="O1128" s="167"/>
      <c r="P1128" s="167"/>
      <c r="Q1128" s="167"/>
      <c r="R1128" s="167"/>
      <c r="S1128" s="167"/>
      <c r="T1128" s="167"/>
      <c r="U1128" s="167"/>
      <c r="V1128" s="167"/>
      <c r="W1128" s="167"/>
      <c r="X1128" s="167"/>
      <c r="Y1128" s="167"/>
      <c r="Z1128" s="167"/>
      <c r="AA1128" s="167"/>
      <c r="AB1128" s="167"/>
      <c r="AC1128" s="167"/>
      <c r="AD1128" s="167"/>
      <c r="AE1128" s="167"/>
      <c r="AF1128" s="167"/>
      <c r="AG1128" s="167"/>
      <c r="AH1128" s="167"/>
      <c r="AI1128" s="167"/>
      <c r="AJ1128" s="167"/>
      <c r="AK1128" s="167"/>
      <c r="AL1128" s="167"/>
    </row>
    <row r="1129" spans="1:38" ht="15.75" customHeight="1">
      <c r="A1129" s="167"/>
      <c r="B1129" s="167"/>
      <c r="C1129" s="167"/>
      <c r="D1129" s="167"/>
      <c r="E1129" s="167"/>
      <c r="F1129" s="167"/>
      <c r="G1129" s="167"/>
      <c r="H1129" s="167"/>
      <c r="I1129" s="167"/>
      <c r="J1129" s="167"/>
      <c r="K1129" s="167"/>
      <c r="L1129" s="167"/>
      <c r="M1129" s="167"/>
      <c r="N1129" s="167"/>
      <c r="O1129" s="167"/>
      <c r="P1129" s="167"/>
      <c r="Q1129" s="167"/>
      <c r="R1129" s="167"/>
      <c r="S1129" s="167"/>
      <c r="T1129" s="167"/>
      <c r="U1129" s="167"/>
      <c r="V1129" s="167"/>
      <c r="W1129" s="167"/>
      <c r="X1129" s="167"/>
      <c r="Y1129" s="167"/>
      <c r="Z1129" s="167"/>
      <c r="AA1129" s="167"/>
      <c r="AB1129" s="167"/>
      <c r="AC1129" s="167"/>
      <c r="AD1129" s="167"/>
      <c r="AE1129" s="167"/>
      <c r="AF1129" s="167"/>
      <c r="AG1129" s="167"/>
      <c r="AH1129" s="167"/>
      <c r="AI1129" s="167"/>
      <c r="AJ1129" s="167"/>
      <c r="AK1129" s="167"/>
      <c r="AL1129" s="167"/>
    </row>
    <row r="1130" spans="1:38" ht="15.75" customHeight="1">
      <c r="A1130" s="167"/>
      <c r="B1130" s="167"/>
      <c r="C1130" s="167"/>
      <c r="D1130" s="167"/>
      <c r="E1130" s="167"/>
      <c r="F1130" s="167"/>
      <c r="G1130" s="167"/>
      <c r="H1130" s="167"/>
      <c r="I1130" s="167"/>
      <c r="J1130" s="167"/>
      <c r="K1130" s="167"/>
      <c r="L1130" s="167"/>
      <c r="M1130" s="167"/>
      <c r="N1130" s="167"/>
      <c r="O1130" s="167"/>
      <c r="P1130" s="167"/>
      <c r="Q1130" s="167"/>
      <c r="R1130" s="167"/>
      <c r="S1130" s="167"/>
      <c r="T1130" s="167"/>
      <c r="U1130" s="167"/>
      <c r="V1130" s="167"/>
      <c r="W1130" s="167"/>
      <c r="X1130" s="167"/>
      <c r="Y1130" s="167"/>
      <c r="Z1130" s="167"/>
      <c r="AA1130" s="167"/>
      <c r="AB1130" s="167"/>
      <c r="AC1130" s="167"/>
      <c r="AD1130" s="167"/>
      <c r="AE1130" s="167"/>
      <c r="AF1130" s="167"/>
      <c r="AG1130" s="167"/>
      <c r="AH1130" s="167"/>
      <c r="AI1130" s="167"/>
      <c r="AJ1130" s="167"/>
      <c r="AK1130" s="167"/>
      <c r="AL1130" s="167"/>
    </row>
    <row r="1131" spans="1:38" ht="15.75" customHeight="1">
      <c r="A1131" s="167"/>
      <c r="B1131" s="167"/>
      <c r="C1131" s="167"/>
      <c r="D1131" s="167"/>
      <c r="E1131" s="167"/>
      <c r="F1131" s="167"/>
      <c r="G1131" s="167"/>
      <c r="H1131" s="167"/>
      <c r="I1131" s="167"/>
      <c r="J1131" s="167"/>
      <c r="K1131" s="167"/>
      <c r="L1131" s="167"/>
      <c r="M1131" s="167"/>
      <c r="N1131" s="167"/>
      <c r="O1131" s="167"/>
      <c r="P1131" s="167"/>
      <c r="Q1131" s="167"/>
      <c r="R1131" s="167"/>
      <c r="S1131" s="167"/>
      <c r="T1131" s="167"/>
      <c r="U1131" s="167"/>
      <c r="V1131" s="167"/>
      <c r="W1131" s="167"/>
      <c r="X1131" s="167"/>
      <c r="Y1131" s="167"/>
      <c r="Z1131" s="167"/>
      <c r="AA1131" s="167"/>
      <c r="AB1131" s="167"/>
      <c r="AC1131" s="167"/>
      <c r="AD1131" s="167"/>
      <c r="AE1131" s="167"/>
      <c r="AF1131" s="167"/>
      <c r="AG1131" s="167"/>
      <c r="AH1131" s="167"/>
      <c r="AI1131" s="167"/>
      <c r="AJ1131" s="167"/>
      <c r="AK1131" s="167"/>
      <c r="AL1131" s="167"/>
    </row>
    <row r="1132" spans="1:38" ht="15.75" customHeight="1">
      <c r="A1132" s="167"/>
      <c r="B1132" s="167"/>
      <c r="C1132" s="167"/>
      <c r="D1132" s="167"/>
      <c r="E1132" s="167"/>
      <c r="F1132" s="167"/>
      <c r="G1132" s="167"/>
      <c r="H1132" s="167"/>
      <c r="I1132" s="167"/>
      <c r="J1132" s="167"/>
      <c r="K1132" s="167"/>
      <c r="L1132" s="167"/>
      <c r="M1132" s="167"/>
      <c r="N1132" s="167"/>
      <c r="O1132" s="167"/>
      <c r="P1132" s="167"/>
      <c r="Q1132" s="167"/>
      <c r="R1132" s="167"/>
      <c r="S1132" s="167"/>
      <c r="T1132" s="167"/>
      <c r="U1132" s="167"/>
      <c r="V1132" s="167"/>
      <c r="W1132" s="167"/>
      <c r="X1132" s="167"/>
      <c r="Y1132" s="167"/>
      <c r="Z1132" s="167"/>
      <c r="AA1132" s="167"/>
      <c r="AB1132" s="167"/>
      <c r="AC1132" s="167"/>
      <c r="AD1132" s="167"/>
      <c r="AE1132" s="167"/>
      <c r="AF1132" s="167"/>
      <c r="AG1132" s="167"/>
      <c r="AH1132" s="167"/>
      <c r="AI1132" s="167"/>
      <c r="AJ1132" s="167"/>
      <c r="AK1132" s="167"/>
      <c r="AL1132" s="167"/>
    </row>
    <row r="1133" spans="1:38" ht="15.75" customHeight="1">
      <c r="A1133" s="167"/>
      <c r="B1133" s="167"/>
      <c r="C1133" s="167"/>
      <c r="D1133" s="167"/>
      <c r="E1133" s="167"/>
      <c r="F1133" s="167"/>
      <c r="G1133" s="167"/>
      <c r="H1133" s="167"/>
      <c r="I1133" s="167"/>
      <c r="J1133" s="167"/>
      <c r="K1133" s="167"/>
      <c r="L1133" s="167"/>
      <c r="M1133" s="167"/>
      <c r="N1133" s="167"/>
      <c r="O1133" s="167"/>
      <c r="P1133" s="167"/>
      <c r="Q1133" s="167"/>
      <c r="R1133" s="167"/>
      <c r="S1133" s="167"/>
      <c r="T1133" s="167"/>
      <c r="U1133" s="167"/>
      <c r="V1133" s="167"/>
      <c r="W1133" s="167"/>
      <c r="X1133" s="167"/>
      <c r="Y1133" s="167"/>
      <c r="Z1133" s="167"/>
      <c r="AA1133" s="167"/>
      <c r="AB1133" s="167"/>
      <c r="AC1133" s="167"/>
      <c r="AD1133" s="167"/>
      <c r="AE1133" s="167"/>
      <c r="AF1133" s="167"/>
      <c r="AG1133" s="167"/>
      <c r="AH1133" s="167"/>
      <c r="AI1133" s="167"/>
      <c r="AJ1133" s="167"/>
      <c r="AK1133" s="167"/>
      <c r="AL1133" s="167"/>
    </row>
    <row r="1134" spans="1:38" ht="15.75" customHeight="1">
      <c r="A1134" s="167"/>
      <c r="B1134" s="167"/>
      <c r="C1134" s="167"/>
      <c r="D1134" s="167"/>
      <c r="E1134" s="167"/>
      <c r="F1134" s="167"/>
      <c r="G1134" s="167"/>
      <c r="H1134" s="167"/>
      <c r="I1134" s="167"/>
      <c r="J1134" s="167"/>
      <c r="K1134" s="167"/>
      <c r="L1134" s="167"/>
      <c r="M1134" s="167"/>
      <c r="N1134" s="167"/>
      <c r="O1134" s="167"/>
      <c r="P1134" s="167"/>
      <c r="Q1134" s="167"/>
      <c r="R1134" s="167"/>
      <c r="S1134" s="167"/>
      <c r="T1134" s="167"/>
      <c r="U1134" s="167"/>
      <c r="V1134" s="167"/>
      <c r="W1134" s="167"/>
      <c r="X1134" s="167"/>
      <c r="Y1134" s="167"/>
      <c r="Z1134" s="167"/>
      <c r="AA1134" s="167"/>
      <c r="AB1134" s="167"/>
      <c r="AC1134" s="167"/>
      <c r="AD1134" s="167"/>
      <c r="AE1134" s="167"/>
      <c r="AF1134" s="167"/>
      <c r="AG1134" s="167"/>
      <c r="AH1134" s="167"/>
      <c r="AI1134" s="167"/>
      <c r="AJ1134" s="167"/>
      <c r="AK1134" s="167"/>
      <c r="AL1134" s="167"/>
    </row>
    <row r="1135" spans="1:38" ht="15.75" customHeight="1">
      <c r="A1135" s="167"/>
      <c r="B1135" s="167"/>
      <c r="C1135" s="167"/>
      <c r="D1135" s="167"/>
      <c r="E1135" s="167"/>
      <c r="F1135" s="167"/>
      <c r="G1135" s="167"/>
      <c r="H1135" s="167"/>
      <c r="I1135" s="167"/>
      <c r="J1135" s="167"/>
      <c r="K1135" s="167"/>
      <c r="L1135" s="167"/>
      <c r="M1135" s="167"/>
      <c r="N1135" s="167"/>
      <c r="O1135" s="167"/>
      <c r="P1135" s="167"/>
      <c r="Q1135" s="167"/>
      <c r="R1135" s="167"/>
      <c r="S1135" s="167"/>
      <c r="T1135" s="167"/>
      <c r="U1135" s="167"/>
      <c r="V1135" s="167"/>
      <c r="W1135" s="167"/>
      <c r="X1135" s="167"/>
      <c r="Y1135" s="167"/>
      <c r="Z1135" s="167"/>
      <c r="AA1135" s="167"/>
      <c r="AB1135" s="167"/>
      <c r="AC1135" s="167"/>
      <c r="AD1135" s="167"/>
      <c r="AE1135" s="167"/>
      <c r="AF1135" s="167"/>
      <c r="AG1135" s="167"/>
      <c r="AH1135" s="167"/>
      <c r="AI1135" s="167"/>
      <c r="AJ1135" s="167"/>
      <c r="AK1135" s="167"/>
      <c r="AL1135" s="167"/>
    </row>
    <row r="1136" spans="1:38" ht="15.75" customHeight="1">
      <c r="A1136" s="167"/>
      <c r="B1136" s="167"/>
      <c r="C1136" s="167"/>
      <c r="D1136" s="167"/>
      <c r="E1136" s="167"/>
      <c r="F1136" s="167"/>
      <c r="G1136" s="167"/>
      <c r="H1136" s="167"/>
      <c r="I1136" s="167"/>
      <c r="J1136" s="167"/>
      <c r="K1136" s="167"/>
      <c r="L1136" s="167"/>
      <c r="M1136" s="167"/>
      <c r="N1136" s="167"/>
      <c r="O1136" s="167"/>
      <c r="P1136" s="167"/>
      <c r="Q1136" s="167"/>
      <c r="R1136" s="167"/>
      <c r="S1136" s="167"/>
      <c r="T1136" s="167"/>
      <c r="U1136" s="167"/>
      <c r="V1136" s="167"/>
      <c r="W1136" s="167"/>
      <c r="X1136" s="167"/>
      <c r="Y1136" s="167"/>
      <c r="Z1136" s="167"/>
      <c r="AA1136" s="167"/>
      <c r="AB1136" s="167"/>
      <c r="AC1136" s="167"/>
      <c r="AD1136" s="167"/>
      <c r="AE1136" s="167"/>
      <c r="AF1136" s="167"/>
      <c r="AG1136" s="167"/>
      <c r="AH1136" s="167"/>
      <c r="AI1136" s="167"/>
      <c r="AJ1136" s="167"/>
      <c r="AK1136" s="167"/>
      <c r="AL1136" s="167"/>
    </row>
    <row r="1137" spans="1:38" ht="15.75" customHeight="1">
      <c r="A1137" s="167"/>
      <c r="B1137" s="167"/>
      <c r="C1137" s="167"/>
      <c r="D1137" s="167"/>
      <c r="E1137" s="167"/>
      <c r="F1137" s="167"/>
      <c r="G1137" s="167"/>
      <c r="H1137" s="167"/>
      <c r="I1137" s="167"/>
      <c r="J1137" s="167"/>
      <c r="K1137" s="167"/>
      <c r="L1137" s="167"/>
      <c r="M1137" s="167"/>
      <c r="N1137" s="167"/>
      <c r="O1137" s="167"/>
      <c r="P1137" s="167"/>
      <c r="Q1137" s="167"/>
      <c r="R1137" s="167"/>
      <c r="S1137" s="167"/>
      <c r="T1137" s="167"/>
      <c r="U1137" s="167"/>
      <c r="V1137" s="167"/>
      <c r="W1137" s="167"/>
      <c r="X1137" s="167"/>
      <c r="Y1137" s="167"/>
      <c r="Z1137" s="167"/>
      <c r="AA1137" s="167"/>
      <c r="AB1137" s="167"/>
      <c r="AC1137" s="167"/>
      <c r="AD1137" s="167"/>
      <c r="AE1137" s="167"/>
      <c r="AF1137" s="167"/>
      <c r="AG1137" s="167"/>
      <c r="AH1137" s="167"/>
      <c r="AI1137" s="167"/>
      <c r="AJ1137" s="167"/>
      <c r="AK1137" s="167"/>
      <c r="AL1137" s="167"/>
    </row>
    <row r="1138" spans="1:38" ht="15.75" customHeight="1">
      <c r="A1138" s="167"/>
      <c r="B1138" s="167"/>
      <c r="C1138" s="167"/>
      <c r="D1138" s="167"/>
      <c r="E1138" s="167"/>
      <c r="F1138" s="167"/>
      <c r="G1138" s="167"/>
      <c r="H1138" s="167"/>
      <c r="I1138" s="167"/>
      <c r="J1138" s="167"/>
      <c r="K1138" s="167"/>
      <c r="L1138" s="167"/>
      <c r="M1138" s="167"/>
      <c r="N1138" s="167"/>
      <c r="O1138" s="167"/>
      <c r="P1138" s="167"/>
      <c r="Q1138" s="167"/>
      <c r="R1138" s="167"/>
      <c r="S1138" s="167"/>
      <c r="T1138" s="167"/>
      <c r="U1138" s="167"/>
      <c r="V1138" s="167"/>
      <c r="W1138" s="167"/>
      <c r="X1138" s="167"/>
      <c r="Y1138" s="167"/>
      <c r="Z1138" s="167"/>
      <c r="AA1138" s="167"/>
      <c r="AB1138" s="167"/>
      <c r="AC1138" s="167"/>
      <c r="AD1138" s="167"/>
      <c r="AE1138" s="167"/>
      <c r="AF1138" s="167"/>
      <c r="AG1138" s="167"/>
      <c r="AH1138" s="167"/>
      <c r="AI1138" s="167"/>
      <c r="AJ1138" s="167"/>
      <c r="AK1138" s="167"/>
      <c r="AL1138" s="167"/>
    </row>
    <row r="1139" spans="1:38" ht="15.75" customHeight="1">
      <c r="A1139" s="167"/>
      <c r="B1139" s="167"/>
      <c r="C1139" s="167"/>
      <c r="D1139" s="167"/>
      <c r="E1139" s="167"/>
      <c r="F1139" s="167"/>
      <c r="G1139" s="167"/>
      <c r="H1139" s="167"/>
      <c r="I1139" s="167"/>
      <c r="J1139" s="167"/>
      <c r="K1139" s="167"/>
      <c r="L1139" s="167"/>
      <c r="M1139" s="167"/>
      <c r="N1139" s="167"/>
      <c r="O1139" s="167"/>
      <c r="P1139" s="167"/>
      <c r="Q1139" s="167"/>
      <c r="R1139" s="167"/>
      <c r="S1139" s="167"/>
      <c r="T1139" s="167"/>
      <c r="U1139" s="167"/>
      <c r="V1139" s="167"/>
      <c r="W1139" s="167"/>
      <c r="X1139" s="167"/>
      <c r="Y1139" s="167"/>
      <c r="Z1139" s="167"/>
      <c r="AA1139" s="167"/>
      <c r="AB1139" s="167"/>
      <c r="AC1139" s="167"/>
      <c r="AD1139" s="167"/>
      <c r="AE1139" s="167"/>
      <c r="AF1139" s="167"/>
      <c r="AG1139" s="167"/>
      <c r="AH1139" s="167"/>
      <c r="AI1139" s="167"/>
      <c r="AJ1139" s="167"/>
      <c r="AK1139" s="167"/>
      <c r="AL1139" s="167"/>
    </row>
    <row r="1140" spans="1:38" ht="15.75" customHeight="1">
      <c r="A1140" s="167"/>
      <c r="B1140" s="167"/>
      <c r="C1140" s="167"/>
      <c r="D1140" s="167"/>
      <c r="E1140" s="167"/>
      <c r="F1140" s="167"/>
      <c r="G1140" s="167"/>
      <c r="H1140" s="167"/>
      <c r="I1140" s="167"/>
      <c r="J1140" s="167"/>
      <c r="K1140" s="167"/>
      <c r="L1140" s="167"/>
      <c r="M1140" s="167"/>
      <c r="N1140" s="167"/>
      <c r="O1140" s="167"/>
      <c r="P1140" s="167"/>
      <c r="Q1140" s="167"/>
      <c r="R1140" s="167"/>
      <c r="S1140" s="167"/>
      <c r="T1140" s="167"/>
      <c r="U1140" s="167"/>
      <c r="V1140" s="167"/>
      <c r="W1140" s="167"/>
      <c r="X1140" s="167"/>
      <c r="Y1140" s="167"/>
      <c r="Z1140" s="167"/>
      <c r="AA1140" s="167"/>
      <c r="AB1140" s="167"/>
      <c r="AC1140" s="167"/>
      <c r="AD1140" s="167"/>
      <c r="AE1140" s="167"/>
      <c r="AF1140" s="167"/>
      <c r="AG1140" s="167"/>
      <c r="AH1140" s="167"/>
      <c r="AI1140" s="167"/>
      <c r="AJ1140" s="167"/>
      <c r="AK1140" s="167"/>
      <c r="AL1140" s="167"/>
    </row>
    <row r="1141" spans="1:38" ht="15.75" customHeight="1">
      <c r="A1141" s="167"/>
      <c r="B1141" s="167"/>
      <c r="C1141" s="167"/>
      <c r="D1141" s="167"/>
      <c r="E1141" s="167"/>
      <c r="F1141" s="167"/>
      <c r="G1141" s="167"/>
      <c r="H1141" s="167"/>
      <c r="I1141" s="167"/>
      <c r="J1141" s="167"/>
      <c r="K1141" s="167"/>
      <c r="L1141" s="167"/>
      <c r="M1141" s="167"/>
      <c r="N1141" s="167"/>
      <c r="O1141" s="167"/>
      <c r="P1141" s="167"/>
      <c r="Q1141" s="167"/>
      <c r="R1141" s="167"/>
      <c r="S1141" s="167"/>
      <c r="T1141" s="167"/>
      <c r="U1141" s="167"/>
      <c r="V1141" s="167"/>
      <c r="W1141" s="167"/>
      <c r="X1141" s="167"/>
      <c r="Y1141" s="167"/>
      <c r="Z1141" s="167"/>
      <c r="AA1141" s="167"/>
      <c r="AB1141" s="167"/>
      <c r="AC1141" s="167"/>
      <c r="AD1141" s="167"/>
      <c r="AE1141" s="167"/>
      <c r="AF1141" s="167"/>
      <c r="AG1141" s="167"/>
      <c r="AH1141" s="167"/>
      <c r="AI1141" s="167"/>
      <c r="AJ1141" s="167"/>
      <c r="AK1141" s="167"/>
      <c r="AL1141" s="167"/>
    </row>
    <row r="1142" spans="1:38" ht="15.75" customHeight="1">
      <c r="A1142" s="167"/>
      <c r="B1142" s="167"/>
      <c r="C1142" s="167"/>
      <c r="D1142" s="167"/>
      <c r="E1142" s="167"/>
      <c r="F1142" s="167"/>
      <c r="G1142" s="167"/>
      <c r="H1142" s="167"/>
      <c r="I1142" s="167"/>
      <c r="J1142" s="167"/>
      <c r="K1142" s="167"/>
      <c r="L1142" s="167"/>
      <c r="M1142" s="167"/>
      <c r="N1142" s="167"/>
      <c r="O1142" s="167"/>
      <c r="P1142" s="167"/>
      <c r="Q1142" s="167"/>
      <c r="R1142" s="167"/>
      <c r="S1142" s="167"/>
      <c r="T1142" s="167"/>
      <c r="U1142" s="167"/>
      <c r="V1142" s="167"/>
      <c r="W1142" s="167"/>
      <c r="X1142" s="167"/>
      <c r="Y1142" s="167"/>
      <c r="Z1142" s="167"/>
      <c r="AA1142" s="167"/>
      <c r="AB1142" s="167"/>
      <c r="AC1142" s="167"/>
      <c r="AD1142" s="167"/>
      <c r="AE1142" s="167"/>
      <c r="AF1142" s="167"/>
      <c r="AG1142" s="167"/>
      <c r="AH1142" s="167"/>
      <c r="AI1142" s="167"/>
      <c r="AJ1142" s="167"/>
      <c r="AK1142" s="167"/>
      <c r="AL1142" s="167"/>
    </row>
    <row r="1143" spans="1:38" ht="15.75" customHeight="1">
      <c r="A1143" s="167"/>
      <c r="B1143" s="167"/>
      <c r="C1143" s="167"/>
      <c r="D1143" s="167"/>
      <c r="E1143" s="167"/>
      <c r="F1143" s="167"/>
      <c r="G1143" s="167"/>
      <c r="H1143" s="167"/>
      <c r="I1143" s="167"/>
      <c r="J1143" s="167"/>
      <c r="K1143" s="167"/>
      <c r="L1143" s="167"/>
      <c r="M1143" s="167"/>
      <c r="N1143" s="167"/>
      <c r="O1143" s="167"/>
      <c r="P1143" s="167"/>
      <c r="Q1143" s="167"/>
      <c r="R1143" s="167"/>
      <c r="S1143" s="167"/>
      <c r="T1143" s="167"/>
      <c r="U1143" s="167"/>
      <c r="V1143" s="167"/>
      <c r="W1143" s="167"/>
      <c r="X1143" s="167"/>
      <c r="Y1143" s="167"/>
      <c r="Z1143" s="167"/>
      <c r="AA1143" s="167"/>
      <c r="AB1143" s="167"/>
      <c r="AC1143" s="167"/>
      <c r="AD1143" s="167"/>
      <c r="AE1143" s="167"/>
      <c r="AF1143" s="167"/>
      <c r="AG1143" s="167"/>
      <c r="AH1143" s="167"/>
      <c r="AI1143" s="167"/>
      <c r="AJ1143" s="167"/>
      <c r="AK1143" s="167"/>
      <c r="AL1143" s="167"/>
    </row>
    <row r="1144" spans="1:38" ht="15.75" customHeight="1">
      <c r="A1144" s="167"/>
      <c r="B1144" s="167"/>
      <c r="C1144" s="167"/>
      <c r="D1144" s="167"/>
      <c r="E1144" s="167"/>
      <c r="F1144" s="167"/>
      <c r="G1144" s="167"/>
      <c r="H1144" s="167"/>
      <c r="I1144" s="167"/>
      <c r="J1144" s="167"/>
      <c r="K1144" s="167"/>
      <c r="L1144" s="167"/>
      <c r="M1144" s="167"/>
      <c r="N1144" s="167"/>
      <c r="O1144" s="167"/>
      <c r="P1144" s="167"/>
      <c r="Q1144" s="167"/>
      <c r="R1144" s="167"/>
      <c r="S1144" s="167"/>
      <c r="T1144" s="167"/>
      <c r="U1144" s="167"/>
      <c r="V1144" s="167"/>
      <c r="W1144" s="167"/>
      <c r="X1144" s="167"/>
      <c r="Y1144" s="167"/>
      <c r="Z1144" s="167"/>
      <c r="AA1144" s="167"/>
      <c r="AB1144" s="167"/>
      <c r="AC1144" s="167"/>
      <c r="AD1144" s="167"/>
      <c r="AE1144" s="167"/>
      <c r="AF1144" s="167"/>
      <c r="AG1144" s="167"/>
      <c r="AH1144" s="167"/>
      <c r="AI1144" s="167"/>
      <c r="AJ1144" s="167"/>
      <c r="AK1144" s="167"/>
      <c r="AL1144" s="167"/>
    </row>
    <row r="1145" spans="1:38" ht="15.75" customHeight="1">
      <c r="A1145" s="167"/>
      <c r="B1145" s="167"/>
      <c r="C1145" s="167"/>
      <c r="D1145" s="167"/>
      <c r="E1145" s="167"/>
      <c r="F1145" s="167"/>
      <c r="G1145" s="167"/>
      <c r="H1145" s="167"/>
      <c r="I1145" s="167"/>
      <c r="J1145" s="167"/>
      <c r="K1145" s="167"/>
      <c r="L1145" s="167"/>
      <c r="M1145" s="167"/>
      <c r="N1145" s="167"/>
      <c r="O1145" s="167"/>
      <c r="P1145" s="167"/>
      <c r="Q1145" s="167"/>
      <c r="R1145" s="167"/>
      <c r="S1145" s="167"/>
      <c r="T1145" s="167"/>
      <c r="U1145" s="167"/>
      <c r="V1145" s="167"/>
      <c r="W1145" s="167"/>
      <c r="X1145" s="167"/>
      <c r="Y1145" s="167"/>
      <c r="Z1145" s="167"/>
      <c r="AA1145" s="167"/>
      <c r="AB1145" s="167"/>
      <c r="AC1145" s="167"/>
      <c r="AD1145" s="167"/>
      <c r="AE1145" s="167"/>
      <c r="AF1145" s="167"/>
      <c r="AG1145" s="167"/>
      <c r="AH1145" s="167"/>
      <c r="AI1145" s="167"/>
      <c r="AJ1145" s="167"/>
      <c r="AK1145" s="167"/>
      <c r="AL1145" s="167"/>
    </row>
    <row r="1146" spans="1:38" ht="15.75" customHeight="1">
      <c r="A1146" s="167"/>
      <c r="B1146" s="167"/>
      <c r="C1146" s="167"/>
      <c r="D1146" s="167"/>
      <c r="E1146" s="167"/>
      <c r="F1146" s="167"/>
      <c r="G1146" s="167"/>
      <c r="H1146" s="167"/>
      <c r="I1146" s="167"/>
      <c r="J1146" s="167"/>
      <c r="K1146" s="167"/>
      <c r="L1146" s="167"/>
      <c r="M1146" s="167"/>
      <c r="N1146" s="167"/>
      <c r="O1146" s="167"/>
      <c r="P1146" s="167"/>
      <c r="Q1146" s="167"/>
      <c r="R1146" s="167"/>
      <c r="S1146" s="167"/>
      <c r="T1146" s="167"/>
      <c r="U1146" s="167"/>
      <c r="V1146" s="167"/>
      <c r="W1146" s="167"/>
      <c r="X1146" s="167"/>
      <c r="Y1146" s="167"/>
      <c r="Z1146" s="167"/>
      <c r="AA1146" s="167"/>
      <c r="AB1146" s="167"/>
      <c r="AC1146" s="167"/>
      <c r="AD1146" s="167"/>
      <c r="AE1146" s="167"/>
      <c r="AF1146" s="167"/>
      <c r="AG1146" s="167"/>
      <c r="AH1146" s="167"/>
      <c r="AI1146" s="167"/>
      <c r="AJ1146" s="167"/>
      <c r="AK1146" s="167"/>
      <c r="AL1146" s="167"/>
    </row>
    <row r="1147" spans="1:38" ht="15.75" customHeight="1">
      <c r="A1147" s="167"/>
      <c r="B1147" s="167"/>
      <c r="C1147" s="167"/>
      <c r="D1147" s="167"/>
      <c r="E1147" s="167"/>
      <c r="F1147" s="167"/>
      <c r="G1147" s="167"/>
      <c r="H1147" s="167"/>
      <c r="I1147" s="167"/>
      <c r="J1147" s="167"/>
      <c r="K1147" s="167"/>
      <c r="L1147" s="167"/>
      <c r="M1147" s="167"/>
      <c r="N1147" s="167"/>
      <c r="O1147" s="167"/>
      <c r="P1147" s="167"/>
      <c r="Q1147" s="167"/>
      <c r="R1147" s="167"/>
      <c r="S1147" s="167"/>
      <c r="T1147" s="167"/>
      <c r="U1147" s="167"/>
      <c r="V1147" s="167"/>
      <c r="W1147" s="167"/>
      <c r="X1147" s="167"/>
      <c r="Y1147" s="167"/>
      <c r="Z1147" s="167"/>
      <c r="AA1147" s="167"/>
      <c r="AB1147" s="167"/>
      <c r="AC1147" s="167"/>
      <c r="AD1147" s="167"/>
      <c r="AE1147" s="167"/>
      <c r="AF1147" s="167"/>
      <c r="AG1147" s="167"/>
      <c r="AH1147" s="167"/>
      <c r="AI1147" s="167"/>
      <c r="AJ1147" s="167"/>
      <c r="AK1147" s="167"/>
      <c r="AL1147" s="167"/>
    </row>
    <row r="1148" spans="1:38" ht="15.75" customHeight="1">
      <c r="A1148" s="167"/>
      <c r="B1148" s="167"/>
      <c r="C1148" s="167"/>
      <c r="D1148" s="167"/>
      <c r="E1148" s="167"/>
      <c r="F1148" s="167"/>
      <c r="G1148" s="167"/>
      <c r="H1148" s="167"/>
      <c r="I1148" s="167"/>
      <c r="J1148" s="167"/>
      <c r="K1148" s="167"/>
      <c r="L1148" s="167"/>
      <c r="M1148" s="167"/>
      <c r="N1148" s="167"/>
      <c r="O1148" s="167"/>
      <c r="P1148" s="167"/>
      <c r="Q1148" s="167"/>
      <c r="R1148" s="167"/>
      <c r="S1148" s="167"/>
      <c r="T1148" s="167"/>
      <c r="U1148" s="167"/>
      <c r="V1148" s="167"/>
      <c r="W1148" s="167"/>
      <c r="X1148" s="167"/>
      <c r="Y1148" s="167"/>
      <c r="Z1148" s="167"/>
      <c r="AA1148" s="167"/>
      <c r="AB1148" s="167"/>
      <c r="AC1148" s="167"/>
      <c r="AD1148" s="167"/>
      <c r="AE1148" s="167"/>
      <c r="AF1148" s="167"/>
      <c r="AG1148" s="167"/>
      <c r="AH1148" s="167"/>
      <c r="AI1148" s="167"/>
      <c r="AJ1148" s="167"/>
      <c r="AK1148" s="167"/>
      <c r="AL1148" s="167"/>
    </row>
    <row r="1149" spans="1:38" ht="15.75" customHeight="1">
      <c r="A1149" s="167"/>
      <c r="B1149" s="167"/>
      <c r="C1149" s="167"/>
      <c r="D1149" s="167"/>
      <c r="E1149" s="167"/>
      <c r="F1149" s="167"/>
      <c r="G1149" s="167"/>
      <c r="H1149" s="167"/>
      <c r="I1149" s="167"/>
      <c r="J1149" s="167"/>
      <c r="K1149" s="167"/>
      <c r="L1149" s="167"/>
      <c r="M1149" s="167"/>
      <c r="N1149" s="167"/>
      <c r="O1149" s="167"/>
      <c r="P1149" s="167"/>
      <c r="Q1149" s="167"/>
      <c r="R1149" s="167"/>
      <c r="S1149" s="167"/>
      <c r="T1149" s="167"/>
      <c r="U1149" s="167"/>
      <c r="V1149" s="167"/>
      <c r="W1149" s="167"/>
      <c r="X1149" s="167"/>
      <c r="Y1149" s="167"/>
      <c r="Z1149" s="167"/>
      <c r="AA1149" s="167"/>
      <c r="AB1149" s="167"/>
      <c r="AC1149" s="167"/>
      <c r="AD1149" s="167"/>
      <c r="AE1149" s="167"/>
      <c r="AF1149" s="167"/>
      <c r="AG1149" s="167"/>
      <c r="AH1149" s="167"/>
      <c r="AI1149" s="167"/>
      <c r="AJ1149" s="167"/>
      <c r="AK1149" s="167"/>
      <c r="AL1149" s="167"/>
    </row>
    <row r="1150" spans="1:38" ht="15.75" customHeight="1">
      <c r="A1150" s="167"/>
      <c r="B1150" s="167"/>
      <c r="C1150" s="167"/>
      <c r="D1150" s="167"/>
      <c r="E1150" s="167"/>
      <c r="F1150" s="167"/>
      <c r="G1150" s="167"/>
      <c r="H1150" s="167"/>
      <c r="I1150" s="167"/>
      <c r="J1150" s="167"/>
      <c r="K1150" s="167"/>
      <c r="L1150" s="167"/>
      <c r="M1150" s="167"/>
      <c r="N1150" s="167"/>
      <c r="O1150" s="167"/>
      <c r="P1150" s="167"/>
      <c r="Q1150" s="167"/>
      <c r="R1150" s="167"/>
      <c r="S1150" s="167"/>
      <c r="T1150" s="167"/>
      <c r="U1150" s="167"/>
      <c r="V1150" s="167"/>
      <c r="W1150" s="167"/>
      <c r="X1150" s="167"/>
      <c r="Y1150" s="167"/>
      <c r="Z1150" s="167"/>
      <c r="AA1150" s="167"/>
      <c r="AB1150" s="167"/>
      <c r="AC1150" s="167"/>
      <c r="AD1150" s="167"/>
      <c r="AE1150" s="167"/>
      <c r="AF1150" s="167"/>
      <c r="AG1150" s="167"/>
      <c r="AH1150" s="167"/>
      <c r="AI1150" s="167"/>
      <c r="AJ1150" s="167"/>
      <c r="AK1150" s="167"/>
      <c r="AL1150" s="167"/>
    </row>
    <row r="1151" spans="1:38" ht="15.75" customHeight="1">
      <c r="A1151" s="167"/>
      <c r="B1151" s="167"/>
      <c r="C1151" s="167"/>
      <c r="D1151" s="167"/>
      <c r="E1151" s="167"/>
      <c r="F1151" s="167"/>
      <c r="G1151" s="167"/>
      <c r="H1151" s="167"/>
      <c r="I1151" s="167"/>
      <c r="J1151" s="167"/>
      <c r="K1151" s="167"/>
      <c r="L1151" s="167"/>
      <c r="M1151" s="167"/>
      <c r="N1151" s="167"/>
      <c r="O1151" s="167"/>
      <c r="P1151" s="167"/>
      <c r="Q1151" s="167"/>
      <c r="R1151" s="167"/>
      <c r="S1151" s="167"/>
      <c r="T1151" s="167"/>
      <c r="U1151" s="167"/>
      <c r="V1151" s="167"/>
      <c r="W1151" s="167"/>
      <c r="X1151" s="167"/>
      <c r="Y1151" s="167"/>
      <c r="Z1151" s="167"/>
      <c r="AA1151" s="167"/>
      <c r="AB1151" s="167"/>
      <c r="AC1151" s="167"/>
      <c r="AD1151" s="167"/>
      <c r="AE1151" s="167"/>
      <c r="AF1151" s="167"/>
      <c r="AG1151" s="167"/>
      <c r="AH1151" s="167"/>
      <c r="AI1151" s="167"/>
      <c r="AJ1151" s="167"/>
      <c r="AK1151" s="167"/>
      <c r="AL1151" s="167"/>
    </row>
    <row r="1152" spans="1:38" ht="15.75" customHeight="1">
      <c r="A1152" s="167"/>
      <c r="B1152" s="167"/>
      <c r="C1152" s="167"/>
      <c r="D1152" s="167"/>
      <c r="E1152" s="167"/>
      <c r="F1152" s="167"/>
      <c r="G1152" s="167"/>
      <c r="H1152" s="167"/>
      <c r="I1152" s="167"/>
      <c r="J1152" s="167"/>
      <c r="K1152" s="167"/>
      <c r="L1152" s="167"/>
      <c r="M1152" s="167"/>
      <c r="N1152" s="167"/>
      <c r="O1152" s="167"/>
      <c r="P1152" s="167"/>
      <c r="Q1152" s="167"/>
      <c r="R1152" s="167"/>
      <c r="S1152" s="167"/>
      <c r="T1152" s="167"/>
      <c r="U1152" s="167"/>
      <c r="V1152" s="167"/>
      <c r="W1152" s="167"/>
      <c r="X1152" s="167"/>
      <c r="Y1152" s="167"/>
      <c r="Z1152" s="167"/>
      <c r="AA1152" s="167"/>
      <c r="AB1152" s="167"/>
      <c r="AC1152" s="167"/>
      <c r="AD1152" s="167"/>
      <c r="AE1152" s="167"/>
      <c r="AF1152" s="167"/>
      <c r="AG1152" s="167"/>
      <c r="AH1152" s="167"/>
      <c r="AI1152" s="167"/>
      <c r="AJ1152" s="167"/>
      <c r="AK1152" s="167"/>
      <c r="AL1152" s="167"/>
    </row>
    <row r="1153" spans="1:38" ht="15.75" customHeight="1">
      <c r="A1153" s="167"/>
      <c r="B1153" s="167"/>
      <c r="C1153" s="167"/>
      <c r="D1153" s="167"/>
      <c r="E1153" s="167"/>
      <c r="F1153" s="167"/>
      <c r="G1153" s="167"/>
      <c r="H1153" s="167"/>
      <c r="I1153" s="167"/>
      <c r="J1153" s="167"/>
      <c r="K1153" s="167"/>
      <c r="L1153" s="167"/>
      <c r="M1153" s="167"/>
      <c r="N1153" s="167"/>
      <c r="O1153" s="167"/>
      <c r="P1153" s="167"/>
      <c r="Q1153" s="167"/>
      <c r="R1153" s="167"/>
      <c r="S1153" s="167"/>
      <c r="T1153" s="167"/>
      <c r="U1153" s="167"/>
      <c r="V1153" s="167"/>
      <c r="W1153" s="167"/>
      <c r="X1153" s="167"/>
      <c r="Y1153" s="167"/>
      <c r="Z1153" s="167"/>
      <c r="AA1153" s="167"/>
      <c r="AB1153" s="167"/>
      <c r="AC1153" s="167"/>
      <c r="AD1153" s="167"/>
      <c r="AE1153" s="167"/>
      <c r="AF1153" s="167"/>
      <c r="AG1153" s="167"/>
      <c r="AH1153" s="167"/>
      <c r="AI1153" s="167"/>
      <c r="AJ1153" s="167"/>
      <c r="AK1153" s="167"/>
      <c r="AL1153" s="167"/>
    </row>
    <row r="1154" spans="1:38" ht="15.75" customHeight="1">
      <c r="A1154" s="167"/>
      <c r="B1154" s="167"/>
      <c r="C1154" s="167"/>
      <c r="D1154" s="167"/>
      <c r="E1154" s="167"/>
      <c r="F1154" s="167"/>
      <c r="G1154" s="167"/>
      <c r="H1154" s="167"/>
      <c r="I1154" s="167"/>
      <c r="J1154" s="167"/>
      <c r="K1154" s="167"/>
      <c r="L1154" s="167"/>
      <c r="M1154" s="167"/>
      <c r="N1154" s="167"/>
      <c r="O1154" s="167"/>
      <c r="P1154" s="167"/>
      <c r="Q1154" s="167"/>
      <c r="R1154" s="167"/>
      <c r="S1154" s="167"/>
      <c r="T1154" s="167"/>
      <c r="U1154" s="167"/>
      <c r="V1154" s="167"/>
      <c r="W1154" s="167"/>
      <c r="X1154" s="167"/>
      <c r="Y1154" s="167"/>
      <c r="Z1154" s="167"/>
      <c r="AA1154" s="167"/>
      <c r="AB1154" s="167"/>
      <c r="AC1154" s="167"/>
      <c r="AD1154" s="167"/>
      <c r="AE1154" s="167"/>
      <c r="AF1154" s="167"/>
      <c r="AG1154" s="167"/>
      <c r="AH1154" s="167"/>
      <c r="AI1154" s="167"/>
      <c r="AJ1154" s="167"/>
      <c r="AK1154" s="167"/>
      <c r="AL1154" s="167"/>
    </row>
    <row r="1155" spans="1:38" ht="15.75" customHeight="1">
      <c r="A1155" s="167"/>
      <c r="B1155" s="167"/>
      <c r="C1155" s="167"/>
      <c r="D1155" s="167"/>
      <c r="E1155" s="167"/>
      <c r="F1155" s="167"/>
      <c r="G1155" s="167"/>
      <c r="H1155" s="167"/>
      <c r="I1155" s="167"/>
      <c r="J1155" s="167"/>
      <c r="K1155" s="167"/>
      <c r="L1155" s="167"/>
      <c r="M1155" s="167"/>
      <c r="N1155" s="167"/>
      <c r="O1155" s="167"/>
      <c r="P1155" s="167"/>
      <c r="Q1155" s="167"/>
      <c r="R1155" s="167"/>
      <c r="S1155" s="167"/>
      <c r="T1155" s="167"/>
      <c r="U1155" s="167"/>
      <c r="V1155" s="167"/>
      <c r="W1155" s="167"/>
      <c r="X1155" s="167"/>
      <c r="Y1155" s="167"/>
      <c r="Z1155" s="167"/>
      <c r="AA1155" s="167"/>
      <c r="AB1155" s="167"/>
      <c r="AC1155" s="167"/>
      <c r="AD1155" s="167"/>
      <c r="AE1155" s="167"/>
      <c r="AF1155" s="167"/>
      <c r="AG1155" s="167"/>
      <c r="AH1155" s="167"/>
      <c r="AI1155" s="167"/>
      <c r="AJ1155" s="167"/>
      <c r="AK1155" s="167"/>
      <c r="AL1155" s="167"/>
    </row>
    <row r="1156" spans="1:38" ht="15.75" customHeight="1">
      <c r="A1156" s="167"/>
      <c r="B1156" s="167"/>
      <c r="C1156" s="167"/>
      <c r="D1156" s="167"/>
      <c r="E1156" s="167"/>
      <c r="F1156" s="167"/>
      <c r="G1156" s="167"/>
      <c r="H1156" s="167"/>
      <c r="I1156" s="167"/>
      <c r="J1156" s="167"/>
      <c r="K1156" s="167"/>
      <c r="L1156" s="167"/>
      <c r="M1156" s="167"/>
      <c r="N1156" s="167"/>
      <c r="O1156" s="167"/>
      <c r="P1156" s="167"/>
      <c r="Q1156" s="167"/>
      <c r="R1156" s="167"/>
      <c r="S1156" s="167"/>
      <c r="T1156" s="167"/>
      <c r="U1156" s="167"/>
      <c r="V1156" s="167"/>
      <c r="W1156" s="167"/>
      <c r="X1156" s="167"/>
      <c r="Y1156" s="167"/>
      <c r="Z1156" s="167"/>
      <c r="AA1156" s="167"/>
      <c r="AB1156" s="167"/>
      <c r="AC1156" s="167"/>
      <c r="AD1156" s="167"/>
      <c r="AE1156" s="167"/>
      <c r="AF1156" s="167"/>
      <c r="AG1156" s="167"/>
      <c r="AH1156" s="167"/>
      <c r="AI1156" s="167"/>
      <c r="AJ1156" s="167"/>
      <c r="AK1156" s="167"/>
      <c r="AL1156" s="167"/>
    </row>
    <row r="1157" spans="1:38" ht="15.75" customHeight="1">
      <c r="A1157" s="167"/>
      <c r="B1157" s="167"/>
      <c r="C1157" s="167"/>
      <c r="D1157" s="167"/>
      <c r="E1157" s="167"/>
      <c r="F1157" s="167"/>
      <c r="G1157" s="167"/>
      <c r="H1157" s="167"/>
      <c r="I1157" s="167"/>
      <c r="J1157" s="167"/>
      <c r="K1157" s="167"/>
      <c r="L1157" s="167"/>
      <c r="M1157" s="167"/>
      <c r="N1157" s="167"/>
      <c r="O1157" s="167"/>
      <c r="P1157" s="167"/>
      <c r="Q1157" s="167"/>
      <c r="R1157" s="167"/>
      <c r="S1157" s="167"/>
      <c r="T1157" s="167"/>
      <c r="U1157" s="167"/>
      <c r="V1157" s="167"/>
      <c r="W1157" s="167"/>
      <c r="X1157" s="167"/>
      <c r="Y1157" s="167"/>
      <c r="Z1157" s="167"/>
      <c r="AA1157" s="167"/>
      <c r="AB1157" s="167"/>
      <c r="AC1157" s="167"/>
      <c r="AD1157" s="167"/>
      <c r="AE1157" s="167"/>
      <c r="AF1157" s="167"/>
      <c r="AG1157" s="167"/>
      <c r="AH1157" s="167"/>
      <c r="AI1157" s="167"/>
      <c r="AJ1157" s="167"/>
      <c r="AK1157" s="167"/>
      <c r="AL1157" s="167"/>
    </row>
  </sheetData>
  <mergeCells count="148">
    <mergeCell ref="C213:D213"/>
    <mergeCell ref="C214:D214"/>
    <mergeCell ref="C215:D215"/>
    <mergeCell ref="C216:D216"/>
    <mergeCell ref="C217:D217"/>
    <mergeCell ref="N209:O209"/>
    <mergeCell ref="P209:Q209"/>
    <mergeCell ref="R209:T209"/>
    <mergeCell ref="C210:E211"/>
    <mergeCell ref="F210:G211"/>
    <mergeCell ref="H210:I211"/>
    <mergeCell ref="J210:K211"/>
    <mergeCell ref="L210:M211"/>
    <mergeCell ref="N210:O211"/>
    <mergeCell ref="P210:Q211"/>
    <mergeCell ref="B209:B211"/>
    <mergeCell ref="C209:E209"/>
    <mergeCell ref="F209:G209"/>
    <mergeCell ref="H209:I209"/>
    <mergeCell ref="J209:K209"/>
    <mergeCell ref="L209:M209"/>
    <mergeCell ref="C205:T205"/>
    <mergeCell ref="B206:D206"/>
    <mergeCell ref="E206:T206"/>
    <mergeCell ref="B207:D207"/>
    <mergeCell ref="E207:T207"/>
    <mergeCell ref="C208:R208"/>
    <mergeCell ref="R210:T211"/>
    <mergeCell ref="B194:B203"/>
    <mergeCell ref="C194:H194"/>
    <mergeCell ref="I194:M194"/>
    <mergeCell ref="N194:S194"/>
    <mergeCell ref="C204:K204"/>
    <mergeCell ref="L204:O204"/>
    <mergeCell ref="P204:R204"/>
    <mergeCell ref="C191:D191"/>
    <mergeCell ref="E191:H191"/>
    <mergeCell ref="I191:L191"/>
    <mergeCell ref="M191:S191"/>
    <mergeCell ref="C192:D192"/>
    <mergeCell ref="E192:H192"/>
    <mergeCell ref="I192:L192"/>
    <mergeCell ref="M192:S192"/>
    <mergeCell ref="C189:D189"/>
    <mergeCell ref="E189:H189"/>
    <mergeCell ref="I189:L189"/>
    <mergeCell ref="M189:S189"/>
    <mergeCell ref="C190:D190"/>
    <mergeCell ref="E190:H190"/>
    <mergeCell ref="I190:L190"/>
    <mergeCell ref="M190:S190"/>
    <mergeCell ref="M186:S186"/>
    <mergeCell ref="C187:D187"/>
    <mergeCell ref="E187:H187"/>
    <mergeCell ref="I187:L187"/>
    <mergeCell ref="M187:S187"/>
    <mergeCell ref="I188:L188"/>
    <mergeCell ref="M188:S188"/>
    <mergeCell ref="D160:D164"/>
    <mergeCell ref="E169:G169"/>
    <mergeCell ref="H169:J169"/>
    <mergeCell ref="C186:D186"/>
    <mergeCell ref="E186:H186"/>
    <mergeCell ref="I186:L186"/>
    <mergeCell ref="E144:I144"/>
    <mergeCell ref="D146:E147"/>
    <mergeCell ref="F146:J146"/>
    <mergeCell ref="D148:D152"/>
    <mergeCell ref="E156:I156"/>
    <mergeCell ref="D158:E159"/>
    <mergeCell ref="F158:J158"/>
    <mergeCell ref="D118:D122"/>
    <mergeCell ref="F125:J125"/>
    <mergeCell ref="E127:H127"/>
    <mergeCell ref="I127:L127"/>
    <mergeCell ref="M127:P127"/>
    <mergeCell ref="C142:T142"/>
    <mergeCell ref="D100:D104"/>
    <mergeCell ref="D107:E108"/>
    <mergeCell ref="F107:J107"/>
    <mergeCell ref="D109:D113"/>
    <mergeCell ref="D116:E117"/>
    <mergeCell ref="F116:J116"/>
    <mergeCell ref="F78:J78"/>
    <mergeCell ref="E80:H80"/>
    <mergeCell ref="I80:L80"/>
    <mergeCell ref="M80:P80"/>
    <mergeCell ref="C95:T95"/>
    <mergeCell ref="D98:E99"/>
    <mergeCell ref="F98:J98"/>
    <mergeCell ref="D60:E61"/>
    <mergeCell ref="F60:J60"/>
    <mergeCell ref="D62:D66"/>
    <mergeCell ref="D69:E70"/>
    <mergeCell ref="F69:J69"/>
    <mergeCell ref="D71:D75"/>
    <mergeCell ref="I19:L19"/>
    <mergeCell ref="M19:S19"/>
    <mergeCell ref="C26:T26"/>
    <mergeCell ref="F28:J28"/>
    <mergeCell ref="C48:T48"/>
    <mergeCell ref="D51:E52"/>
    <mergeCell ref="F51:J51"/>
    <mergeCell ref="D53:D57"/>
    <mergeCell ref="C22:D22"/>
    <mergeCell ref="E22:H22"/>
    <mergeCell ref="I22:L22"/>
    <mergeCell ref="M22:S22"/>
    <mergeCell ref="C23:D23"/>
    <mergeCell ref="E23:H23"/>
    <mergeCell ref="I23:L23"/>
    <mergeCell ref="M23:S23"/>
    <mergeCell ref="B12:B13"/>
    <mergeCell ref="C12:T13"/>
    <mergeCell ref="C14:I14"/>
    <mergeCell ref="J14:L14"/>
    <mergeCell ref="M14:T14"/>
    <mergeCell ref="B15:B193"/>
    <mergeCell ref="C17:D17"/>
    <mergeCell ref="E17:H17"/>
    <mergeCell ref="I17:L17"/>
    <mergeCell ref="M17:S17"/>
    <mergeCell ref="C20:D20"/>
    <mergeCell ref="E20:H20"/>
    <mergeCell ref="I20:L20"/>
    <mergeCell ref="M20:S20"/>
    <mergeCell ref="C21:D21"/>
    <mergeCell ref="E21:H21"/>
    <mergeCell ref="I21:L21"/>
    <mergeCell ref="M21:S21"/>
    <mergeCell ref="C18:D18"/>
    <mergeCell ref="E18:H18"/>
    <mergeCell ref="I18:L18"/>
    <mergeCell ref="M18:S18"/>
    <mergeCell ref="C19:D19"/>
    <mergeCell ref="E19:H19"/>
    <mergeCell ref="C6:T6"/>
    <mergeCell ref="C7:T7"/>
    <mergeCell ref="C8:T8"/>
    <mergeCell ref="C9:T9"/>
    <mergeCell ref="C10:T10"/>
    <mergeCell ref="C11:T11"/>
    <mergeCell ref="C1:T1"/>
    <mergeCell ref="C2:I2"/>
    <mergeCell ref="J2:L2"/>
    <mergeCell ref="M2:T2"/>
    <mergeCell ref="C3:T3"/>
    <mergeCell ref="C5:T5"/>
  </mergeCells>
  <phoneticPr fontId="1"/>
  <dataValidations count="2">
    <dataValidation type="list" allowBlank="1" showInputMessage="1" showErrorMessage="1" sqref="C6:T6" xr:uid="{E1DED86C-4185-4937-A609-91FAF0F7C272}">
      <formula1>"HH2,HH1,HH1 ADH,TW,CuraHeat,Slick Back,Direct Skin,Lap Warmer,CAMO,Turbo"</formula1>
    </dataValidation>
    <dataValidation type="list" allowBlank="1" showInputMessage="1" showErrorMessage="1" sqref="C5:T5" xr:uid="{EC5B182D-2750-4D1D-8B4A-990220541801}">
      <formula1>"Line1,Line2,Line3,Line4,Line5,Line6,Line7"</formula1>
    </dataValidation>
  </dataValidations>
  <pageMargins left="0.3" right="0.3" top="0.3" bottom="0.3" header="0" footer="0"/>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4B7E2-48DE-42FB-A50F-14B6FD46FE3F}">
  <sheetPr codeName="Sheet3">
    <tabColor rgb="FFFF0000"/>
  </sheetPr>
  <dimension ref="A1:N44"/>
  <sheetViews>
    <sheetView tabSelected="1" workbookViewId="0">
      <selection activeCell="I6" sqref="E6:I17"/>
    </sheetView>
  </sheetViews>
  <sheetFormatPr defaultRowHeight="13"/>
  <cols>
    <col min="1" max="1" width="104.54296875" customWidth="1"/>
    <col min="2" max="2" width="58.81640625" customWidth="1"/>
  </cols>
  <sheetData>
    <row r="1" spans="1:14" ht="35" customHeight="1">
      <c r="A1" s="1" t="s">
        <v>419</v>
      </c>
      <c r="B1" s="1" t="s">
        <v>420</v>
      </c>
      <c r="L1" t="s">
        <v>411</v>
      </c>
    </row>
    <row r="2" spans="1:14" ht="46" customHeight="1">
      <c r="A2" s="2" t="s">
        <v>417</v>
      </c>
      <c r="B2" s="2" t="s">
        <v>421</v>
      </c>
    </row>
    <row r="3" spans="1:14" ht="46.5" customHeight="1">
      <c r="A3" s="2" t="s">
        <v>418</v>
      </c>
      <c r="B3" s="2" t="s">
        <v>422</v>
      </c>
    </row>
    <row r="4" spans="1:14" ht="93" customHeight="1">
      <c r="A4" s="2" t="s">
        <v>423</v>
      </c>
      <c r="B4" s="2" t="s">
        <v>424</v>
      </c>
    </row>
    <row r="5" spans="1:14">
      <c r="A5" s="3" t="s">
        <v>413</v>
      </c>
      <c r="B5" s="3"/>
    </row>
    <row r="6" spans="1:14">
      <c r="A6" s="3" t="s">
        <v>414</v>
      </c>
      <c r="B6" s="3"/>
    </row>
    <row r="7" spans="1:14">
      <c r="A7" s="3" t="s">
        <v>415</v>
      </c>
      <c r="B7" s="231" t="s">
        <v>416</v>
      </c>
      <c r="L7" s="5" t="s">
        <v>0</v>
      </c>
      <c r="N7" t="s">
        <v>412</v>
      </c>
    </row>
    <row r="8" spans="1:14">
      <c r="A8" s="3"/>
      <c r="B8" s="3"/>
    </row>
    <row r="9" spans="1:14">
      <c r="A9" s="3"/>
      <c r="B9" s="3"/>
    </row>
    <row r="10" spans="1:14">
      <c r="B10" s="3"/>
    </row>
    <row r="11" spans="1:14">
      <c r="A11" s="3"/>
      <c r="B11" s="3"/>
    </row>
    <row r="12" spans="1:14">
      <c r="A12" s="3"/>
      <c r="B12" s="3"/>
    </row>
    <row r="13" spans="1:14">
      <c r="A13" s="3"/>
      <c r="B13" s="3"/>
    </row>
    <row r="14" spans="1:14">
      <c r="A14" s="3"/>
      <c r="B14" s="3"/>
    </row>
    <row r="15" spans="1:14">
      <c r="A15" s="3"/>
      <c r="B15" s="3"/>
    </row>
    <row r="16" spans="1:14">
      <c r="A16" s="3"/>
      <c r="B16" s="3"/>
    </row>
    <row r="17" spans="1:2">
      <c r="A17" s="3"/>
      <c r="B17" s="3"/>
    </row>
    <row r="18" spans="1:2">
      <c r="A18" s="3"/>
      <c r="B18" s="3"/>
    </row>
    <row r="19" spans="1:2">
      <c r="A19" s="3"/>
      <c r="B19" s="3"/>
    </row>
    <row r="20" spans="1:2" ht="15" hidden="1" customHeight="1">
      <c r="A20" s="3"/>
      <c r="B20" s="3"/>
    </row>
    <row r="21" spans="1:2" hidden="1">
      <c r="A21" s="3"/>
      <c r="B21" s="3"/>
    </row>
    <row r="22" spans="1:2" hidden="1">
      <c r="A22" s="3"/>
      <c r="B22" s="3"/>
    </row>
    <row r="23" spans="1:2" hidden="1">
      <c r="A23" s="3"/>
      <c r="B23" s="3"/>
    </row>
    <row r="24" spans="1:2" hidden="1">
      <c r="A24" s="3"/>
      <c r="B24" s="3"/>
    </row>
    <row r="25" spans="1:2" hidden="1">
      <c r="A25" s="3"/>
      <c r="B25" s="3"/>
    </row>
    <row r="26" spans="1:2" hidden="1">
      <c r="A26" s="3"/>
      <c r="B26" s="3"/>
    </row>
    <row r="27" spans="1:2" hidden="1">
      <c r="A27" s="3"/>
      <c r="B27" s="3"/>
    </row>
    <row r="28" spans="1:2" hidden="1">
      <c r="A28" s="3"/>
      <c r="B28" s="3"/>
    </row>
    <row r="29" spans="1:2" hidden="1">
      <c r="A29" s="3"/>
      <c r="B29" s="3"/>
    </row>
    <row r="30" spans="1:2" hidden="1">
      <c r="A30" s="3"/>
      <c r="B30" s="3"/>
    </row>
    <row r="31" spans="1:2" hidden="1">
      <c r="A31" s="3"/>
      <c r="B31" s="3"/>
    </row>
    <row r="32" spans="1:2" hidden="1">
      <c r="A32" s="3"/>
      <c r="B32" s="3"/>
    </row>
    <row r="33" spans="1:2" ht="13.9" hidden="1" customHeight="1">
      <c r="A33" s="4"/>
      <c r="B33" s="4"/>
    </row>
    <row r="34" spans="1:2" hidden="1">
      <c r="A34" s="4"/>
      <c r="B34" s="4"/>
    </row>
    <row r="35" spans="1:2">
      <c r="A35" s="4"/>
      <c r="B35" s="4"/>
    </row>
    <row r="36" spans="1:2">
      <c r="A36" s="4"/>
      <c r="B36" s="4"/>
    </row>
    <row r="37" spans="1:2">
      <c r="A37" s="4"/>
      <c r="B37" s="4"/>
    </row>
    <row r="38" spans="1:2">
      <c r="A38" s="4"/>
      <c r="B38" s="4"/>
    </row>
    <row r="39" spans="1:2">
      <c r="A39" s="4"/>
      <c r="B39" s="4"/>
    </row>
    <row r="40" spans="1:2">
      <c r="A40" s="4"/>
      <c r="B40" s="4"/>
    </row>
    <row r="41" spans="1:2">
      <c r="A41" s="4"/>
      <c r="B41" s="4"/>
    </row>
    <row r="42" spans="1:2">
      <c r="A42" s="4"/>
      <c r="B42" s="4"/>
    </row>
    <row r="43" spans="1:2">
      <c r="A43" s="4"/>
      <c r="B43" s="4"/>
    </row>
    <row r="44" spans="1:2">
      <c r="A44" s="4"/>
      <c r="B44" s="4"/>
    </row>
  </sheetData>
  <phoneticPr fontId="1"/>
  <dataValidations count="1">
    <dataValidation type="list" allowBlank="1" showInputMessage="1" showErrorMessage="1" sqref="L7" xr:uid="{647EDAE2-F37A-41C5-8D7A-8B9F98C1937E}">
      <formula1>"○"</formula1>
    </dataValidation>
  </dataValidations>
  <hyperlinks>
    <hyperlink ref="B7" r:id="rId1" xr:uid="{A35B38C5-2F4B-4D91-BA05-784A12378A2B}"/>
  </hyperlinks>
  <pageMargins left="0.7" right="0.7" top="0.75" bottom="0.75" header="0.3" footer="0.3"/>
  <pageSetup paperSize="9" orientation="landscape" horizontalDpi="4294967292" verticalDpi="0"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DR1</vt:lpstr>
      <vt:lpstr>DR2</vt:lpstr>
      <vt:lpstr>DR3</vt:lpstr>
      <vt:lpstr>DR4(additional test)</vt:lpstr>
      <vt:lpstr>DR4(Line test)</vt:lpstr>
      <vt:lpstr>QA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万代　勝之</dc:creator>
  <cp:lastModifiedBy>Manh Cong</cp:lastModifiedBy>
  <cp:lastPrinted>2022-10-17T02:04:18Z</cp:lastPrinted>
  <dcterms:created xsi:type="dcterms:W3CDTF">2022-10-04T07:54:46Z</dcterms:created>
  <dcterms:modified xsi:type="dcterms:W3CDTF">2022-10-26T03:29:49Z</dcterms:modified>
</cp:coreProperties>
</file>